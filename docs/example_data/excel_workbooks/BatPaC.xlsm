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10.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4.xml" ContentType="application/vnd.openxmlformats-officedocument.drawingml.chartshapes+xml"/>
  <Override PartName="/xl/comments7.xml" ContentType="application/vnd.openxmlformats-officedocument.spreadsheetml.comments+xml"/>
  <Override PartName="/xl/comments8.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knehrkw\Box Sync\BatPaC-Kevin\BatPaC Versions\"/>
    </mc:Choice>
  </mc:AlternateContent>
  <xr:revisionPtr revIDLastSave="0" documentId="8_{D1DCE7CC-6039-40BD-8284-902C62DD70A1}" xr6:coauthVersionLast="47" xr6:coauthVersionMax="47" xr10:uidLastSave="{00000000-0000-0000-0000-000000000000}"/>
  <bookViews>
    <workbookView xWindow="-75" yWindow="-16320" windowWidth="29040" windowHeight="15840" tabRatio="712" xr2:uid="{223615BD-A315-4A87-AFC1-239FA8C794BE}"/>
  </bookViews>
  <sheets>
    <sheet name="About BatPaC" sheetId="26" r:id="rId1"/>
    <sheet name="Dashboard" sheetId="28" r:id="rId2"/>
    <sheet name="Summary of Results" sheetId="4" r:id="rId3"/>
    <sheet name="Battery Design" sheetId="3" r:id="rId4"/>
    <sheet name="Chem" sheetId="30" r:id="rId5"/>
    <sheet name="BMS" sheetId="49" r:id="rId6"/>
    <sheet name="Cost Input" sheetId="2" r:id="rId7"/>
    <sheet name="Manufacturing Costs" sheetId="56" r:id="rId8"/>
    <sheet name="Cost Breakdown" sheetId="55" r:id="rId9"/>
    <sheet name="Detailed Cost Breakdown" sheetId="57" r:id="rId10"/>
    <sheet name="Recycle" sheetId="25" r:id="rId11"/>
    <sheet name="Thermal" sheetId="14" r:id="rId12"/>
    <sheet name="USABC Data" sheetId="22" r:id="rId13"/>
    <sheet name="Tool-Generate Chem Couple" sheetId="52" r:id="rId14"/>
    <sheet name="Vehicle Considerations" sheetId="50" r:id="rId15"/>
    <sheet name="Default Vehicle Configurations" sheetId="53" r:id="rId16"/>
    <sheet name="Lists" sheetId="27" r:id="rId17"/>
  </sheets>
  <definedNames>
    <definedName name="_ASI_10s">Chem!$C$120:$C$130</definedName>
    <definedName name="_ASI_2s">Chem!$C$107:$C$117</definedName>
    <definedName name="_chem_couples">Lists!$B$6:$B$58</definedName>
    <definedName name="_chem_formulas">Lists!$O$64:$AG$64</definedName>
    <definedName name="_Conductivity_Al" comment="Conductivity of Al  ((S/m))">Lists!$H$29</definedName>
    <definedName name="_Conductivity_Cu" comment="Conductivity of Cu  ((S/m))">Lists!$H$28</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terials">Lists!$O$63:$AG$63</definedName>
    <definedName name="_N_a" comment="Avogadro constant  (mol -1)">6.02214E+23</definedName>
    <definedName name="_OCV_array">Chem!$C$94:$C$104</definedName>
    <definedName name="_p_days">320/'Cost Input'!$F$80</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Costs'!$E$399</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3">'Battery Design'!$B$43:$G$454</definedName>
    <definedName name="_xlnm.Print_Area" localSheetId="4">Chem!$AA$1:$AS$161</definedName>
    <definedName name="_xlnm.Print_Area" localSheetId="8">'Cost Breakdown'!$B$1:$M$345</definedName>
    <definedName name="_xlnm.Print_Area" localSheetId="6">'Cost Input'!$B$196:$F$279</definedName>
    <definedName name="_xlnm.Print_Area" localSheetId="1">Dashboard!$C$223:$E$252</definedName>
    <definedName name="_xlnm.Print_Area" localSheetId="9">'Detailed Cost Breakdown'!$B$1:$M$723</definedName>
    <definedName name="_xlnm.Print_Area" localSheetId="7">'Manufacturing Costs'!$B$7:$G$21</definedName>
    <definedName name="_xlnm.Print_Area" localSheetId="10">Recycle!$B$1:$M$102</definedName>
    <definedName name="_xlnm.Print_Area" localSheetId="2">'Summary of Results'!#REF!</definedName>
    <definedName name="_xlnm.Print_Area" localSheetId="11">Thermal!$B$6:$M$164</definedName>
    <definedName name="_xlnm.Print_Area" localSheetId="12">'USABC Data'!$B$1:$N$28</definedName>
    <definedName name="_xlnm.Print_Titles" localSheetId="3">'Battery Design'!$1:$6</definedName>
    <definedName name="_xlnm.Print_Titles" localSheetId="4">Chem!$1:$4</definedName>
    <definedName name="_xlnm.Print_Titles" localSheetId="7">'Manufacturing Costs'!#REF!</definedName>
    <definedName name="_xlnm.Print_Titles" localSheetId="10">Recycle!$1:$6</definedName>
    <definedName name="_xlnm.Print_Titles" localSheetId="2">'Summary of Results'!$1:$6</definedName>
    <definedName name="_xlnm.Print_Titles" localSheetId="11">Thermal!$6:$145</definedName>
    <definedName name="_xlnm.Print_Titles" localSheetId="12">'USABC Data'!$B:$E,'USABC Data'!$1:$1</definedName>
    <definedName name="Restart__0_1">Dashboard!$D$6</definedName>
    <definedName name="solver_adj" localSheetId="1" hidden="1">Dashboard!$D$67:$D$71</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Results'!#REF!</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8" iterate="1" iterateDelta="1.0000000000000001E-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5" i="52" l="1"/>
  <c r="D6" i="28"/>
  <c r="G240" i="3"/>
  <c r="H106" i="14"/>
  <c r="I106" i="14"/>
  <c r="J106" i="14"/>
  <c r="K106" i="14"/>
  <c r="L106" i="14"/>
  <c r="M106" i="14"/>
  <c r="G106" i="14"/>
  <c r="AU134" i="27" l="1"/>
  <c r="AU135" i="27"/>
  <c r="AU136" i="27"/>
  <c r="AU137" i="27"/>
  <c r="AU133" i="27"/>
  <c r="N166" i="56"/>
  <c r="H145" i="49" l="1"/>
  <c r="I145" i="49"/>
  <c r="J145" i="49"/>
  <c r="K145" i="49"/>
  <c r="L145" i="49"/>
  <c r="M145" i="49"/>
  <c r="H146" i="49"/>
  <c r="I146" i="49"/>
  <c r="J146" i="49"/>
  <c r="K146" i="49"/>
  <c r="L146" i="49"/>
  <c r="M146" i="49"/>
  <c r="G146" i="49"/>
  <c r="G145" i="49"/>
  <c r="H136" i="49"/>
  <c r="I136" i="49"/>
  <c r="J136" i="49"/>
  <c r="K136" i="49"/>
  <c r="L136" i="49"/>
  <c r="M136" i="49"/>
  <c r="G136" i="49"/>
  <c r="H137" i="49"/>
  <c r="I137" i="49"/>
  <c r="J137" i="49"/>
  <c r="K137" i="49"/>
  <c r="L137" i="49"/>
  <c r="M137" i="49"/>
  <c r="G137" i="49"/>
  <c r="B145" i="27" l="1"/>
  <c r="B146" i="27"/>
  <c r="B147" i="27"/>
  <c r="B141" i="27"/>
  <c r="B142" i="27"/>
  <c r="B143" i="27"/>
  <c r="B144" i="27"/>
  <c r="H418" i="3"/>
  <c r="I418" i="3"/>
  <c r="J418" i="3"/>
  <c r="K418" i="3"/>
  <c r="L418" i="3"/>
  <c r="M418" i="3"/>
  <c r="G418" i="3"/>
  <c r="H391" i="3"/>
  <c r="I391" i="3"/>
  <c r="J391" i="3"/>
  <c r="K391" i="3"/>
  <c r="L391" i="3"/>
  <c r="M391" i="3"/>
  <c r="G391" i="3"/>
  <c r="H390" i="3"/>
  <c r="I390" i="3"/>
  <c r="J390" i="3"/>
  <c r="J392" i="3" s="1"/>
  <c r="K390" i="3"/>
  <c r="L390" i="3"/>
  <c r="L123" i="14" s="1"/>
  <c r="M390" i="3"/>
  <c r="M123" i="14" s="1"/>
  <c r="G123" i="14"/>
  <c r="K392" i="3" l="1"/>
  <c r="G392" i="3"/>
  <c r="I392" i="3"/>
  <c r="M392" i="3"/>
  <c r="L392" i="3"/>
  <c r="H392" i="3"/>
  <c r="K123" i="14"/>
  <c r="J123" i="14"/>
  <c r="I123" i="14"/>
  <c r="H123" i="14"/>
  <c r="H343" i="3"/>
  <c r="I343" i="3"/>
  <c r="J343" i="3"/>
  <c r="K343" i="3"/>
  <c r="L343" i="3"/>
  <c r="M343" i="3"/>
  <c r="G343" i="3"/>
  <c r="N139" i="56"/>
  <c r="N140" i="56"/>
  <c r="N141" i="56"/>
  <c r="N206" i="56"/>
  <c r="Z24" i="52" l="1"/>
  <c r="AI55" i="53"/>
  <c r="I10" i="57" l="1"/>
  <c r="H10" i="57"/>
  <c r="G10" i="57"/>
  <c r="E291" i="56"/>
  <c r="H152" i="14" l="1"/>
  <c r="I152" i="14"/>
  <c r="J152" i="14"/>
  <c r="K152" i="14"/>
  <c r="L152" i="14"/>
  <c r="M152" i="14"/>
  <c r="G152" i="14"/>
  <c r="H25" i="14"/>
  <c r="I25" i="14"/>
  <c r="J25" i="14"/>
  <c r="K25" i="14"/>
  <c r="L25" i="14"/>
  <c r="M25" i="14"/>
  <c r="H28" i="14"/>
  <c r="I28" i="14"/>
  <c r="J28" i="14"/>
  <c r="K28" i="14"/>
  <c r="L28" i="14"/>
  <c r="M28" i="14"/>
  <c r="E169" i="14"/>
  <c r="E170" i="14"/>
  <c r="E171" i="14"/>
  <c r="E172" i="14"/>
  <c r="C50" i="28" l="1"/>
  <c r="M56" i="14"/>
  <c r="L56" i="14"/>
  <c r="K56" i="14"/>
  <c r="J56" i="14"/>
  <c r="I56" i="14"/>
  <c r="H56" i="14"/>
  <c r="G56" i="14"/>
  <c r="M53" i="14"/>
  <c r="L53" i="14"/>
  <c r="K53" i="14"/>
  <c r="J53" i="14"/>
  <c r="I53" i="14"/>
  <c r="H53" i="14"/>
  <c r="G53" i="14"/>
  <c r="N289" i="56"/>
  <c r="E199" i="56"/>
  <c r="E200" i="56"/>
  <c r="F200" i="56"/>
  <c r="E201" i="56"/>
  <c r="F201" i="56"/>
  <c r="E202" i="56"/>
  <c r="F202" i="56"/>
  <c r="E206" i="56"/>
  <c r="E207" i="56"/>
  <c r="F207" i="56"/>
  <c r="E208" i="56"/>
  <c r="F208" i="56"/>
  <c r="E209" i="56"/>
  <c r="F209" i="56"/>
  <c r="E186" i="56"/>
  <c r="F186" i="56"/>
  <c r="E187" i="56"/>
  <c r="F187" i="56"/>
  <c r="E188" i="56"/>
  <c r="F188" i="56"/>
  <c r="E192" i="56"/>
  <c r="F192" i="56"/>
  <c r="E193" i="56"/>
  <c r="F193" i="56"/>
  <c r="E194" i="56"/>
  <c r="F194" i="56"/>
  <c r="E214" i="56"/>
  <c r="F214" i="56"/>
  <c r="E215" i="56"/>
  <c r="F215" i="56"/>
  <c r="E216" i="56"/>
  <c r="F216" i="56"/>
  <c r="E220" i="56"/>
  <c r="F220" i="56"/>
  <c r="E221" i="56"/>
  <c r="F221" i="56"/>
  <c r="E222" i="56"/>
  <c r="F222" i="56"/>
  <c r="E227" i="56"/>
  <c r="F227" i="56"/>
  <c r="E228" i="56"/>
  <c r="F228" i="56"/>
  <c r="E229" i="56"/>
  <c r="F229" i="56"/>
  <c r="E233" i="56"/>
  <c r="F233" i="56"/>
  <c r="E234" i="56"/>
  <c r="F234" i="56"/>
  <c r="E235" i="56"/>
  <c r="F235" i="56"/>
  <c r="E240" i="56"/>
  <c r="F240" i="56"/>
  <c r="E241" i="56"/>
  <c r="F241" i="56"/>
  <c r="E242" i="56"/>
  <c r="F242" i="56"/>
  <c r="E246" i="56"/>
  <c r="F246" i="56"/>
  <c r="E247" i="56"/>
  <c r="F247" i="56"/>
  <c r="E248" i="56"/>
  <c r="F248" i="56"/>
  <c r="E253" i="56"/>
  <c r="F253" i="56"/>
  <c r="E254" i="56"/>
  <c r="F254" i="56"/>
  <c r="E255" i="56"/>
  <c r="F255" i="56"/>
  <c r="E259" i="56"/>
  <c r="F259" i="56"/>
  <c r="E260" i="56"/>
  <c r="F260" i="56"/>
  <c r="E261" i="56"/>
  <c r="F261" i="56"/>
  <c r="E262" i="56"/>
  <c r="F262" i="56"/>
  <c r="E266" i="56"/>
  <c r="F266" i="56"/>
  <c r="E267" i="56"/>
  <c r="F267" i="56"/>
  <c r="E268" i="56"/>
  <c r="F268" i="56"/>
  <c r="E272" i="56"/>
  <c r="F272" i="56"/>
  <c r="E273" i="56"/>
  <c r="F273" i="56"/>
  <c r="E274" i="56"/>
  <c r="F274" i="56"/>
  <c r="E278" i="56"/>
  <c r="F278" i="56"/>
  <c r="E279" i="56"/>
  <c r="F279" i="56"/>
  <c r="E280" i="56"/>
  <c r="F280" i="56"/>
  <c r="E284" i="56"/>
  <c r="F284" i="56"/>
  <c r="E285" i="56"/>
  <c r="F285" i="56"/>
  <c r="E286" i="56"/>
  <c r="F286" i="56"/>
  <c r="E290" i="56"/>
  <c r="F290" i="56"/>
  <c r="F291" i="56"/>
  <c r="E292" i="56"/>
  <c r="F292" i="56"/>
  <c r="E297" i="56"/>
  <c r="F297" i="56"/>
  <c r="E298" i="56"/>
  <c r="F298" i="56"/>
  <c r="E299" i="56"/>
  <c r="F299" i="56"/>
  <c r="E300" i="56"/>
  <c r="F300" i="56"/>
  <c r="E305" i="56"/>
  <c r="F305" i="56"/>
  <c r="E306" i="56"/>
  <c r="F306" i="56"/>
  <c r="E307" i="56"/>
  <c r="F307" i="56"/>
  <c r="E312" i="56"/>
  <c r="F312" i="56"/>
  <c r="E313" i="56"/>
  <c r="F313" i="56"/>
  <c r="E314" i="56"/>
  <c r="F314" i="56"/>
  <c r="E315" i="56"/>
  <c r="F315" i="56"/>
  <c r="E320" i="56"/>
  <c r="F320" i="56"/>
  <c r="E321" i="56"/>
  <c r="F321" i="56"/>
  <c r="E322" i="56"/>
  <c r="F322" i="56"/>
  <c r="E327" i="56"/>
  <c r="F327" i="56"/>
  <c r="E328" i="56"/>
  <c r="F328" i="56"/>
  <c r="E329" i="56"/>
  <c r="F329" i="56"/>
  <c r="E333" i="56"/>
  <c r="F333" i="56"/>
  <c r="E334" i="56"/>
  <c r="F334" i="56"/>
  <c r="E335" i="56"/>
  <c r="F335" i="56"/>
  <c r="E339" i="56"/>
  <c r="F339" i="56"/>
  <c r="E340" i="56"/>
  <c r="F340" i="56"/>
  <c r="E341" i="56"/>
  <c r="F341" i="56"/>
  <c r="E345" i="56"/>
  <c r="F345" i="56"/>
  <c r="E346" i="56"/>
  <c r="F346" i="56"/>
  <c r="E347" i="56"/>
  <c r="F347" i="56"/>
  <c r="H78" i="3" l="1"/>
  <c r="I78" i="3"/>
  <c r="J78" i="3"/>
  <c r="K78" i="3"/>
  <c r="L78" i="3"/>
  <c r="M78" i="3"/>
  <c r="G78" i="3"/>
  <c r="N362" i="56" l="1"/>
  <c r="R140" i="30" l="1"/>
  <c r="Y55" i="53" l="1"/>
  <c r="H90" i="3"/>
  <c r="I90" i="3"/>
  <c r="J90" i="3"/>
  <c r="K90" i="3"/>
  <c r="L90" i="3"/>
  <c r="M90" i="3"/>
  <c r="G90" i="3"/>
  <c r="H75" i="3"/>
  <c r="I75" i="3"/>
  <c r="J75" i="3"/>
  <c r="K75" i="3"/>
  <c r="L75" i="3"/>
  <c r="M75" i="3"/>
  <c r="G75" i="3"/>
  <c r="H71" i="3"/>
  <c r="I71" i="3"/>
  <c r="J71" i="3"/>
  <c r="K71" i="3"/>
  <c r="L71" i="3"/>
  <c r="M71" i="3"/>
  <c r="H72" i="3"/>
  <c r="I72" i="3"/>
  <c r="J72" i="3"/>
  <c r="K72" i="3"/>
  <c r="L72" i="3"/>
  <c r="M72" i="3"/>
  <c r="G72" i="3"/>
  <c r="G71" i="3"/>
  <c r="H301" i="3"/>
  <c r="I301" i="3"/>
  <c r="J301" i="3"/>
  <c r="K301" i="3"/>
  <c r="L301" i="3"/>
  <c r="M301" i="3"/>
  <c r="G301" i="3"/>
  <c r="H300" i="3"/>
  <c r="I300" i="3"/>
  <c r="J300" i="3"/>
  <c r="K300" i="3"/>
  <c r="L300" i="3"/>
  <c r="M300" i="3"/>
  <c r="G300" i="3"/>
  <c r="G299" i="3"/>
  <c r="D56" i="28" l="1"/>
  <c r="AS35" i="53"/>
  <c r="AV83" i="27"/>
  <c r="AV86" i="27"/>
  <c r="AV84" i="27"/>
  <c r="N122" i="56"/>
  <c r="E137" i="52" l="1"/>
  <c r="E122" i="52"/>
  <c r="H87" i="3"/>
  <c r="I87" i="3"/>
  <c r="J87" i="3"/>
  <c r="K87" i="3"/>
  <c r="L87" i="3"/>
  <c r="M87" i="3"/>
  <c r="H88" i="3"/>
  <c r="I88" i="3"/>
  <c r="J88" i="3"/>
  <c r="K88" i="3"/>
  <c r="L88" i="3"/>
  <c r="M88" i="3"/>
  <c r="G88" i="3"/>
  <c r="G87" i="3"/>
  <c r="H250" i="3"/>
  <c r="I250" i="3"/>
  <c r="J250" i="3"/>
  <c r="K250" i="3"/>
  <c r="L250" i="3"/>
  <c r="M250" i="3"/>
  <c r="H251" i="3"/>
  <c r="I251" i="3"/>
  <c r="J251" i="3"/>
  <c r="K251" i="3"/>
  <c r="L251" i="3"/>
  <c r="M251" i="3"/>
  <c r="H252" i="3"/>
  <c r="I252" i="3"/>
  <c r="J252" i="3"/>
  <c r="K252" i="3"/>
  <c r="L252" i="3"/>
  <c r="M252" i="3"/>
  <c r="H253" i="3"/>
  <c r="I253" i="3"/>
  <c r="J253" i="3"/>
  <c r="K253" i="3"/>
  <c r="L253" i="3"/>
  <c r="M253" i="3"/>
  <c r="H254" i="3"/>
  <c r="I254" i="3"/>
  <c r="J254" i="3"/>
  <c r="K254" i="3"/>
  <c r="L254" i="3"/>
  <c r="M254" i="3"/>
  <c r="H255" i="3"/>
  <c r="I255" i="3"/>
  <c r="J255" i="3"/>
  <c r="K255" i="3"/>
  <c r="L255" i="3"/>
  <c r="M255" i="3"/>
  <c r="H256" i="3"/>
  <c r="I256" i="3"/>
  <c r="J256" i="3"/>
  <c r="K256" i="3"/>
  <c r="L256" i="3"/>
  <c r="M256" i="3"/>
  <c r="H257" i="3"/>
  <c r="I257" i="3"/>
  <c r="J257" i="3"/>
  <c r="K257" i="3"/>
  <c r="L257" i="3"/>
  <c r="M257" i="3"/>
  <c r="G252" i="3"/>
  <c r="G250" i="3"/>
  <c r="G257" i="3"/>
  <c r="G256" i="3"/>
  <c r="G255" i="3"/>
  <c r="G254" i="3"/>
  <c r="H149" i="14"/>
  <c r="I149" i="14"/>
  <c r="J149" i="14"/>
  <c r="K149" i="14"/>
  <c r="L149" i="14"/>
  <c r="H150" i="14"/>
  <c r="I150" i="14"/>
  <c r="J150" i="14"/>
  <c r="K150" i="14"/>
  <c r="L150" i="14"/>
  <c r="M150" i="14"/>
  <c r="G150" i="14"/>
  <c r="G149" i="14"/>
  <c r="F103" i="56"/>
  <c r="H383" i="3" l="1"/>
  <c r="H384" i="3" s="1"/>
  <c r="I383" i="3"/>
  <c r="I384" i="3" s="1"/>
  <c r="J383" i="3"/>
  <c r="J384" i="3" s="1"/>
  <c r="K383" i="3"/>
  <c r="K384" i="3" s="1"/>
  <c r="L383" i="3"/>
  <c r="L384" i="3" s="1"/>
  <c r="M383" i="3"/>
  <c r="M384" i="3" s="1"/>
  <c r="G383" i="3"/>
  <c r="G384" i="3" s="1"/>
  <c r="H382" i="3"/>
  <c r="I382" i="3"/>
  <c r="J382" i="3"/>
  <c r="K382" i="3"/>
  <c r="L382" i="3"/>
  <c r="M382" i="3"/>
  <c r="H375" i="3"/>
  <c r="I375" i="3"/>
  <c r="J375" i="3"/>
  <c r="K375" i="3"/>
  <c r="L375" i="3"/>
  <c r="M375" i="3"/>
  <c r="H377" i="3"/>
  <c r="I377" i="3"/>
  <c r="J377" i="3"/>
  <c r="K377" i="3"/>
  <c r="L377" i="3"/>
  <c r="M377" i="3"/>
  <c r="H381" i="3"/>
  <c r="I381" i="3"/>
  <c r="J381" i="3"/>
  <c r="K381" i="3"/>
  <c r="L381" i="3"/>
  <c r="M381" i="3"/>
  <c r="G381" i="3"/>
  <c r="H373" i="3"/>
  <c r="I373" i="3"/>
  <c r="J373" i="3"/>
  <c r="K373" i="3"/>
  <c r="L373" i="3"/>
  <c r="M373" i="3"/>
  <c r="B76" i="27"/>
  <c r="B77" i="27"/>
  <c r="Z192" i="4" l="1"/>
  <c r="G382" i="3"/>
  <c r="C149" i="4" l="1"/>
  <c r="B155" i="27"/>
  <c r="E409" i="56" s="1"/>
  <c r="E14" i="57" s="1"/>
  <c r="B163" i="27"/>
  <c r="D162" i="27" s="1" a="1"/>
  <c r="D162" i="27" s="1"/>
  <c r="CO1" i="30"/>
  <c r="E399" i="56"/>
  <c r="I400" i="56" l="1"/>
  <c r="H400" i="56"/>
  <c r="J400" i="56"/>
  <c r="M400" i="56"/>
  <c r="G400" i="56"/>
  <c r="K400" i="56"/>
  <c r="L400" i="56"/>
  <c r="G401" i="56"/>
  <c r="D209" i="56"/>
  <c r="D188" i="56"/>
  <c r="D194" i="56"/>
  <c r="D216" i="56"/>
  <c r="D222" i="56"/>
  <c r="D229" i="56"/>
  <c r="D235" i="56"/>
  <c r="D242" i="56"/>
  <c r="D248" i="56"/>
  <c r="D255" i="56"/>
  <c r="D299" i="56"/>
  <c r="D306" i="56"/>
  <c r="D315" i="56"/>
  <c r="D273" i="56"/>
  <c r="C108" i="28"/>
  <c r="D292" i="56"/>
  <c r="D322" i="56"/>
  <c r="D261" i="56"/>
  <c r="D262" i="56"/>
  <c r="D268" i="56"/>
  <c r="D274" i="56"/>
  <c r="D280" i="56"/>
  <c r="D286" i="56"/>
  <c r="D314" i="56"/>
  <c r="D321" i="56"/>
  <c r="D328" i="56"/>
  <c r="D334" i="56"/>
  <c r="D340" i="56"/>
  <c r="D346" i="56"/>
  <c r="D335" i="56"/>
  <c r="D279" i="56"/>
  <c r="D300" i="56"/>
  <c r="D307" i="56"/>
  <c r="D329" i="56"/>
  <c r="D201" i="56"/>
  <c r="D347" i="56"/>
  <c r="D285" i="56"/>
  <c r="D208" i="56"/>
  <c r="D187" i="56"/>
  <c r="D193" i="56"/>
  <c r="D215" i="56"/>
  <c r="D221" i="56"/>
  <c r="D228" i="56"/>
  <c r="D234" i="56"/>
  <c r="D241" i="56"/>
  <c r="D247" i="56"/>
  <c r="D254" i="56"/>
  <c r="D341" i="56"/>
  <c r="D202" i="56"/>
  <c r="D291" i="56"/>
  <c r="D267" i="56"/>
  <c r="B409" i="56" a="1"/>
  <c r="B409" i="56" s="1"/>
  <c r="C162" i="27" a="1"/>
  <c r="C162" i="27" s="1"/>
  <c r="E411" i="56"/>
  <c r="E14" i="55"/>
  <c r="D136" i="4"/>
  <c r="E418" i="56"/>
  <c r="E23" i="57" s="1"/>
  <c r="D154" i="27" a="1"/>
  <c r="D154" i="27" s="1"/>
  <c r="C154" i="27" a="1"/>
  <c r="C154" i="27" s="1"/>
  <c r="B462" i="56"/>
  <c r="N364" i="56"/>
  <c r="N365" i="56"/>
  <c r="N367" i="56"/>
  <c r="N368" i="56"/>
  <c r="B432" i="56"/>
  <c r="B135" i="27"/>
  <c r="B136" i="27"/>
  <c r="B137" i="27"/>
  <c r="B139" i="27"/>
  <c r="B140" i="27"/>
  <c r="B134" i="27"/>
  <c r="A134" i="27"/>
  <c r="F495" i="3"/>
  <c r="F496" i="3" s="1"/>
  <c r="E416" i="56" l="1"/>
  <c r="E21" i="57" s="1"/>
  <c r="E415" i="56"/>
  <c r="E20" i="57" s="1"/>
  <c r="B411" i="56" a="1"/>
  <c r="B411" i="56" s="1"/>
  <c r="B16" i="57" s="1"/>
  <c r="E16" i="57"/>
  <c r="B136" i="4"/>
  <c r="B14" i="57"/>
  <c r="B14" i="55"/>
  <c r="E417" i="56"/>
  <c r="B50" i="22"/>
  <c r="B49" i="22"/>
  <c r="D138" i="4"/>
  <c r="E16" i="55"/>
  <c r="E23" i="55"/>
  <c r="D145" i="4"/>
  <c r="N473" i="56"/>
  <c r="N474" i="56" s="1"/>
  <c r="N513" i="56"/>
  <c r="A135" i="27"/>
  <c r="A136" i="27"/>
  <c r="F497" i="3"/>
  <c r="B173" i="25"/>
  <c r="B172" i="25"/>
  <c r="B171" i="25"/>
  <c r="B170" i="25"/>
  <c r="B125" i="25"/>
  <c r="B124" i="25"/>
  <c r="B123" i="25"/>
  <c r="B122" i="25"/>
  <c r="B149" i="25"/>
  <c r="B148" i="25"/>
  <c r="B147" i="25"/>
  <c r="B146" i="25"/>
  <c r="B90" i="56"/>
  <c r="E21" i="55" l="1"/>
  <c r="E20" i="55"/>
  <c r="D143" i="4"/>
  <c r="D142" i="4"/>
  <c r="E22" i="55"/>
  <c r="E22" i="57"/>
  <c r="D144" i="4"/>
  <c r="B16" i="55"/>
  <c r="B138" i="4"/>
  <c r="F114" i="2"/>
  <c r="F113" i="2"/>
  <c r="A137" i="27"/>
  <c r="F500" i="3"/>
  <c r="F501" i="3" s="1"/>
  <c r="N374" i="56"/>
  <c r="H178" i="57" l="1"/>
  <c r="K178" i="57"/>
  <c r="L178" i="57"/>
  <c r="M178" i="57"/>
  <c r="I178" i="57"/>
  <c r="J178" i="57"/>
  <c r="G178" i="57"/>
  <c r="K179" i="57"/>
  <c r="J179" i="57"/>
  <c r="H179" i="57"/>
  <c r="G179" i="57"/>
  <c r="I179" i="57"/>
  <c r="L179" i="57"/>
  <c r="M179" i="57"/>
  <c r="A141" i="27"/>
  <c r="F502" i="3"/>
  <c r="A142" i="27" s="1"/>
  <c r="H63" i="55"/>
  <c r="I63" i="55"/>
  <c r="J63" i="55"/>
  <c r="K63" i="55"/>
  <c r="L63" i="55"/>
  <c r="M63" i="55"/>
  <c r="A140" i="27"/>
  <c r="N296" i="56"/>
  <c r="N375" i="56"/>
  <c r="N355" i="56"/>
  <c r="N387" i="56" s="1"/>
  <c r="G173" i="56"/>
  <c r="D64" i="25"/>
  <c r="B69" i="25" s="1"/>
  <c r="D57" i="25"/>
  <c r="B61" i="25" s="1"/>
  <c r="D50" i="25"/>
  <c r="B53" i="25" s="1"/>
  <c r="D43" i="25"/>
  <c r="B45" i="25" s="1"/>
  <c r="B25" i="25"/>
  <c r="B24" i="25"/>
  <c r="F16" i="25"/>
  <c r="E16" i="25"/>
  <c r="D16" i="25"/>
  <c r="C16" i="25"/>
  <c r="G12" i="22"/>
  <c r="E209" i="49"/>
  <c r="E199" i="49"/>
  <c r="E198" i="49"/>
  <c r="E197" i="49"/>
  <c r="E196" i="49"/>
  <c r="E195" i="49"/>
  <c r="E194"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M24" i="49"/>
  <c r="L24" i="49"/>
  <c r="K24" i="49"/>
  <c r="J24" i="49"/>
  <c r="I24" i="49"/>
  <c r="H24" i="49"/>
  <c r="G24" i="49"/>
  <c r="G10" i="55"/>
  <c r="B124" i="27"/>
  <c r="F124" i="27" s="1"/>
  <c r="A123" i="27"/>
  <c r="B123" i="27" s="1"/>
  <c r="F123" i="27" s="1"/>
  <c r="A122" i="27"/>
  <c r="B122" i="27" s="1"/>
  <c r="G122" i="27" s="1"/>
  <c r="R120" i="27"/>
  <c r="Q120" i="27"/>
  <c r="Q68" i="27" s="1" a="1"/>
  <c r="Q68" i="27" s="1"/>
  <c r="Q70" i="27" s="1"/>
  <c r="P120" i="27"/>
  <c r="O120" i="27"/>
  <c r="R119" i="27"/>
  <c r="O119" i="27"/>
  <c r="R118" i="27"/>
  <c r="R68" i="27" s="1" a="1"/>
  <c r="R68" i="27" s="1"/>
  <c r="R70" i="27" s="1"/>
  <c r="O118" i="27"/>
  <c r="AV107" i="27"/>
  <c r="F72" i="2" s="1"/>
  <c r="AU107" i="27"/>
  <c r="AV106" i="27"/>
  <c r="AT106" i="27" s="1"/>
  <c r="AU106" i="27"/>
  <c r="AV105" i="27"/>
  <c r="F70" i="2" s="1"/>
  <c r="AU105" i="27"/>
  <c r="AV104" i="27"/>
  <c r="AT104" i="27" s="1"/>
  <c r="AU104" i="27"/>
  <c r="AV103" i="27"/>
  <c r="AT103" i="27" s="1"/>
  <c r="AU103" i="27"/>
  <c r="AV102" i="27"/>
  <c r="AT102" i="27" s="1"/>
  <c r="AU102" i="27"/>
  <c r="AV101" i="27"/>
  <c r="AT101" i="27" s="1"/>
  <c r="AU101" i="27"/>
  <c r="AU100" i="27"/>
  <c r="AZ100" i="27" s="1"/>
  <c r="AT100" i="27"/>
  <c r="AV99" i="27"/>
  <c r="AT99" i="27" s="1"/>
  <c r="AU99" i="27"/>
  <c r="AU97" i="27"/>
  <c r="AZ97" i="27" s="1"/>
  <c r="AT97" i="27"/>
  <c r="AV96" i="27"/>
  <c r="F60" i="2" s="1"/>
  <c r="AV95" i="27"/>
  <c r="AT95" i="27" s="1"/>
  <c r="AU95" i="27"/>
  <c r="AU94" i="27"/>
  <c r="AT94" i="27"/>
  <c r="AV93" i="27"/>
  <c r="AT93" i="27" s="1"/>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P68" i="27" a="1"/>
  <c r="P68" i="27" s="1"/>
  <c r="P70" i="27" s="1"/>
  <c r="H29" i="27"/>
  <c r="H28" i="27"/>
  <c r="L27" i="27" a="1"/>
  <c r="L27" i="27" s="1"/>
  <c r="N27" i="27" s="1"/>
  <c r="L26" i="27" a="1"/>
  <c r="L26" i="27" s="1"/>
  <c r="N26" i="27" s="1"/>
  <c r="L25" i="27" a="1"/>
  <c r="L25" i="27" s="1"/>
  <c r="N25" i="27" s="1"/>
  <c r="L24" i="27" a="1"/>
  <c r="L24" i="27" s="1"/>
  <c r="N24" i="27" s="1"/>
  <c r="L23" i="27" a="1"/>
  <c r="L23" i="27" s="1"/>
  <c r="N23" i="27" s="1"/>
  <c r="T22" i="27"/>
  <c r="S22" i="27"/>
  <c r="R22" i="27"/>
  <c r="T21" i="27"/>
  <c r="S21" i="27"/>
  <c r="R21" i="27"/>
  <c r="T20" i="27"/>
  <c r="S20" i="27"/>
  <c r="R20" i="27"/>
  <c r="T19" i="27"/>
  <c r="S19" i="27"/>
  <c r="R19" i="27"/>
  <c r="H19" i="27"/>
  <c r="H18" i="27"/>
  <c r="Z193" i="4"/>
  <c r="Z189" i="4"/>
  <c r="G17" i="4"/>
  <c r="F104" i="2"/>
  <c r="F116" i="2" s="1"/>
  <c r="F103" i="2"/>
  <c r="F115" i="2" s="1"/>
  <c r="G72" i="2"/>
  <c r="G71" i="2"/>
  <c r="F71" i="2"/>
  <c r="G70" i="2"/>
  <c r="G69" i="2"/>
  <c r="G68" i="2"/>
  <c r="F68" i="2"/>
  <c r="G67" i="2"/>
  <c r="G66" i="2"/>
  <c r="G65" i="2"/>
  <c r="G64" i="2"/>
  <c r="G61" i="2"/>
  <c r="F61" i="2"/>
  <c r="G59" i="2"/>
  <c r="G58" i="2"/>
  <c r="F58" i="2"/>
  <c r="G57" i="2"/>
  <c r="G49" i="2"/>
  <c r="G48" i="2"/>
  <c r="F48" i="2"/>
  <c r="G47" i="2"/>
  <c r="F47" i="2"/>
  <c r="G46" i="2"/>
  <c r="F46" i="2"/>
  <c r="G45" i="2"/>
  <c r="F45" i="2"/>
  <c r="G17" i="2"/>
  <c r="F59" i="56" s="1"/>
  <c r="F53" i="56" s="1"/>
  <c r="G16" i="2"/>
  <c r="G15" i="2"/>
  <c r="G14" i="2"/>
  <c r="F56" i="56" s="1"/>
  <c r="G13" i="2"/>
  <c r="G12" i="2"/>
  <c r="C9" i="2"/>
  <c r="B426" i="56"/>
  <c r="B425" i="56"/>
  <c r="B456" i="56"/>
  <c r="B455" i="56"/>
  <c r="N454" i="56"/>
  <c r="B492" i="56"/>
  <c r="N491" i="56"/>
  <c r="N485" i="56" s="1"/>
  <c r="N486" i="56"/>
  <c r="B486" i="56"/>
  <c r="B485" i="56"/>
  <c r="N484" i="56"/>
  <c r="N483" i="56"/>
  <c r="G26" i="56"/>
  <c r="M402" i="56"/>
  <c r="L402" i="56"/>
  <c r="K402" i="56"/>
  <c r="J402" i="56"/>
  <c r="I402" i="56"/>
  <c r="H402" i="56"/>
  <c r="G402" i="56"/>
  <c r="H401" i="56"/>
  <c r="N372" i="56"/>
  <c r="N213" i="56"/>
  <c r="N205" i="56"/>
  <c r="B153" i="56"/>
  <c r="F152" i="56"/>
  <c r="B152" i="56"/>
  <c r="F151" i="56"/>
  <c r="B151" i="56"/>
  <c r="F150" i="56"/>
  <c r="F149" i="56"/>
  <c r="F148" i="56"/>
  <c r="F146" i="56"/>
  <c r="B146" i="56"/>
  <c r="B143" i="56"/>
  <c r="B141" i="56"/>
  <c r="B140" i="56"/>
  <c r="B139" i="56"/>
  <c r="B138" i="56"/>
  <c r="B137" i="56"/>
  <c r="B136" i="56"/>
  <c r="B135" i="56"/>
  <c r="B126" i="56"/>
  <c r="B125" i="56"/>
  <c r="B124" i="56"/>
  <c r="B120" i="56"/>
  <c r="B119" i="56"/>
  <c r="B118" i="56"/>
  <c r="B114" i="56"/>
  <c r="B113" i="56"/>
  <c r="B112" i="56"/>
  <c r="F109" i="56"/>
  <c r="B109" i="56"/>
  <c r="F108" i="56"/>
  <c r="B108" i="56"/>
  <c r="F107" i="56"/>
  <c r="B107" i="56"/>
  <c r="F106" i="56"/>
  <c r="B106" i="56"/>
  <c r="F102" i="56"/>
  <c r="B102" i="56"/>
  <c r="F101" i="56"/>
  <c r="B101" i="56"/>
  <c r="F100" i="56"/>
  <c r="B100" i="56"/>
  <c r="F97" i="56"/>
  <c r="B97" i="56"/>
  <c r="F96" i="56"/>
  <c r="B96" i="56"/>
  <c r="F95" i="56"/>
  <c r="B95" i="56"/>
  <c r="F94" i="56"/>
  <c r="B94" i="56"/>
  <c r="B89" i="56"/>
  <c r="B88" i="56"/>
  <c r="B87" i="56"/>
  <c r="B86" i="56"/>
  <c r="B85" i="56"/>
  <c r="B84" i="56"/>
  <c r="B83" i="56"/>
  <c r="B82" i="56"/>
  <c r="B81" i="56"/>
  <c r="B80" i="56"/>
  <c r="B72" i="56"/>
  <c r="B71" i="56"/>
  <c r="B70" i="56"/>
  <c r="B69" i="56"/>
  <c r="B66" i="56"/>
  <c r="B65" i="56"/>
  <c r="B64" i="56"/>
  <c r="B63" i="56"/>
  <c r="B59" i="56"/>
  <c r="B58" i="56"/>
  <c r="B57" i="56"/>
  <c r="B56" i="56"/>
  <c r="B48" i="56"/>
  <c r="B46" i="56"/>
  <c r="B45" i="56"/>
  <c r="B44" i="56"/>
  <c r="B41" i="56"/>
  <c r="B39" i="56"/>
  <c r="B38" i="56"/>
  <c r="B37" i="56"/>
  <c r="B21" i="56"/>
  <c r="B19" i="56"/>
  <c r="B18" i="56"/>
  <c r="B17" i="56"/>
  <c r="B15" i="56"/>
  <c r="B14" i="56"/>
  <c r="B13" i="56"/>
  <c r="B11" i="56"/>
  <c r="M9" i="56"/>
  <c r="M311" i="56" s="1"/>
  <c r="L9" i="56"/>
  <c r="L311" i="56" s="1"/>
  <c r="K9" i="56"/>
  <c r="K311" i="56" s="1"/>
  <c r="J9" i="56"/>
  <c r="J311" i="56" s="1"/>
  <c r="I9" i="56"/>
  <c r="I311" i="56" s="1"/>
  <c r="H9" i="56"/>
  <c r="H311" i="56" s="1"/>
  <c r="G9" i="56"/>
  <c r="G311" i="56" s="1"/>
  <c r="B9" i="56"/>
  <c r="E145" i="52"/>
  <c r="E139"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72" i="3"/>
  <c r="L472" i="3"/>
  <c r="K472" i="3"/>
  <c r="J472" i="3"/>
  <c r="I472" i="3"/>
  <c r="H472" i="3"/>
  <c r="G472" i="3"/>
  <c r="F462" i="3"/>
  <c r="G458" i="3"/>
  <c r="M442" i="3"/>
  <c r="M443" i="3" s="1"/>
  <c r="L442" i="3"/>
  <c r="L443" i="3" s="1"/>
  <c r="K442" i="3"/>
  <c r="K443" i="3" s="1"/>
  <c r="J442" i="3"/>
  <c r="J443" i="3" s="1"/>
  <c r="I442" i="3"/>
  <c r="I443" i="3" s="1"/>
  <c r="H442" i="3"/>
  <c r="H443" i="3" s="1"/>
  <c r="G442" i="3"/>
  <c r="G443" i="3" s="1"/>
  <c r="M429" i="3"/>
  <c r="L429" i="3"/>
  <c r="K429" i="3"/>
  <c r="J429" i="3"/>
  <c r="I429" i="3"/>
  <c r="H429" i="3"/>
  <c r="G429" i="3"/>
  <c r="M411" i="3"/>
  <c r="L411" i="3"/>
  <c r="K411" i="3"/>
  <c r="J411" i="3"/>
  <c r="I411" i="3"/>
  <c r="I54" i="14" s="1"/>
  <c r="H411" i="3"/>
  <c r="G411" i="3"/>
  <c r="M409" i="3"/>
  <c r="L409" i="3"/>
  <c r="K409" i="3"/>
  <c r="J409" i="3"/>
  <c r="I409" i="3"/>
  <c r="H409" i="3"/>
  <c r="G409" i="3"/>
  <c r="G377" i="3"/>
  <c r="G373" i="3"/>
  <c r="M344" i="3"/>
  <c r="L344" i="3"/>
  <c r="K344" i="3"/>
  <c r="J344" i="3"/>
  <c r="I344" i="3"/>
  <c r="H344" i="3"/>
  <c r="G344" i="3"/>
  <c r="M342" i="3"/>
  <c r="L342" i="3"/>
  <c r="K342" i="3"/>
  <c r="J342" i="3"/>
  <c r="I342" i="3"/>
  <c r="H342" i="3"/>
  <c r="G342" i="3"/>
  <c r="M340" i="3"/>
  <c r="L340" i="3"/>
  <c r="K340" i="3"/>
  <c r="J340" i="3"/>
  <c r="I340" i="3"/>
  <c r="H340" i="3"/>
  <c r="G340" i="3"/>
  <c r="M338" i="3"/>
  <c r="L338" i="3"/>
  <c r="K338" i="3"/>
  <c r="J338" i="3"/>
  <c r="I338" i="3"/>
  <c r="H338" i="3"/>
  <c r="G338" i="3"/>
  <c r="M329" i="3"/>
  <c r="M176" i="3" s="1"/>
  <c r="L329" i="3"/>
  <c r="L176" i="3" s="1"/>
  <c r="K329" i="3"/>
  <c r="K176" i="3" s="1"/>
  <c r="J329" i="3"/>
  <c r="J176" i="3" s="1"/>
  <c r="I329" i="3"/>
  <c r="I176" i="3" s="1"/>
  <c r="H329" i="3"/>
  <c r="H176" i="3" s="1"/>
  <c r="G329" i="3"/>
  <c r="G176" i="3" s="1"/>
  <c r="M321" i="3"/>
  <c r="L321" i="3"/>
  <c r="K321" i="3"/>
  <c r="J321" i="3"/>
  <c r="I321" i="3"/>
  <c r="H321" i="3"/>
  <c r="G321" i="3"/>
  <c r="M299" i="3"/>
  <c r="L299" i="3"/>
  <c r="K299" i="3"/>
  <c r="J299" i="3"/>
  <c r="I299" i="3"/>
  <c r="H299" i="3"/>
  <c r="M269" i="3"/>
  <c r="L269" i="3"/>
  <c r="K269" i="3"/>
  <c r="J269" i="3"/>
  <c r="I269" i="3"/>
  <c r="H269" i="3"/>
  <c r="G269" i="3"/>
  <c r="G253" i="3"/>
  <c r="G251" i="3"/>
  <c r="M240" i="3"/>
  <c r="L240" i="3"/>
  <c r="K240" i="3"/>
  <c r="J240" i="3"/>
  <c r="I240" i="3"/>
  <c r="H240" i="3"/>
  <c r="M245" i="3"/>
  <c r="L245" i="3"/>
  <c r="K245" i="3"/>
  <c r="J245" i="3"/>
  <c r="I245" i="3"/>
  <c r="H245" i="3"/>
  <c r="G245" i="3"/>
  <c r="M207" i="3"/>
  <c r="L207" i="3"/>
  <c r="K207" i="3"/>
  <c r="J207" i="3"/>
  <c r="I207" i="3"/>
  <c r="H207" i="3"/>
  <c r="G207" i="3"/>
  <c r="M205" i="3"/>
  <c r="L205" i="3"/>
  <c r="K205" i="3"/>
  <c r="J205" i="3"/>
  <c r="I205" i="3"/>
  <c r="H205" i="3"/>
  <c r="G205" i="3"/>
  <c r="M197" i="3"/>
  <c r="L197" i="3"/>
  <c r="K197" i="3"/>
  <c r="J197" i="3"/>
  <c r="I197" i="3"/>
  <c r="H197" i="3"/>
  <c r="G197" i="3"/>
  <c r="M189" i="3"/>
  <c r="L189" i="3"/>
  <c r="K189" i="3"/>
  <c r="J189" i="3"/>
  <c r="I189" i="3"/>
  <c r="H189" i="3"/>
  <c r="G189" i="3"/>
  <c r="M183" i="3"/>
  <c r="L183" i="3"/>
  <c r="K183" i="3"/>
  <c r="J183" i="3"/>
  <c r="I183" i="3"/>
  <c r="H183" i="3"/>
  <c r="G183" i="3"/>
  <c r="M181" i="3"/>
  <c r="L181" i="3"/>
  <c r="K181" i="3"/>
  <c r="J181" i="3"/>
  <c r="I181" i="3"/>
  <c r="H181" i="3"/>
  <c r="G181" i="3"/>
  <c r="M174" i="3"/>
  <c r="L174" i="3"/>
  <c r="K174" i="3"/>
  <c r="J174" i="3"/>
  <c r="I174" i="3"/>
  <c r="H174" i="3"/>
  <c r="G174" i="3"/>
  <c r="M170" i="3"/>
  <c r="L170" i="3"/>
  <c r="K170" i="3"/>
  <c r="J170" i="3"/>
  <c r="I170" i="3"/>
  <c r="H170" i="3"/>
  <c r="G170" i="3"/>
  <c r="M166" i="3"/>
  <c r="L166" i="3"/>
  <c r="K166" i="3"/>
  <c r="J166" i="3"/>
  <c r="I166" i="3"/>
  <c r="H166" i="3"/>
  <c r="G166" i="3"/>
  <c r="M158" i="3"/>
  <c r="L158" i="3"/>
  <c r="K158" i="3"/>
  <c r="J158" i="3"/>
  <c r="I158" i="3"/>
  <c r="H158" i="3"/>
  <c r="G158" i="3"/>
  <c r="M70" i="3"/>
  <c r="M73" i="3" s="1"/>
  <c r="M74" i="3" s="1"/>
  <c r="L70" i="3"/>
  <c r="L73" i="3" s="1"/>
  <c r="L74" i="3" s="1"/>
  <c r="K70" i="3"/>
  <c r="K73" i="3" s="1"/>
  <c r="K74" i="3" s="1"/>
  <c r="J70" i="3"/>
  <c r="J73" i="3" s="1"/>
  <c r="J74" i="3" s="1"/>
  <c r="I70" i="3"/>
  <c r="I73" i="3" s="1"/>
  <c r="I74" i="3" s="1"/>
  <c r="H70" i="3"/>
  <c r="H73" i="3" s="1"/>
  <c r="H74" i="3" s="1"/>
  <c r="G70" i="3"/>
  <c r="F34" i="3"/>
  <c r="M30" i="3"/>
  <c r="L30" i="3"/>
  <c r="K30" i="3"/>
  <c r="J30" i="3"/>
  <c r="I30" i="3"/>
  <c r="H30" i="3"/>
  <c r="G30" i="3"/>
  <c r="M28" i="3"/>
  <c r="L28" i="3"/>
  <c r="K28" i="3"/>
  <c r="J28" i="3"/>
  <c r="I28" i="3"/>
  <c r="H28" i="3"/>
  <c r="G28" i="3"/>
  <c r="M27" i="3"/>
  <c r="M11" i="49" s="1"/>
  <c r="L27" i="3"/>
  <c r="L11" i="49" s="1"/>
  <c r="K27" i="3"/>
  <c r="J27" i="3"/>
  <c r="I27" i="3"/>
  <c r="H27" i="3"/>
  <c r="G27" i="3"/>
  <c r="M26" i="3"/>
  <c r="L26" i="3"/>
  <c r="K26" i="3"/>
  <c r="J26" i="3"/>
  <c r="I26" i="3"/>
  <c r="H26" i="3"/>
  <c r="G26" i="3"/>
  <c r="M25" i="3"/>
  <c r="L25" i="3"/>
  <c r="K25" i="3"/>
  <c r="J25" i="3"/>
  <c r="I25" i="3"/>
  <c r="H25" i="3"/>
  <c r="G25" i="3"/>
  <c r="M22" i="3"/>
  <c r="L22" i="3"/>
  <c r="K22" i="3"/>
  <c r="J22" i="3"/>
  <c r="I22" i="3"/>
  <c r="H22" i="3"/>
  <c r="G22" i="3"/>
  <c r="M20" i="3"/>
  <c r="L20" i="3"/>
  <c r="K20" i="3"/>
  <c r="J20" i="3"/>
  <c r="I20" i="3"/>
  <c r="H20" i="3"/>
  <c r="G20" i="3"/>
  <c r="M12" i="3"/>
  <c r="L12" i="3"/>
  <c r="K12" i="3"/>
  <c r="J12" i="3"/>
  <c r="J10" i="57" s="1"/>
  <c r="I26" i="56"/>
  <c r="H26" i="56"/>
  <c r="CJ135" i="30"/>
  <c r="CE135" i="30"/>
  <c r="BZ135" i="30"/>
  <c r="BU135" i="30"/>
  <c r="BP135" i="30"/>
  <c r="BK135" i="30"/>
  <c r="BF135" i="30"/>
  <c r="BA135" i="30"/>
  <c r="AV135" i="30"/>
  <c r="AQ135" i="30"/>
  <c r="AL135" i="30"/>
  <c r="AG135" i="30"/>
  <c r="AB135" i="30"/>
  <c r="W135" i="30"/>
  <c r="R135" i="30"/>
  <c r="M135" i="30"/>
  <c r="CJ134" i="30"/>
  <c r="CE134" i="30"/>
  <c r="BZ134" i="30"/>
  <c r="BU134" i="30"/>
  <c r="BU139" i="30" s="1"/>
  <c r="BP134" i="30"/>
  <c r="BK134" i="30"/>
  <c r="BF134" i="30"/>
  <c r="BA134" i="30"/>
  <c r="AV134" i="30"/>
  <c r="AQ134" i="30"/>
  <c r="AL134" i="30"/>
  <c r="AG134" i="30"/>
  <c r="AG139" i="30" s="1"/>
  <c r="AB134" i="30"/>
  <c r="W134" i="30"/>
  <c r="R134" i="30"/>
  <c r="M134" i="30"/>
  <c r="CJ130" i="30"/>
  <c r="CE130" i="30"/>
  <c r="BZ130" i="30"/>
  <c r="BU130" i="30"/>
  <c r="BP130" i="30"/>
  <c r="BK130" i="30"/>
  <c r="BF130" i="30"/>
  <c r="BA130" i="30"/>
  <c r="AV130" i="30"/>
  <c r="AQ130" i="30"/>
  <c r="AL130" i="30"/>
  <c r="AG130" i="30"/>
  <c r="AB130" i="30"/>
  <c r="W130" i="30"/>
  <c r="R130" i="30"/>
  <c r="M130" i="30"/>
  <c r="CJ121" i="30"/>
  <c r="CE121" i="30"/>
  <c r="BZ121" i="30"/>
  <c r="BU121" i="30"/>
  <c r="BP121" i="30"/>
  <c r="BK121" i="30"/>
  <c r="BF121" i="30"/>
  <c r="BA121" i="30"/>
  <c r="AV121" i="30"/>
  <c r="AQ121" i="30"/>
  <c r="AL121" i="30"/>
  <c r="AG121" i="30"/>
  <c r="AB121" i="30"/>
  <c r="W121" i="30"/>
  <c r="R121" i="30"/>
  <c r="M121" i="30"/>
  <c r="CJ120" i="30"/>
  <c r="CE120" i="30"/>
  <c r="BZ120" i="30"/>
  <c r="BU120" i="30"/>
  <c r="BP120" i="30"/>
  <c r="BK120" i="30"/>
  <c r="BF120" i="30"/>
  <c r="BA120" i="30"/>
  <c r="AV120" i="30"/>
  <c r="AQ120" i="30"/>
  <c r="AL120" i="30"/>
  <c r="AG120" i="30"/>
  <c r="AB120" i="30"/>
  <c r="W120" i="30"/>
  <c r="R120" i="30"/>
  <c r="M120" i="30"/>
  <c r="CJ117" i="30"/>
  <c r="CE117" i="30"/>
  <c r="BZ117" i="30"/>
  <c r="BU117" i="30"/>
  <c r="BP117" i="30"/>
  <c r="BK117" i="30"/>
  <c r="BF117" i="30"/>
  <c r="BA117" i="30"/>
  <c r="AV117" i="30"/>
  <c r="AQ117" i="30"/>
  <c r="AL117" i="30"/>
  <c r="AG117" i="30"/>
  <c r="AB117" i="30"/>
  <c r="W117" i="30"/>
  <c r="R117" i="30"/>
  <c r="M117" i="30"/>
  <c r="CJ108" i="30"/>
  <c r="CE108" i="30"/>
  <c r="BZ108" i="30"/>
  <c r="BU108" i="30"/>
  <c r="BP108" i="30"/>
  <c r="BK108" i="30"/>
  <c r="BF108" i="30"/>
  <c r="BA108" i="30"/>
  <c r="AV108" i="30"/>
  <c r="AQ108" i="30"/>
  <c r="AL108" i="30"/>
  <c r="AG108" i="30"/>
  <c r="AB108" i="30"/>
  <c r="W108" i="30"/>
  <c r="R108" i="30"/>
  <c r="M108" i="30"/>
  <c r="CJ107" i="30"/>
  <c r="CE107" i="30"/>
  <c r="BZ107" i="30"/>
  <c r="BU107" i="30"/>
  <c r="BP107" i="30"/>
  <c r="BK107" i="30"/>
  <c r="BF107" i="30"/>
  <c r="BA107" i="30"/>
  <c r="AV107" i="30"/>
  <c r="AQ107" i="30"/>
  <c r="AL107" i="30"/>
  <c r="AG107" i="30"/>
  <c r="AB107" i="30"/>
  <c r="W107" i="30"/>
  <c r="R107" i="30"/>
  <c r="M107" i="30"/>
  <c r="C89" i="30"/>
  <c r="C72" i="30"/>
  <c r="CO67" i="30"/>
  <c r="CJ67" i="30"/>
  <c r="CE67" i="30"/>
  <c r="BZ67" i="30"/>
  <c r="BU67" i="30"/>
  <c r="BP67" i="30"/>
  <c r="BK67" i="30"/>
  <c r="BF67" i="30"/>
  <c r="BA67" i="30"/>
  <c r="AV67" i="30"/>
  <c r="AQ67" i="30"/>
  <c r="AL67" i="30"/>
  <c r="AG67" i="30"/>
  <c r="AB67" i="30"/>
  <c r="W67" i="30"/>
  <c r="R67" i="30"/>
  <c r="M67" i="30"/>
  <c r="CO63" i="30"/>
  <c r="CJ63" i="30"/>
  <c r="CE63" i="30"/>
  <c r="BZ63" i="30"/>
  <c r="BU63" i="30"/>
  <c r="BP63" i="30"/>
  <c r="BK63" i="30"/>
  <c r="BF63" i="30"/>
  <c r="BA63" i="30"/>
  <c r="AV63" i="30"/>
  <c r="AQ63" i="30"/>
  <c r="AL63" i="30"/>
  <c r="AG63" i="30"/>
  <c r="AB63" i="30"/>
  <c r="W63" i="30"/>
  <c r="R63" i="30"/>
  <c r="M63" i="30"/>
  <c r="CO53" i="30"/>
  <c r="CJ53" i="30"/>
  <c r="CE53" i="30"/>
  <c r="BZ53" i="30"/>
  <c r="BU53" i="30"/>
  <c r="BP53" i="30"/>
  <c r="BK53" i="30"/>
  <c r="BF53" i="30"/>
  <c r="BA53" i="30"/>
  <c r="AV53" i="30"/>
  <c r="AQ53" i="30"/>
  <c r="AL53" i="30"/>
  <c r="AG53" i="30"/>
  <c r="AB53" i="30"/>
  <c r="W53" i="30"/>
  <c r="R53" i="30"/>
  <c r="M53" i="30"/>
  <c r="C29" i="30"/>
  <c r="C27" i="30"/>
  <c r="C26" i="30"/>
  <c r="D18" i="28" s="1"/>
  <c r="CJ24" i="30"/>
  <c r="CE24" i="30"/>
  <c r="BZ24" i="30"/>
  <c r="BU24" i="30"/>
  <c r="BP24" i="30"/>
  <c r="BK24" i="30"/>
  <c r="BF24" i="30"/>
  <c r="BA24" i="30"/>
  <c r="AV24" i="30"/>
  <c r="AQ24" i="30"/>
  <c r="AL24" i="30"/>
  <c r="AG24" i="30"/>
  <c r="AB24" i="30"/>
  <c r="W24" i="30"/>
  <c r="R24" i="30"/>
  <c r="M24" i="30"/>
  <c r="C20" i="30"/>
  <c r="CO7" i="30"/>
  <c r="O1" i="30" a="1"/>
  <c r="O1" i="30" s="1"/>
  <c r="BC35" i="53"/>
  <c r="BC15" i="53" s="1"/>
  <c r="BC13" i="53" s="1"/>
  <c r="AI35" i="53"/>
  <c r="AI15" i="53" s="1"/>
  <c r="AI13" i="53" s="1"/>
  <c r="AB55" i="53" s="1"/>
  <c r="AE55" i="53" s="1"/>
  <c r="Y35" i="53"/>
  <c r="Y15" i="53" s="1"/>
  <c r="Y13" i="53" s="1"/>
  <c r="R55" i="53" s="1"/>
  <c r="U55" i="53" s="1"/>
  <c r="BM15" i="53"/>
  <c r="BM13" i="53" s="1"/>
  <c r="BF15" i="53" s="1"/>
  <c r="BI15" i="53" s="1"/>
  <c r="AS15" i="53"/>
  <c r="AS13" i="53" s="1"/>
  <c r="AB14" i="53"/>
  <c r="AL14" i="53" s="1"/>
  <c r="R14" i="53"/>
  <c r="R13" i="53" a="1"/>
  <c r="R13" i="53" s="1"/>
  <c r="M104" i="14"/>
  <c r="L104" i="14"/>
  <c r="K104" i="14"/>
  <c r="J104" i="14"/>
  <c r="I104" i="14"/>
  <c r="H104" i="14"/>
  <c r="G104" i="14"/>
  <c r="M94" i="14"/>
  <c r="L94" i="14"/>
  <c r="K94" i="14"/>
  <c r="J94" i="14"/>
  <c r="I94" i="14"/>
  <c r="H94" i="14"/>
  <c r="G94" i="14"/>
  <c r="M14" i="14"/>
  <c r="L14" i="14"/>
  <c r="K14" i="14"/>
  <c r="J14" i="14"/>
  <c r="I14" i="14"/>
  <c r="H14" i="14"/>
  <c r="G14" i="14"/>
  <c r="M10" i="14"/>
  <c r="L10" i="14"/>
  <c r="K10" i="14"/>
  <c r="J10" i="14"/>
  <c r="I10" i="14"/>
  <c r="H10" i="14"/>
  <c r="G10" i="14"/>
  <c r="M81" i="14"/>
  <c r="L81" i="14"/>
  <c r="K81" i="14"/>
  <c r="J81" i="14"/>
  <c r="I81" i="14"/>
  <c r="H81" i="14"/>
  <c r="G81" i="14"/>
  <c r="G28" i="14"/>
  <c r="G25" i="14"/>
  <c r="D9" i="50"/>
  <c r="E9" i="50" s="1"/>
  <c r="F9" i="50" s="1"/>
  <c r="J235" i="28"/>
  <c r="I235" i="28"/>
  <c r="H235" i="28"/>
  <c r="G235" i="28"/>
  <c r="F235" i="28"/>
  <c r="E235" i="28"/>
  <c r="D235" i="28"/>
  <c r="C235" i="28"/>
  <c r="A121" i="27" s="1"/>
  <c r="B121" i="27" s="1"/>
  <c r="J234" i="28"/>
  <c r="I234" i="28"/>
  <c r="H234" i="28"/>
  <c r="G234" i="28"/>
  <c r="F234" i="28"/>
  <c r="E234" i="28"/>
  <c r="D234" i="28"/>
  <c r="C234" i="28"/>
  <c r="A120" i="27" s="1"/>
  <c r="B120" i="27" s="1"/>
  <c r="J233" i="28"/>
  <c r="I233" i="28"/>
  <c r="H233" i="28"/>
  <c r="G233" i="28"/>
  <c r="F233" i="28"/>
  <c r="E233" i="28"/>
  <c r="D233" i="28"/>
  <c r="C233" i="28"/>
  <c r="A119" i="27" s="1"/>
  <c r="B119" i="27" s="1"/>
  <c r="J232" i="28"/>
  <c r="I232" i="28"/>
  <c r="H232" i="28"/>
  <c r="G232" i="28"/>
  <c r="F232" i="28"/>
  <c r="E232" i="28"/>
  <c r="D232" i="28"/>
  <c r="C232" i="28"/>
  <c r="A118" i="27" s="1"/>
  <c r="B118" i="27" s="1"/>
  <c r="J231" i="28"/>
  <c r="I231" i="28"/>
  <c r="H231" i="28"/>
  <c r="G231" i="28"/>
  <c r="F231" i="28"/>
  <c r="E231" i="28"/>
  <c r="D231" i="28"/>
  <c r="C231" i="28"/>
  <c r="A117" i="27" s="1"/>
  <c r="B117" i="27" s="1"/>
  <c r="J230" i="28"/>
  <c r="I230" i="28"/>
  <c r="H230" i="28"/>
  <c r="G230" i="28"/>
  <c r="F230" i="28"/>
  <c r="E230" i="28"/>
  <c r="D230" i="28"/>
  <c r="C230" i="28"/>
  <c r="A116" i="27" s="1"/>
  <c r="B116" i="27" s="1"/>
  <c r="J229" i="28"/>
  <c r="I229" i="28"/>
  <c r="H229" i="28"/>
  <c r="G229" i="28"/>
  <c r="F229" i="28"/>
  <c r="E229" i="28"/>
  <c r="D229" i="28"/>
  <c r="C229" i="28"/>
  <c r="A115" i="27" s="1"/>
  <c r="B115" i="27" s="1"/>
  <c r="J228" i="28"/>
  <c r="I228" i="28"/>
  <c r="H228" i="28"/>
  <c r="G228" i="28"/>
  <c r="F228" i="28"/>
  <c r="E228" i="28"/>
  <c r="D228" i="28"/>
  <c r="C228" i="28"/>
  <c r="A114" i="27" s="1"/>
  <c r="B114" i="27" s="1"/>
  <c r="J227" i="28"/>
  <c r="I227" i="28"/>
  <c r="H227" i="28"/>
  <c r="G227" i="28"/>
  <c r="F227" i="28"/>
  <c r="E227" i="28"/>
  <c r="D227" i="28"/>
  <c r="C227" i="28"/>
  <c r="J226" i="28"/>
  <c r="I226" i="28"/>
  <c r="H226" i="28"/>
  <c r="G226" i="28"/>
  <c r="F226" i="28"/>
  <c r="E226" i="28"/>
  <c r="D226" i="28"/>
  <c r="C226" i="28"/>
  <c r="J225" i="28"/>
  <c r="I225" i="28"/>
  <c r="H225" i="28"/>
  <c r="G225" i="28"/>
  <c r="F225" i="28"/>
  <c r="E225" i="28"/>
  <c r="D225" i="28"/>
  <c r="C225" i="28"/>
  <c r="C224" i="28"/>
  <c r="J223" i="28"/>
  <c r="I223" i="28"/>
  <c r="H223" i="28"/>
  <c r="G223" i="28"/>
  <c r="F223" i="28"/>
  <c r="E223" i="28"/>
  <c r="D223" i="28"/>
  <c r="C223" i="28"/>
  <c r="C222" i="28"/>
  <c r="C221" i="28"/>
  <c r="C220" i="28"/>
  <c r="C219" i="28"/>
  <c r="C218" i="28"/>
  <c r="C217" i="28"/>
  <c r="C216" i="28"/>
  <c r="C215" i="28"/>
  <c r="C214" i="28"/>
  <c r="C210" i="28"/>
  <c r="C208" i="28"/>
  <c r="C207" i="28"/>
  <c r="C206" i="28"/>
  <c r="C205" i="28"/>
  <c r="C204" i="28"/>
  <c r="C203" i="28"/>
  <c r="C202" i="28"/>
  <c r="C201" i="28"/>
  <c r="C200" i="28"/>
  <c r="C199" i="28"/>
  <c r="C198" i="28"/>
  <c r="C197" i="28"/>
  <c r="C196" i="28"/>
  <c r="C195" i="28"/>
  <c r="C194" i="28"/>
  <c r="C193" i="28"/>
  <c r="C192" i="28"/>
  <c r="C191" i="28"/>
  <c r="A79" i="27" s="1"/>
  <c r="C190" i="28"/>
  <c r="A78" i="27" s="1"/>
  <c r="J187" i="28"/>
  <c r="I187" i="28"/>
  <c r="H187" i="28"/>
  <c r="G187" i="28"/>
  <c r="F187" i="28"/>
  <c r="E187" i="28"/>
  <c r="D187" i="28"/>
  <c r="C187" i="28"/>
  <c r="H144" i="28"/>
  <c r="F144" i="28"/>
  <c r="D144" i="28"/>
  <c r="C61" i="28"/>
  <c r="H34" i="28"/>
  <c r="F33" i="28"/>
  <c r="D33" i="28"/>
  <c r="D13" i="28"/>
  <c r="AA194" i="4" a="1"/>
  <c r="AA193" i="4" a="1"/>
  <c r="H504" i="3" l="1"/>
  <c r="I504" i="3"/>
  <c r="J504" i="3"/>
  <c r="K504" i="3"/>
  <c r="L504" i="3"/>
  <c r="M504" i="3"/>
  <c r="G504" i="3"/>
  <c r="L74" i="55"/>
  <c r="L180" i="57"/>
  <c r="K180" i="57"/>
  <c r="J180" i="57"/>
  <c r="G180" i="57"/>
  <c r="M180" i="57"/>
  <c r="I180" i="57"/>
  <c r="H180" i="57"/>
  <c r="G85" i="55"/>
  <c r="M181" i="57"/>
  <c r="J181" i="57"/>
  <c r="G181" i="57"/>
  <c r="L181" i="57"/>
  <c r="I181" i="57"/>
  <c r="K181" i="57"/>
  <c r="H181" i="57"/>
  <c r="G500" i="3"/>
  <c r="H500" i="3"/>
  <c r="I500" i="3"/>
  <c r="J500" i="3"/>
  <c r="K500" i="3"/>
  <c r="L500" i="3"/>
  <c r="M500" i="3"/>
  <c r="J14" i="49"/>
  <c r="J501" i="3"/>
  <c r="K14" i="49"/>
  <c r="K501" i="3"/>
  <c r="L14" i="49"/>
  <c r="L501" i="3"/>
  <c r="M14" i="49"/>
  <c r="M501" i="3"/>
  <c r="G14" i="49"/>
  <c r="G501" i="3"/>
  <c r="I14" i="49"/>
  <c r="I501" i="3"/>
  <c r="H14" i="49"/>
  <c r="H501" i="3"/>
  <c r="G185" i="3"/>
  <c r="M26" i="56"/>
  <c r="M10" i="57"/>
  <c r="H412" i="3"/>
  <c r="H54" i="14"/>
  <c r="J412" i="3"/>
  <c r="J54" i="14"/>
  <c r="K412" i="3"/>
  <c r="K54" i="14"/>
  <c r="L412" i="3"/>
  <c r="L54" i="14"/>
  <c r="M412" i="3"/>
  <c r="M54" i="14"/>
  <c r="K10" i="55"/>
  <c r="K10" i="57"/>
  <c r="L26" i="56"/>
  <c r="L10" i="57"/>
  <c r="G412" i="3"/>
  <c r="G54" i="14"/>
  <c r="M494" i="3"/>
  <c r="K494" i="3"/>
  <c r="J494" i="3"/>
  <c r="I494" i="3"/>
  <c r="H494" i="3"/>
  <c r="L494" i="3"/>
  <c r="G70" i="4"/>
  <c r="G494" i="3"/>
  <c r="K495" i="3"/>
  <c r="L495" i="3"/>
  <c r="M495" i="3"/>
  <c r="H495" i="3"/>
  <c r="I495" i="3"/>
  <c r="J495" i="3"/>
  <c r="B9" i="50"/>
  <c r="B29" i="50" s="1" a="1"/>
  <c r="B29" i="50" s="1"/>
  <c r="B2" i="57"/>
  <c r="H315" i="56" a="1"/>
  <c r="H315" i="56" s="1"/>
  <c r="H409" i="57" s="1"/>
  <c r="N260" i="56"/>
  <c r="AV14" i="53"/>
  <c r="AL13" i="53" a="1"/>
  <c r="AL13" i="53" s="1"/>
  <c r="AB13" i="53" a="1"/>
  <c r="AB13" i="53" s="1"/>
  <c r="AV139" i="30"/>
  <c r="CJ139" i="30"/>
  <c r="M139" i="30"/>
  <c r="BA139" i="30"/>
  <c r="R139" i="30"/>
  <c r="BF139" i="30"/>
  <c r="W139" i="30"/>
  <c r="BK139" i="30"/>
  <c r="AB139" i="30"/>
  <c r="BP139" i="30"/>
  <c r="AL139" i="30"/>
  <c r="BZ139" i="30"/>
  <c r="AQ139" i="30"/>
  <c r="CE139" i="30"/>
  <c r="G73" i="3"/>
  <c r="G74" i="3" s="1"/>
  <c r="AL15" i="53"/>
  <c r="AO15" i="53" s="1"/>
  <c r="AL35" i="53"/>
  <c r="AO35" i="53" s="1"/>
  <c r="H14" i="3"/>
  <c r="H16" i="14" s="1"/>
  <c r="AT105" i="27"/>
  <c r="BF140" i="30"/>
  <c r="AV140" i="30"/>
  <c r="CJ140" i="30"/>
  <c r="M140" i="30"/>
  <c r="BA140" i="30"/>
  <c r="AL140" i="30"/>
  <c r="BZ140" i="30"/>
  <c r="J85" i="55"/>
  <c r="AQ140" i="30"/>
  <c r="CE140" i="30"/>
  <c r="I85" i="55"/>
  <c r="K85" i="55"/>
  <c r="K74" i="55"/>
  <c r="H85" i="55"/>
  <c r="J74" i="55"/>
  <c r="I74" i="55"/>
  <c r="W140" i="30"/>
  <c r="BK140" i="30"/>
  <c r="H74" i="55"/>
  <c r="AB140" i="30"/>
  <c r="BP140" i="30"/>
  <c r="M85" i="55"/>
  <c r="M74" i="55"/>
  <c r="AG140" i="30"/>
  <c r="BU140" i="30"/>
  <c r="L85" i="55"/>
  <c r="J70" i="4"/>
  <c r="K70" i="4"/>
  <c r="L70" i="4"/>
  <c r="G495" i="3"/>
  <c r="I70" i="4"/>
  <c r="M70" i="4"/>
  <c r="H70" i="4"/>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106" i="27"/>
  <c r="B106" i="27" s="1"/>
  <c r="A87" i="27"/>
  <c r="B87" i="27" s="1"/>
  <c r="A95" i="27"/>
  <c r="A107" i="27"/>
  <c r="B107" i="27" s="1"/>
  <c r="B78"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04" i="27"/>
  <c r="B104" i="27" s="1"/>
  <c r="A113" i="27"/>
  <c r="B113" i="27" s="1"/>
  <c r="L21" i="27" a="1"/>
  <c r="L21" i="27" s="1"/>
  <c r="N21" i="27" s="1"/>
  <c r="B2" i="55"/>
  <c r="B2" i="52"/>
  <c r="B2" i="2"/>
  <c r="B2" i="14"/>
  <c r="B2" i="56"/>
  <c r="B2" i="49"/>
  <c r="B2" i="28"/>
  <c r="B2" i="53" s="1"/>
  <c r="B2" i="22"/>
  <c r="B2" i="3"/>
  <c r="B2" i="25"/>
  <c r="B2" i="4"/>
  <c r="L20" i="27" a="1"/>
  <c r="L20" i="27" s="1"/>
  <c r="N20" i="27" s="1"/>
  <c r="O68" i="27" a="1"/>
  <c r="O68" i="27" s="1"/>
  <c r="O70" i="27" s="1"/>
  <c r="F64" i="2"/>
  <c r="F69" i="2"/>
  <c r="L19" i="27" a="1"/>
  <c r="L19" i="27" s="1"/>
  <c r="N19" i="27" s="1"/>
  <c r="F57" i="2"/>
  <c r="L22" i="27" a="1"/>
  <c r="L22" i="27" s="1"/>
  <c r="N22" i="27" s="1"/>
  <c r="F67" i="2"/>
  <c r="N389" i="56"/>
  <c r="G129" i="4"/>
  <c r="G130" i="4"/>
  <c r="H129" i="4"/>
  <c r="H130" i="4"/>
  <c r="I129" i="4"/>
  <c r="I130" i="4"/>
  <c r="J129" i="4"/>
  <c r="J130" i="4"/>
  <c r="K129" i="4"/>
  <c r="K130" i="4"/>
  <c r="L129" i="4"/>
  <c r="L130" i="4"/>
  <c r="M129" i="4"/>
  <c r="M130" i="4"/>
  <c r="F57" i="56"/>
  <c r="F58" i="56"/>
  <c r="F503" i="3"/>
  <c r="A143" i="27" s="1"/>
  <c r="C2" i="30"/>
  <c r="M14" i="3"/>
  <c r="M16" i="14" s="1"/>
  <c r="H201" i="3"/>
  <c r="M12" i="49"/>
  <c r="H29" i="3"/>
  <c r="H9" i="57" s="1"/>
  <c r="H193" i="3"/>
  <c r="M29" i="3"/>
  <c r="M9" i="57" s="1"/>
  <c r="G18" i="4"/>
  <c r="AT96" i="27"/>
  <c r="F59" i="2"/>
  <c r="F66" i="2"/>
  <c r="AT107" i="27"/>
  <c r="M10" i="49"/>
  <c r="I29" i="3"/>
  <c r="I9" i="57" s="1"/>
  <c r="J10" i="56"/>
  <c r="M193" i="3"/>
  <c r="G12" i="49"/>
  <c r="L10" i="56"/>
  <c r="L29" i="3"/>
  <c r="L9" i="57" s="1"/>
  <c r="L162" i="3"/>
  <c r="L315" i="3" s="1"/>
  <c r="G29" i="3"/>
  <c r="M185" i="3"/>
  <c r="G193" i="3"/>
  <c r="L9" i="49"/>
  <c r="B47" i="25"/>
  <c r="B58" i="25"/>
  <c r="B64" i="25"/>
  <c r="B43" i="25"/>
  <c r="B66" i="25"/>
  <c r="B46" i="25"/>
  <c r="B54" i="25"/>
  <c r="B62" i="25"/>
  <c r="B55" i="25"/>
  <c r="B48" i="25"/>
  <c r="B57" i="25"/>
  <c r="B50" i="25"/>
  <c r="B65" i="25"/>
  <c r="B51" i="25"/>
  <c r="B59" i="25"/>
  <c r="B67" i="25"/>
  <c r="B44" i="25"/>
  <c r="B52" i="25"/>
  <c r="B60" i="25"/>
  <c r="B68" i="25"/>
  <c r="G14" i="3"/>
  <c r="G16" i="14" s="1"/>
  <c r="H9" i="49"/>
  <c r="H162" i="3"/>
  <c r="H315" i="3" s="1"/>
  <c r="I10" i="49"/>
  <c r="J29" i="3"/>
  <c r="J9" i="57" s="1"/>
  <c r="J185" i="3"/>
  <c r="J11" i="49"/>
  <c r="K10" i="56"/>
  <c r="K12" i="49"/>
  <c r="K193" i="3"/>
  <c r="K201" i="3"/>
  <c r="K185" i="3"/>
  <c r="K14" i="3"/>
  <c r="K16" i="14" s="1"/>
  <c r="K458" i="3"/>
  <c r="K173" i="56"/>
  <c r="K12" i="22"/>
  <c r="K26" i="56"/>
  <c r="K17" i="4"/>
  <c r="K18" i="4" s="1"/>
  <c r="I412" i="3"/>
  <c r="J12" i="22"/>
  <c r="J173" i="56"/>
  <c r="J14" i="3"/>
  <c r="J16" i="14" s="1"/>
  <c r="K29" i="3"/>
  <c r="K9" i="57" s="1"/>
  <c r="M162" i="3"/>
  <c r="M315" i="3" s="1"/>
  <c r="L185" i="3"/>
  <c r="G201" i="3"/>
  <c r="M458" i="3"/>
  <c r="M10" i="56"/>
  <c r="J17" i="4"/>
  <c r="J18" i="4" s="1"/>
  <c r="J10" i="55"/>
  <c r="K9" i="49"/>
  <c r="L10" i="49"/>
  <c r="L173" i="56"/>
  <c r="L12" i="22"/>
  <c r="L14" i="3"/>
  <c r="L16" i="14" s="1"/>
  <c r="G162" i="3"/>
  <c r="G315" i="3" s="1"/>
  <c r="I201" i="3"/>
  <c r="G10" i="56"/>
  <c r="L17" i="4"/>
  <c r="L10" i="55"/>
  <c r="M9" i="49"/>
  <c r="G11" i="49"/>
  <c r="H12" i="49"/>
  <c r="M173" i="56"/>
  <c r="M12" i="22"/>
  <c r="I193" i="3"/>
  <c r="J201" i="3"/>
  <c r="H458" i="3"/>
  <c r="H10" i="56"/>
  <c r="M17" i="4"/>
  <c r="M10" i="55"/>
  <c r="G10" i="49"/>
  <c r="H11" i="49"/>
  <c r="I12" i="49"/>
  <c r="F13" i="3"/>
  <c r="I162" i="3"/>
  <c r="I315" i="3" s="1"/>
  <c r="H185" i="3"/>
  <c r="J193" i="3"/>
  <c r="I458" i="3"/>
  <c r="I10" i="56"/>
  <c r="G9" i="49"/>
  <c r="H10" i="49"/>
  <c r="I11" i="49"/>
  <c r="J12" i="49"/>
  <c r="J162" i="3"/>
  <c r="J315" i="3" s="1"/>
  <c r="I185" i="3"/>
  <c r="L201" i="3"/>
  <c r="J458" i="3"/>
  <c r="H12" i="22"/>
  <c r="K162" i="3"/>
  <c r="K315" i="3" s="1"/>
  <c r="L193" i="3"/>
  <c r="M201" i="3"/>
  <c r="H17" i="4"/>
  <c r="H18" i="4" s="1"/>
  <c r="H10" i="55"/>
  <c r="I9" i="49"/>
  <c r="J10" i="49"/>
  <c r="K11" i="49"/>
  <c r="L12" i="49"/>
  <c r="I12" i="22"/>
  <c r="I14" i="3"/>
  <c r="I16" i="14" s="1"/>
  <c r="L458" i="3"/>
  <c r="J26" i="56"/>
  <c r="I17" i="4"/>
  <c r="I18" i="4" s="1"/>
  <c r="I10" i="55"/>
  <c r="J9" i="49"/>
  <c r="K10" i="49"/>
  <c r="K157" i="56"/>
  <c r="K63" i="57" s="1"/>
  <c r="K218" i="57" s="1"/>
  <c r="F114" i="56"/>
  <c r="F113" i="56"/>
  <c r="F43" i="56"/>
  <c r="F52" i="56" s="1"/>
  <c r="F36" i="56"/>
  <c r="G74" i="55"/>
  <c r="G63" i="55"/>
  <c r="L157" i="56"/>
  <c r="L63" i="57" s="1"/>
  <c r="L218" i="57" s="1"/>
  <c r="M157" i="56"/>
  <c r="M63" i="57" s="1"/>
  <c r="M218" i="57" s="1"/>
  <c r="G157" i="56"/>
  <c r="G63" i="57" s="1"/>
  <c r="G218" i="57" s="1"/>
  <c r="H157" i="56"/>
  <c r="H63" i="57" s="1"/>
  <c r="H218" i="57" s="1"/>
  <c r="F112" i="56"/>
  <c r="I157" i="56"/>
  <c r="I63" i="57" s="1"/>
  <c r="I218" i="57" s="1"/>
  <c r="J157" i="56"/>
  <c r="J63" i="57" s="1"/>
  <c r="J218" i="57" s="1"/>
  <c r="K401" i="56"/>
  <c r="K315" i="56" s="1" a="1"/>
  <c r="K315" i="56" s="1"/>
  <c r="K409" i="57" s="1"/>
  <c r="T1" i="30" a="1"/>
  <c r="T1" i="30" s="1"/>
  <c r="B6" i="27"/>
  <c r="C6" i="27"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3" i="3"/>
  <c r="K273" i="3"/>
  <c r="J273" i="3"/>
  <c r="I273" i="3"/>
  <c r="H273" i="3"/>
  <c r="G273" i="3"/>
  <c r="M273"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401" i="56"/>
  <c r="I315" i="56" s="1" a="1"/>
  <c r="I315" i="56" s="1"/>
  <c r="I409" i="57" s="1"/>
  <c r="J401" i="56"/>
  <c r="J315" i="56" s="1" a="1"/>
  <c r="J315" i="56" s="1"/>
  <c r="J409" i="57" s="1"/>
  <c r="L401" i="56"/>
  <c r="L315" i="56" s="1" a="1"/>
  <c r="L315" i="56" s="1"/>
  <c r="L409" i="57" s="1"/>
  <c r="M401" i="56"/>
  <c r="M315" i="56" s="1" a="1"/>
  <c r="M315" i="56" s="1"/>
  <c r="M409" i="57" s="1"/>
  <c r="G315" i="56" a="1"/>
  <c r="G315" i="56" s="1"/>
  <c r="G409" i="57" s="1"/>
  <c r="AA194" i="4"/>
  <c r="AA193" i="4"/>
  <c r="AA190" i="4" a="1"/>
  <c r="G503" i="3" l="1"/>
  <c r="H503" i="3"/>
  <c r="K503" i="3"/>
  <c r="M503" i="3"/>
  <c r="J503" i="3"/>
  <c r="I503" i="3"/>
  <c r="L503" i="3"/>
  <c r="G9" i="57"/>
  <c r="I410" i="3"/>
  <c r="J410" i="3"/>
  <c r="L410" i="3"/>
  <c r="G410" i="3"/>
  <c r="M410" i="3"/>
  <c r="K410" i="3"/>
  <c r="H410" i="3"/>
  <c r="B19" i="50" a="1"/>
  <c r="B19" i="50" s="1"/>
  <c r="D34" i="28" s="1"/>
  <c r="C56" i="28" s="1"/>
  <c r="B16" i="50" a="1"/>
  <c r="B16" i="50" s="1"/>
  <c r="I32" i="28" s="1"/>
  <c r="J116" i="3" s="1"/>
  <c r="B21" i="50" a="1"/>
  <c r="B21" i="50" s="1"/>
  <c r="H173" i="56" s="1"/>
  <c r="B17" i="50" a="1"/>
  <c r="B17" i="50" s="1"/>
  <c r="I33" i="28" s="1"/>
  <c r="H123" i="3" s="1"/>
  <c r="B18" i="50" a="1"/>
  <c r="B18" i="50" s="1"/>
  <c r="B33" i="50" a="1"/>
  <c r="B33" i="50" s="1"/>
  <c r="G18" i="14" s="1"/>
  <c r="B8" i="50" a="1"/>
  <c r="B8" i="50" s="1"/>
  <c r="E15" i="53" s="1"/>
  <c r="B15" i="50" a="1"/>
  <c r="B15" i="50" s="1"/>
  <c r="L148" i="3" s="1"/>
  <c r="B31" i="50" a="1"/>
  <c r="B31" i="50" s="1"/>
  <c r="H167" i="56" s="1"/>
  <c r="H73" i="57" s="1"/>
  <c r="H228" i="57" s="1"/>
  <c r="B32" i="50" a="1"/>
  <c r="B32" i="50" s="1"/>
  <c r="M29" i="14" s="1"/>
  <c r="B12" i="50" a="1"/>
  <c r="B12" i="50" s="1"/>
  <c r="K79" i="3" s="1"/>
  <c r="B30" i="50" a="1"/>
  <c r="B30" i="50" s="1"/>
  <c r="B14" i="50" a="1"/>
  <c r="B14" i="50" s="1"/>
  <c r="G44" i="28" s="1"/>
  <c r="J134" i="3" s="1"/>
  <c r="B25" i="50" a="1"/>
  <c r="B25" i="50" s="1"/>
  <c r="I193" i="49" s="1"/>
  <c r="B13" i="50" a="1"/>
  <c r="B13" i="50" s="1"/>
  <c r="D42" i="28" s="1"/>
  <c r="G27" i="4" s="1"/>
  <c r="B28" i="50" a="1"/>
  <c r="B28" i="50" s="1"/>
  <c r="B20" i="50" a="1"/>
  <c r="B20" i="50" s="1"/>
  <c r="B34" i="50" a="1"/>
  <c r="B34" i="50" s="1"/>
  <c r="M334" i="3" s="1"/>
  <c r="M91" i="14" s="1"/>
  <c r="E16" i="53"/>
  <c r="F19" i="53" s="1"/>
  <c r="B24" i="50" a="1"/>
  <c r="B24" i="50" s="1"/>
  <c r="I198" i="49" s="1"/>
  <c r="I9" i="55"/>
  <c r="I312" i="56"/>
  <c r="L44" i="4"/>
  <c r="I197" i="28" s="1"/>
  <c r="L312" i="56"/>
  <c r="M77" i="4"/>
  <c r="M102" i="4" s="1"/>
  <c r="M312" i="56"/>
  <c r="K77" i="4"/>
  <c r="K102" i="4" s="1"/>
  <c r="K312" i="56"/>
  <c r="H11" i="56"/>
  <c r="H304" i="56" s="1"/>
  <c r="H312" i="56"/>
  <c r="G11" i="56"/>
  <c r="G304" i="56" s="1"/>
  <c r="G305" i="56" s="1"/>
  <c r="G400" i="57" s="1"/>
  <c r="G312" i="56"/>
  <c r="J44" i="4"/>
  <c r="G197" i="28" s="1"/>
  <c r="J312" i="56"/>
  <c r="F51" i="56"/>
  <c r="N121" i="56"/>
  <c r="BF14" i="53"/>
  <c r="BF13" i="53" s="1" a="1"/>
  <c r="BF13" i="53" s="1"/>
  <c r="AV13" i="53" a="1"/>
  <c r="AV13" i="53" s="1"/>
  <c r="G77" i="4"/>
  <c r="G102" i="4" s="1"/>
  <c r="J77" i="4"/>
  <c r="J102" i="4" s="1"/>
  <c r="I77" i="4"/>
  <c r="I102" i="4" s="1"/>
  <c r="L77" i="4"/>
  <c r="L102" i="4" s="1"/>
  <c r="H77" i="4"/>
  <c r="H102" i="4" s="1"/>
  <c r="N261" i="56" a="1"/>
  <c r="N261" i="56" s="1"/>
  <c r="N363" i="56" s="1"/>
  <c r="N383" i="56" s="1"/>
  <c r="N388" i="56" s="1"/>
  <c r="N453" i="56" s="1"/>
  <c r="I173" i="56"/>
  <c r="AA190" i="4"/>
  <c r="F112" i="27"/>
  <c r="G112" i="27"/>
  <c r="E112" i="27"/>
  <c r="H112" i="27"/>
  <c r="I112" i="27"/>
  <c r="C112" i="27"/>
  <c r="L11" i="56"/>
  <c r="L304" i="56" s="1"/>
  <c r="D111" i="27"/>
  <c r="E111" i="27"/>
  <c r="F111" i="27"/>
  <c r="H111" i="27"/>
  <c r="G111" i="27"/>
  <c r="I111" i="27"/>
  <c r="I102" i="27"/>
  <c r="G102" i="27"/>
  <c r="C102" i="27"/>
  <c r="D109" i="27"/>
  <c r="C109" i="27"/>
  <c r="I109" i="27"/>
  <c r="H109" i="27"/>
  <c r="G109" i="27"/>
  <c r="E109" i="27"/>
  <c r="F109" i="27"/>
  <c r="I113" i="27"/>
  <c r="H113" i="27"/>
  <c r="G113" i="27"/>
  <c r="F113" i="27"/>
  <c r="E113" i="27"/>
  <c r="D113" i="27"/>
  <c r="C113" i="27"/>
  <c r="H102" i="27"/>
  <c r="E102" i="27"/>
  <c r="D102" i="27"/>
  <c r="F102" i="27"/>
  <c r="I11" i="56"/>
  <c r="I304" i="56" s="1"/>
  <c r="L12" i="56"/>
  <c r="L11" i="22"/>
  <c r="I11" i="22"/>
  <c r="J11" i="56"/>
  <c r="J304" i="56" s="1"/>
  <c r="G11" i="22"/>
  <c r="G44" i="4"/>
  <c r="D197" i="28" s="1"/>
  <c r="M31" i="3"/>
  <c r="M44" i="4"/>
  <c r="J197" i="28" s="1"/>
  <c r="K11" i="56"/>
  <c r="K304" i="56" s="1"/>
  <c r="K44" i="4"/>
  <c r="H197" i="28" s="1"/>
  <c r="H9" i="55"/>
  <c r="H44" i="4"/>
  <c r="E197" i="28" s="1"/>
  <c r="I13" i="49"/>
  <c r="I75" i="49" s="1"/>
  <c r="I125" i="49" s="1"/>
  <c r="I44" i="4"/>
  <c r="F197" i="28" s="1"/>
  <c r="H12" i="56"/>
  <c r="I12" i="56"/>
  <c r="M11" i="56"/>
  <c r="M304" i="56" s="1"/>
  <c r="J12" i="56"/>
  <c r="H13" i="49"/>
  <c r="H21" i="49" s="1"/>
  <c r="H23" i="49" s="1"/>
  <c r="H11" i="25"/>
  <c r="M25" i="56"/>
  <c r="M11" i="22"/>
  <c r="I31" i="3"/>
  <c r="M13" i="49"/>
  <c r="M21" i="49" s="1"/>
  <c r="M23" i="49" s="1"/>
  <c r="M11" i="25"/>
  <c r="I25" i="56"/>
  <c r="M9" i="55"/>
  <c r="H31" i="3"/>
  <c r="H25" i="56"/>
  <c r="H11" i="22"/>
  <c r="G13" i="49"/>
  <c r="G31" i="3"/>
  <c r="G9" i="55"/>
  <c r="I11" i="25"/>
  <c r="F504" i="3"/>
  <c r="G25" i="56"/>
  <c r="G11" i="25"/>
  <c r="M12" i="56"/>
  <c r="K12" i="56"/>
  <c r="L18" i="4"/>
  <c r="M18" i="4"/>
  <c r="L31" i="3"/>
  <c r="L25" i="56"/>
  <c r="L11" i="25"/>
  <c r="L9" i="55"/>
  <c r="G12" i="56"/>
  <c r="L13" i="49"/>
  <c r="L21" i="49" s="1"/>
  <c r="L23" i="49" s="1"/>
  <c r="J11" i="25"/>
  <c r="J31" i="3"/>
  <c r="J8" i="57" s="1"/>
  <c r="J13" i="49"/>
  <c r="J74" i="49" s="1"/>
  <c r="J124" i="49" s="1"/>
  <c r="J11" i="22"/>
  <c r="J25" i="56"/>
  <c r="J9" i="55"/>
  <c r="K11" i="25"/>
  <c r="K11" i="22"/>
  <c r="K31" i="3"/>
  <c r="K8" i="57" s="1"/>
  <c r="K13" i="49"/>
  <c r="K21" i="49" s="1"/>
  <c r="K23" i="49" s="1"/>
  <c r="K9" i="55"/>
  <c r="K25" i="56"/>
  <c r="Y1" i="30" a="1"/>
  <c r="Y1" i="30" s="1"/>
  <c r="G148" i="3"/>
  <c r="AA192" i="4" a="1"/>
  <c r="AA188" i="4" a="1"/>
  <c r="AA191" i="4" a="1"/>
  <c r="AA189" i="4" a="1"/>
  <c r="G21" i="53" l="1"/>
  <c r="L25" i="53"/>
  <c r="G27" i="14"/>
  <c r="G26" i="14"/>
  <c r="J148" i="3"/>
  <c r="I148" i="3"/>
  <c r="M148" i="3"/>
  <c r="K148" i="3"/>
  <c r="H148" i="3"/>
  <c r="G21" i="49"/>
  <c r="G75" i="49"/>
  <c r="G76" i="49"/>
  <c r="G126" i="49" s="1"/>
  <c r="M123" i="3"/>
  <c r="L123" i="3"/>
  <c r="G123" i="3"/>
  <c r="G248" i="3"/>
  <c r="J248" i="3"/>
  <c r="I123" i="3"/>
  <c r="I21" i="53"/>
  <c r="L248" i="3"/>
  <c r="G29" i="53"/>
  <c r="J123" i="3"/>
  <c r="K123" i="3"/>
  <c r="I25" i="53"/>
  <c r="J29" i="53"/>
  <c r="I29" i="53"/>
  <c r="G20" i="53"/>
  <c r="M79" i="3"/>
  <c r="I79" i="3"/>
  <c r="J22" i="53"/>
  <c r="L79" i="3"/>
  <c r="K26" i="53"/>
  <c r="F27" i="53"/>
  <c r="J79" i="3"/>
  <c r="H79" i="3"/>
  <c r="F22" i="53"/>
  <c r="G79" i="3"/>
  <c r="A144" i="27"/>
  <c r="F505" i="3"/>
  <c r="L58" i="49"/>
  <c r="K58" i="49"/>
  <c r="K334" i="3"/>
  <c r="K91" i="14" s="1"/>
  <c r="H334" i="3"/>
  <c r="H91" i="14" s="1"/>
  <c r="K18" i="14"/>
  <c r="K20" i="53"/>
  <c r="I27" i="53"/>
  <c r="J23" i="53"/>
  <c r="J25" i="53"/>
  <c r="K19" i="53"/>
  <c r="F26" i="53"/>
  <c r="I23" i="53"/>
  <c r="J26" i="53"/>
  <c r="L22" i="53"/>
  <c r="L27" i="53"/>
  <c r="H26" i="53"/>
  <c r="H42" i="28"/>
  <c r="K27" i="4" s="1"/>
  <c r="I42" i="28"/>
  <c r="L27" i="4" s="1"/>
  <c r="F25" i="53"/>
  <c r="J20" i="53"/>
  <c r="G22" i="53"/>
  <c r="H21" i="53"/>
  <c r="F20" i="53"/>
  <c r="I26" i="53"/>
  <c r="K23" i="53"/>
  <c r="J27" i="53"/>
  <c r="E44" i="28"/>
  <c r="H134" i="3" s="1"/>
  <c r="H26" i="4" s="1"/>
  <c r="K248" i="3"/>
  <c r="H248" i="3"/>
  <c r="I248" i="3"/>
  <c r="M248" i="3"/>
  <c r="H22" i="53"/>
  <c r="D44" i="28"/>
  <c r="G134" i="3" s="1"/>
  <c r="G26" i="4" s="1"/>
  <c r="I334" i="3"/>
  <c r="I91" i="14" s="1"/>
  <c r="G334" i="3"/>
  <c r="G91" i="14" s="1"/>
  <c r="J334" i="3"/>
  <c r="J91" i="14" s="1"/>
  <c r="L29" i="53"/>
  <c r="I44" i="28"/>
  <c r="L134" i="3" s="1"/>
  <c r="L26" i="4" s="1"/>
  <c r="L29" i="14"/>
  <c r="L334" i="3"/>
  <c r="L91" i="14" s="1"/>
  <c r="I22" i="53"/>
  <c r="H27" i="53"/>
  <c r="I167" i="56"/>
  <c r="I73" i="57" s="1"/>
  <c r="I228" i="57" s="1"/>
  <c r="J29" i="14"/>
  <c r="H29" i="14"/>
  <c r="J42" i="28"/>
  <c r="M27" i="4" s="1"/>
  <c r="L21" i="53"/>
  <c r="G27" i="53"/>
  <c r="K25" i="53"/>
  <c r="F21" i="53"/>
  <c r="J21" i="53"/>
  <c r="I18" i="14"/>
  <c r="H18" i="14"/>
  <c r="K27" i="53"/>
  <c r="M18" i="14"/>
  <c r="G23" i="53"/>
  <c r="J18" i="14"/>
  <c r="G42" i="28"/>
  <c r="J27" i="4" s="1"/>
  <c r="H23" i="53"/>
  <c r="H20" i="53"/>
  <c r="L19" i="53"/>
  <c r="G25" i="53"/>
  <c r="H19" i="53"/>
  <c r="L18" i="14"/>
  <c r="F44" i="28"/>
  <c r="I134" i="3" s="1"/>
  <c r="I26" i="4" s="1"/>
  <c r="H29" i="53"/>
  <c r="E42" i="28"/>
  <c r="H27" i="4" s="1"/>
  <c r="F29" i="53"/>
  <c r="L26" i="53"/>
  <c r="J19" i="53"/>
  <c r="I15" i="53"/>
  <c r="I19" i="53"/>
  <c r="G19" i="53"/>
  <c r="E14" i="53"/>
  <c r="F23" i="53"/>
  <c r="G29" i="14"/>
  <c r="F42" i="28"/>
  <c r="I27" i="4" s="1"/>
  <c r="H25" i="53"/>
  <c r="L20" i="53"/>
  <c r="K21" i="53"/>
  <c r="L23" i="53"/>
  <c r="K22" i="53"/>
  <c r="G15" i="53"/>
  <c r="I20" i="53"/>
  <c r="K29" i="53"/>
  <c r="M167" i="56"/>
  <c r="M73" i="57" s="1"/>
  <c r="M228" i="57" s="1"/>
  <c r="K29" i="14"/>
  <c r="G26" i="53"/>
  <c r="L167" i="56"/>
  <c r="L73" i="57" s="1"/>
  <c r="L228" i="57" s="1"/>
  <c r="I29" i="14"/>
  <c r="J44" i="28"/>
  <c r="M134" i="3" s="1"/>
  <c r="M26" i="4" s="1"/>
  <c r="G167" i="56"/>
  <c r="G73" i="57" s="1"/>
  <c r="G228" i="57" s="1"/>
  <c r="H44" i="28"/>
  <c r="K134" i="3" s="1"/>
  <c r="K26" i="4" s="1"/>
  <c r="K167" i="56"/>
  <c r="K73" i="57" s="1"/>
  <c r="K228" i="57" s="1"/>
  <c r="J167" i="56"/>
  <c r="J73" i="57" s="1"/>
  <c r="J228" i="57" s="1"/>
  <c r="M8" i="55"/>
  <c r="M8" i="57"/>
  <c r="H152" i="56"/>
  <c r="H57" i="57" s="1"/>
  <c r="H212" i="57" s="1"/>
  <c r="I13" i="56"/>
  <c r="I132" i="4" s="1"/>
  <c r="I8" i="57"/>
  <c r="H13" i="56"/>
  <c r="H132" i="4" s="1"/>
  <c r="H8" i="57"/>
  <c r="G15" i="49"/>
  <c r="G8" i="57"/>
  <c r="L32" i="3"/>
  <c r="L10" i="22" s="1"/>
  <c r="L8" i="57"/>
  <c r="G131" i="4"/>
  <c r="H131" i="4"/>
  <c r="G152" i="56"/>
  <c r="G57" i="57" s="1"/>
  <c r="G212" i="57" s="1"/>
  <c r="H67" i="49"/>
  <c r="H117" i="49" s="1"/>
  <c r="H58" i="49"/>
  <c r="M62" i="49"/>
  <c r="M112" i="49" s="1"/>
  <c r="M58" i="49"/>
  <c r="I116" i="3"/>
  <c r="K116" i="3"/>
  <c r="L116" i="3"/>
  <c r="G116" i="3"/>
  <c r="M116" i="3"/>
  <c r="I34" i="28"/>
  <c r="K459" i="3" s="1"/>
  <c r="H116" i="3"/>
  <c r="K313" i="56"/>
  <c r="K407" i="57" s="1"/>
  <c r="K314" i="56" a="1"/>
  <c r="K314" i="56" s="1"/>
  <c r="K408" i="57" s="1"/>
  <c r="J305" i="56"/>
  <c r="J400" i="57" s="1"/>
  <c r="J307" i="56" a="1"/>
  <c r="J307" i="56" s="1"/>
  <c r="J402" i="57" s="1"/>
  <c r="J306" i="56" a="1"/>
  <c r="J306" i="56" s="1"/>
  <c r="J401" i="57" s="1"/>
  <c r="L307" i="56" a="1"/>
  <c r="L307" i="56" s="1"/>
  <c r="L402" i="57" s="1"/>
  <c r="L305" i="56"/>
  <c r="L400" i="57" s="1"/>
  <c r="L306" i="56" a="1"/>
  <c r="L306" i="56" s="1"/>
  <c r="L401" i="57" s="1"/>
  <c r="J314" i="56" a="1"/>
  <c r="J314" i="56" s="1"/>
  <c r="J408" i="57" s="1"/>
  <c r="J313" i="56"/>
  <c r="J407" i="57" s="1"/>
  <c r="M314" i="56" a="1"/>
  <c r="M314" i="56" s="1"/>
  <c r="M408" i="57" s="1"/>
  <c r="M313" i="56"/>
  <c r="M407" i="57" s="1"/>
  <c r="K305" i="56"/>
  <c r="K400" i="57" s="1"/>
  <c r="K307" i="56" a="1"/>
  <c r="K307" i="56" s="1"/>
  <c r="K402" i="57" s="1"/>
  <c r="K306" i="56" a="1"/>
  <c r="K306" i="56" s="1"/>
  <c r="K401" i="57" s="1"/>
  <c r="G314" i="56" a="1"/>
  <c r="G314" i="56" s="1"/>
  <c r="G408" i="57" s="1"/>
  <c r="G313" i="56"/>
  <c r="G407" i="57" s="1"/>
  <c r="L313" i="56"/>
  <c r="L407" i="57" s="1"/>
  <c r="L314" i="56" a="1"/>
  <c r="L314" i="56" s="1"/>
  <c r="L408" i="57" s="1"/>
  <c r="G307" i="56" a="1"/>
  <c r="G307" i="56" s="1"/>
  <c r="G402" i="57" s="1"/>
  <c r="G306" i="56" a="1"/>
  <c r="G306" i="56" s="1"/>
  <c r="G401" i="57" s="1"/>
  <c r="H313" i="56"/>
  <c r="H407" i="57" s="1"/>
  <c r="H314" i="56" a="1"/>
  <c r="H314" i="56" s="1"/>
  <c r="H408" i="57" s="1"/>
  <c r="I314" i="56" a="1"/>
  <c r="I314" i="56" s="1"/>
  <c r="I408" i="57" s="1"/>
  <c r="I313" i="56"/>
  <c r="I407" i="57" s="1"/>
  <c r="I305" i="56"/>
  <c r="I400" i="57" s="1"/>
  <c r="I306" i="56" a="1"/>
  <c r="I306" i="56" s="1"/>
  <c r="I401" i="57" s="1"/>
  <c r="I307" i="56" a="1"/>
  <c r="I307" i="56" s="1"/>
  <c r="I402" i="57" s="1"/>
  <c r="M305" i="56"/>
  <c r="M400" i="57" s="1"/>
  <c r="M306" i="56" a="1"/>
  <c r="M306" i="56" s="1"/>
  <c r="M401" i="57" s="1"/>
  <c r="M307" i="56" a="1"/>
  <c r="M307" i="56" s="1"/>
  <c r="M402" i="57" s="1"/>
  <c r="H305" i="56"/>
  <c r="H400" i="57" s="1"/>
  <c r="H307" i="56" a="1"/>
  <c r="H307" i="56" s="1"/>
  <c r="H402" i="57" s="1"/>
  <c r="H306" i="56" a="1"/>
  <c r="H306" i="56" s="1"/>
  <c r="H401" i="57" s="1"/>
  <c r="K131" i="4"/>
  <c r="L131" i="4"/>
  <c r="I376" i="56"/>
  <c r="L376" i="56"/>
  <c r="G376" i="56"/>
  <c r="J376" i="56"/>
  <c r="M376" i="56"/>
  <c r="K376" i="56"/>
  <c r="H376" i="56"/>
  <c r="AA189" i="4"/>
  <c r="AA191" i="4"/>
  <c r="AA192" i="4"/>
  <c r="AA188" i="4"/>
  <c r="AE188" i="4" s="1"/>
  <c r="C190" i="4" s="1"/>
  <c r="C191" i="4" s="1"/>
  <c r="L152" i="56"/>
  <c r="L57" i="57" s="1"/>
  <c r="L212" i="57" s="1"/>
  <c r="M74" i="49"/>
  <c r="M124" i="49" s="1"/>
  <c r="I21" i="49"/>
  <c r="I23" i="49" s="1"/>
  <c r="I131" i="4"/>
  <c r="I152" i="56"/>
  <c r="I57" i="57" s="1"/>
  <c r="I212" i="57" s="1"/>
  <c r="I74" i="49"/>
  <c r="I124" i="49" s="1"/>
  <c r="M10" i="25"/>
  <c r="J152" i="56"/>
  <c r="J57" i="57" s="1"/>
  <c r="J212" i="57" s="1"/>
  <c r="K152" i="56"/>
  <c r="K57" i="57" s="1"/>
  <c r="K212" i="57" s="1"/>
  <c r="H74" i="49"/>
  <c r="H124" i="49" s="1"/>
  <c r="H76" i="49"/>
  <c r="H126" i="49" s="1"/>
  <c r="M15" i="49"/>
  <c r="I76" i="49"/>
  <c r="I126" i="49" s="1"/>
  <c r="M32" i="3"/>
  <c r="M10" i="22" s="1"/>
  <c r="M13" i="56"/>
  <c r="M24" i="56"/>
  <c r="M43" i="4"/>
  <c r="J198" i="28" s="1"/>
  <c r="J131" i="4"/>
  <c r="M76" i="49"/>
  <c r="M126" i="49" s="1"/>
  <c r="I15" i="49"/>
  <c r="I32" i="3"/>
  <c r="I10" i="22" s="1"/>
  <c r="M131" i="4"/>
  <c r="H15" i="49"/>
  <c r="L10" i="25"/>
  <c r="H75" i="49"/>
  <c r="H125" i="49" s="1"/>
  <c r="M152" i="56"/>
  <c r="M57" i="57" s="1"/>
  <c r="M212" i="57" s="1"/>
  <c r="I10" i="25"/>
  <c r="G74" i="49"/>
  <c r="G124" i="49" s="1"/>
  <c r="I8" i="55"/>
  <c r="I24" i="56"/>
  <c r="G125" i="49"/>
  <c r="I43" i="4"/>
  <c r="F198" i="28" s="1"/>
  <c r="G10" i="25"/>
  <c r="G32" i="3"/>
  <c r="G10" i="22" s="1"/>
  <c r="G43" i="4"/>
  <c r="D198" i="28" s="1"/>
  <c r="G8" i="55"/>
  <c r="H43" i="4"/>
  <c r="E198" i="28" s="1"/>
  <c r="H8" i="55"/>
  <c r="H32" i="3"/>
  <c r="H10" i="22" s="1"/>
  <c r="H24" i="56"/>
  <c r="H10" i="25"/>
  <c r="M75" i="49"/>
  <c r="M125" i="49" s="1"/>
  <c r="M67" i="49"/>
  <c r="M117" i="49" s="1"/>
  <c r="G13" i="56"/>
  <c r="L76" i="49"/>
  <c r="L126" i="49" s="1"/>
  <c r="G24" i="56"/>
  <c r="G21" i="3"/>
  <c r="G131" i="3"/>
  <c r="G17" i="14" s="1"/>
  <c r="L42" i="49"/>
  <c r="L92" i="49" s="1"/>
  <c r="L62" i="49"/>
  <c r="L112" i="49" s="1"/>
  <c r="L75" i="49"/>
  <c r="L125" i="49" s="1"/>
  <c r="L74" i="49"/>
  <c r="L124" i="49" s="1"/>
  <c r="K74" i="49"/>
  <c r="K124" i="49" s="1"/>
  <c r="L37" i="49"/>
  <c r="L87" i="49" s="1"/>
  <c r="L32" i="49"/>
  <c r="L82" i="49" s="1"/>
  <c r="K62" i="49"/>
  <c r="K112" i="49" s="1"/>
  <c r="K67" i="49"/>
  <c r="K117" i="49" s="1"/>
  <c r="L54" i="49"/>
  <c r="L104" i="49" s="1"/>
  <c r="L43" i="4"/>
  <c r="I198" i="28" s="1"/>
  <c r="L24" i="56"/>
  <c r="L15" i="49"/>
  <c r="L34" i="49"/>
  <c r="L84" i="49" s="1"/>
  <c r="L50" i="49"/>
  <c r="L100"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L13" i="56"/>
  <c r="K75" i="49"/>
  <c r="K125" i="49" s="1"/>
  <c r="K76" i="49"/>
  <c r="K126" i="49" s="1"/>
  <c r="J75" i="49"/>
  <c r="J125" i="49" s="1"/>
  <c r="J132" i="49" s="1" a="1"/>
  <c r="J76" i="49"/>
  <c r="J126" i="49" s="1"/>
  <c r="J21" i="49"/>
  <c r="J23" i="49" s="1"/>
  <c r="K10" i="25"/>
  <c r="K43" i="4"/>
  <c r="H198" i="28" s="1"/>
  <c r="K32" i="3"/>
  <c r="K10" i="22" s="1"/>
  <c r="K8" i="55"/>
  <c r="K15" i="49"/>
  <c r="K24" i="56"/>
  <c r="K13" i="56"/>
  <c r="J10" i="25"/>
  <c r="J43" i="4"/>
  <c r="G198" i="28" s="1"/>
  <c r="J32" i="3"/>
  <c r="J10" i="22" s="1"/>
  <c r="J8" i="55"/>
  <c r="J24" i="56"/>
  <c r="J15" i="49"/>
  <c r="J13" i="56"/>
  <c r="M49" i="49"/>
  <c r="M99" i="49" s="1"/>
  <c r="M41" i="49"/>
  <c r="M91" i="49" s="1"/>
  <c r="M51" i="49"/>
  <c r="M101" i="49" s="1"/>
  <c r="M43" i="49"/>
  <c r="M93" i="49" s="1"/>
  <c r="M64" i="49"/>
  <c r="M114" i="49" s="1"/>
  <c r="M52" i="49"/>
  <c r="M102" i="49" s="1"/>
  <c r="M44" i="49"/>
  <c r="M94" i="49" s="1"/>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AD1" i="30" a="1"/>
  <c r="AD1" i="30" s="1"/>
  <c r="J26" i="4"/>
  <c r="G23" i="49" l="1"/>
  <c r="G31" i="49" s="1"/>
  <c r="K131" i="3"/>
  <c r="K17" i="14" s="1"/>
  <c r="K21" i="3"/>
  <c r="M27" i="14"/>
  <c r="M26" i="14"/>
  <c r="H27" i="14"/>
  <c r="H26" i="14"/>
  <c r="H30" i="14" s="1"/>
  <c r="H35" i="14" s="1"/>
  <c r="I27" i="14"/>
  <c r="I26" i="14"/>
  <c r="J27" i="14"/>
  <c r="J26" i="14"/>
  <c r="K27" i="14"/>
  <c r="K26" i="14"/>
  <c r="L27" i="14"/>
  <c r="L26" i="14"/>
  <c r="L30" i="14" s="1"/>
  <c r="L35" i="14" s="1"/>
  <c r="G81" i="49"/>
  <c r="I131" i="3"/>
  <c r="I17" i="14" s="1"/>
  <c r="L21" i="3"/>
  <c r="G30" i="14"/>
  <c r="G35" i="14" s="1"/>
  <c r="M21" i="3"/>
  <c r="M131" i="3"/>
  <c r="M17" i="14" s="1"/>
  <c r="F506" i="3"/>
  <c r="A145" i="27"/>
  <c r="I132" i="49" a="1"/>
  <c r="J58" i="49"/>
  <c r="L131" i="3"/>
  <c r="L17" i="14" s="1"/>
  <c r="H14" i="56"/>
  <c r="H258" i="56" s="1"/>
  <c r="J459" i="3"/>
  <c r="I21" i="3"/>
  <c r="L459" i="3"/>
  <c r="M459" i="3"/>
  <c r="J21" i="3"/>
  <c r="H84" i="56"/>
  <c r="H85" i="56" s="1"/>
  <c r="H86" i="56" s="1"/>
  <c r="H87" i="56"/>
  <c r="G33" i="49"/>
  <c r="G83" i="49" s="1"/>
  <c r="G55" i="49"/>
  <c r="G105" i="49" s="1"/>
  <c r="G44" i="49"/>
  <c r="G94" i="49" s="1"/>
  <c r="H21" i="3"/>
  <c r="J131" i="3"/>
  <c r="J17" i="14" s="1"/>
  <c r="H131" i="3"/>
  <c r="H17" i="14" s="1"/>
  <c r="J410" i="57"/>
  <c r="J456" i="57" s="1"/>
  <c r="H403" i="57"/>
  <c r="H455" i="57" s="1"/>
  <c r="M403" i="57"/>
  <c r="M455" i="57" s="1"/>
  <c r="K403" i="57"/>
  <c r="K455" i="57" s="1"/>
  <c r="M410" i="57"/>
  <c r="M456" i="57" s="1"/>
  <c r="J403" i="57"/>
  <c r="J455" i="57" s="1"/>
  <c r="I403" i="57"/>
  <c r="I455" i="57" s="1"/>
  <c r="L410" i="57"/>
  <c r="L456" i="57" s="1"/>
  <c r="I410" i="57"/>
  <c r="I456" i="57" s="1"/>
  <c r="G410" i="57"/>
  <c r="G456" i="57" s="1"/>
  <c r="K410" i="57"/>
  <c r="K456" i="57" s="1"/>
  <c r="L403" i="57"/>
  <c r="L455" i="57" s="1"/>
  <c r="H410" i="57"/>
  <c r="H456" i="57" s="1"/>
  <c r="G41" i="49"/>
  <c r="G91" i="49" s="1"/>
  <c r="G54" i="49"/>
  <c r="G104" i="49" s="1"/>
  <c r="G53" i="49"/>
  <c r="G103" i="49" s="1"/>
  <c r="G65" i="49"/>
  <c r="G115" i="49" s="1"/>
  <c r="I106" i="25"/>
  <c r="G51" i="49"/>
  <c r="G101" i="49" s="1"/>
  <c r="G38" i="49"/>
  <c r="G88" i="49" s="1"/>
  <c r="G40" i="49"/>
  <c r="G90" i="49" s="1"/>
  <c r="I84" i="56"/>
  <c r="I85" i="56" s="1"/>
  <c r="I86" i="56" s="1"/>
  <c r="G50" i="49"/>
  <c r="G100" i="49" s="1"/>
  <c r="G56" i="49"/>
  <c r="G106" i="49" s="1"/>
  <c r="G35" i="49"/>
  <c r="G85" i="49" s="1"/>
  <c r="I14" i="56"/>
  <c r="I107" i="25" s="1"/>
  <c r="I87" i="56"/>
  <c r="H106" i="25"/>
  <c r="G459" i="3"/>
  <c r="H459" i="3"/>
  <c r="I459" i="3"/>
  <c r="L90" i="55"/>
  <c r="M90" i="55"/>
  <c r="G90" i="55"/>
  <c r="J90" i="55"/>
  <c r="K90" i="55"/>
  <c r="I90" i="55"/>
  <c r="H90" i="55"/>
  <c r="I67" i="49"/>
  <c r="I117" i="49" s="1"/>
  <c r="I58" i="49"/>
  <c r="G67" i="49"/>
  <c r="G117" i="49" s="1"/>
  <c r="G58" i="49"/>
  <c r="L132" i="4"/>
  <c r="M84" i="56"/>
  <c r="M85" i="56" s="1"/>
  <c r="M86" i="56" s="1"/>
  <c r="G132" i="4"/>
  <c r="G356" i="56"/>
  <c r="M366" i="56"/>
  <c r="M356" i="56"/>
  <c r="L366" i="56"/>
  <c r="H366" i="56"/>
  <c r="H356" i="56"/>
  <c r="J356" i="56"/>
  <c r="J366" i="56"/>
  <c r="I366" i="56"/>
  <c r="G366" i="56"/>
  <c r="I356" i="56"/>
  <c r="L356" i="56"/>
  <c r="K366" i="56"/>
  <c r="K356" i="56"/>
  <c r="M132" i="49" a="1"/>
  <c r="AE189" i="4"/>
  <c r="AE190" i="4" s="1"/>
  <c r="AE191" i="4" s="1"/>
  <c r="AE192" i="4" s="1"/>
  <c r="AE193" i="4" s="1"/>
  <c r="AE194" i="4" s="1"/>
  <c r="E190" i="4"/>
  <c r="M190" i="4" s="1"/>
  <c r="G132" i="49" a="1"/>
  <c r="K132" i="49" a="1"/>
  <c r="K132" i="49" s="1"/>
  <c r="L132" i="49" a="1"/>
  <c r="H132" i="49" a="1"/>
  <c r="H132" i="49" s="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46" i="49"/>
  <c r="I96" i="49" s="1"/>
  <c r="I64" i="49"/>
  <c r="I114" i="49" s="1"/>
  <c r="I47" i="49"/>
  <c r="I97" i="49" s="1"/>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M132" i="4"/>
  <c r="M87" i="56"/>
  <c r="M106" i="25"/>
  <c r="M14" i="56"/>
  <c r="G132" i="49"/>
  <c r="J106" i="25"/>
  <c r="J132" i="4"/>
  <c r="K106" i="25"/>
  <c r="K132" i="4"/>
  <c r="G14" i="56"/>
  <c r="G84" i="56"/>
  <c r="G85" i="56" s="1"/>
  <c r="G86" i="56" s="1"/>
  <c r="G106" i="25"/>
  <c r="G87" i="56"/>
  <c r="L132" i="49"/>
  <c r="J132" i="49"/>
  <c r="L106" i="25"/>
  <c r="L14" i="56"/>
  <c r="L87" i="56"/>
  <c r="L84" i="56"/>
  <c r="L85" i="56" s="1"/>
  <c r="L86" i="56" s="1"/>
  <c r="J14" i="56"/>
  <c r="J87" i="56"/>
  <c r="J84" i="56"/>
  <c r="J85" i="56" s="1"/>
  <c r="J86" i="56" s="1"/>
  <c r="K14" i="56"/>
  <c r="K87" i="56"/>
  <c r="K84" i="56"/>
  <c r="K85" i="56" s="1"/>
  <c r="K86" i="56" s="1"/>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I1" i="30" a="1"/>
  <c r="AI1" i="30" s="1"/>
  <c r="AN1" i="30" s="1" a="1"/>
  <c r="AN1" i="30" s="1"/>
  <c r="E191" i="4"/>
  <c r="C192" i="4"/>
  <c r="D190" i="4"/>
  <c r="G37" i="49" l="1"/>
  <c r="G87" i="49" s="1"/>
  <c r="G62" i="49"/>
  <c r="G112" i="49" s="1"/>
  <c r="G46" i="49"/>
  <c r="G96" i="49" s="1"/>
  <c r="G49" i="49"/>
  <c r="G99" i="49" s="1"/>
  <c r="G32" i="49"/>
  <c r="G82" i="49" s="1"/>
  <c r="G42" i="49"/>
  <c r="G92" i="49" s="1"/>
  <c r="G43" i="49"/>
  <c r="G93" i="49" s="1"/>
  <c r="G52" i="49"/>
  <c r="G102" i="49" s="1"/>
  <c r="G48" i="49"/>
  <c r="G98" i="49" s="1"/>
  <c r="G36" i="49"/>
  <c r="G86" i="49" s="1"/>
  <c r="G64" i="49"/>
  <c r="G114" i="49" s="1"/>
  <c r="G45" i="49"/>
  <c r="G95" i="49" s="1"/>
  <c r="G34" i="49"/>
  <c r="G84" i="49" s="1"/>
  <c r="G47" i="49"/>
  <c r="G97" i="49" s="1"/>
  <c r="G39" i="49"/>
  <c r="G89" i="49" s="1"/>
  <c r="G66" i="49"/>
  <c r="G116" i="49" s="1"/>
  <c r="G30" i="49"/>
  <c r="G80" i="49" s="1"/>
  <c r="I30" i="14"/>
  <c r="I35" i="14" s="1"/>
  <c r="K30" i="14"/>
  <c r="K35" i="14" s="1"/>
  <c r="J30" i="14"/>
  <c r="J35" i="14" s="1"/>
  <c r="M30" i="14"/>
  <c r="M35" i="14" s="1"/>
  <c r="F507" i="3"/>
  <c r="A147" i="27" s="1"/>
  <c r="A146" i="27"/>
  <c r="H107" i="25"/>
  <c r="H108" i="25" s="1"/>
  <c r="H296" i="56"/>
  <c r="H338" i="56"/>
  <c r="H341" i="56" s="1"/>
  <c r="H435" i="57" s="1"/>
  <c r="H265" i="56"/>
  <c r="H266" i="56" s="1"/>
  <c r="H356" i="57" s="1"/>
  <c r="H277" i="56"/>
  <c r="H278" i="56" s="1"/>
  <c r="H368" i="57" s="1"/>
  <c r="H271" i="56"/>
  <c r="H272" i="56" s="1"/>
  <c r="H362" i="57" s="1"/>
  <c r="H283" i="56"/>
  <c r="H285" i="56" s="1" a="1"/>
  <c r="H285" i="56" s="1"/>
  <c r="H375" i="57" s="1"/>
  <c r="I265" i="56"/>
  <c r="I266" i="56" s="1"/>
  <c r="I356" i="57" s="1"/>
  <c r="I338" i="56"/>
  <c r="I341" i="56" s="1"/>
  <c r="I435" i="57" s="1"/>
  <c r="I108" i="25"/>
  <c r="I283" i="56"/>
  <c r="I286" i="56" s="1" a="1"/>
  <c r="I286" i="56" s="1"/>
  <c r="I376" i="57" s="1"/>
  <c r="I258" i="56"/>
  <c r="I277" i="56"/>
  <c r="I278" i="56" s="1"/>
  <c r="I368" i="57" s="1"/>
  <c r="I296" i="56"/>
  <c r="I271" i="56"/>
  <c r="I273" i="56" s="1" a="1"/>
  <c r="I273" i="56" s="1"/>
  <c r="I363" i="57" s="1"/>
  <c r="K68" i="55"/>
  <c r="I68" i="55"/>
  <c r="G68" i="55"/>
  <c r="L68" i="55"/>
  <c r="J68" i="55"/>
  <c r="M68" i="55"/>
  <c r="H68" i="55"/>
  <c r="M79" i="55"/>
  <c r="K79" i="55"/>
  <c r="G79" i="55"/>
  <c r="I79" i="55"/>
  <c r="L79" i="55"/>
  <c r="J79" i="55"/>
  <c r="H79" i="55"/>
  <c r="K265" i="56"/>
  <c r="K338" i="56"/>
  <c r="K271" i="56"/>
  <c r="K296" i="56"/>
  <c r="K277" i="56"/>
  <c r="K258" i="56"/>
  <c r="K283" i="56"/>
  <c r="G271" i="56"/>
  <c r="G296" i="56"/>
  <c r="G277" i="56"/>
  <c r="G258" i="56"/>
  <c r="G283" i="56"/>
  <c r="G265" i="56"/>
  <c r="G338" i="56"/>
  <c r="M277" i="56"/>
  <c r="M258" i="56"/>
  <c r="M283" i="56"/>
  <c r="M265" i="56"/>
  <c r="M338" i="56"/>
  <c r="M271" i="56"/>
  <c r="M296" i="56"/>
  <c r="L258" i="56"/>
  <c r="L283" i="56"/>
  <c r="L265" i="56"/>
  <c r="L338" i="56"/>
  <c r="L271" i="56"/>
  <c r="L296" i="56"/>
  <c r="L277" i="56"/>
  <c r="J338" i="56"/>
  <c r="J271" i="56"/>
  <c r="J296" i="56"/>
  <c r="J277" i="56"/>
  <c r="J258" i="56"/>
  <c r="J283" i="56"/>
  <c r="J265" i="56"/>
  <c r="K107" i="25"/>
  <c r="K108" i="25" s="1"/>
  <c r="J107" i="25"/>
  <c r="J108" i="25" s="1"/>
  <c r="M107" i="25"/>
  <c r="M108" i="25" s="1"/>
  <c r="L190" i="4"/>
  <c r="K190" i="4"/>
  <c r="G190" i="4"/>
  <c r="H190" i="4"/>
  <c r="I190" i="4"/>
  <c r="J190" i="4"/>
  <c r="G107" i="25"/>
  <c r="G108" i="25" s="1"/>
  <c r="L107" i="25"/>
  <c r="L108" i="25" s="1"/>
  <c r="AS1" i="30" a="1"/>
  <c r="AS1" i="30" s="1"/>
  <c r="E192" i="4"/>
  <c r="C193" i="4"/>
  <c r="I191" i="4"/>
  <c r="H191" i="4"/>
  <c r="G191" i="4"/>
  <c r="M191" i="4"/>
  <c r="L191" i="4"/>
  <c r="K191" i="4"/>
  <c r="J191" i="4"/>
  <c r="D191" i="4"/>
  <c r="B190" i="4"/>
  <c r="L114" i="55" l="1"/>
  <c r="H284" i="56"/>
  <c r="H374" i="57" s="1"/>
  <c r="H286" i="56" a="1"/>
  <c r="H286" i="56" s="1"/>
  <c r="H376" i="57" s="1"/>
  <c r="H340" i="56"/>
  <c r="H434" i="57" s="1"/>
  <c r="H339" i="56"/>
  <c r="H433" i="57" s="1"/>
  <c r="H268" i="56" a="1"/>
  <c r="H268" i="56" s="1"/>
  <c r="H358" i="57" s="1"/>
  <c r="H267" i="56" a="1"/>
  <c r="H267" i="56" s="1"/>
  <c r="H357" i="57" s="1"/>
  <c r="H274" i="56" a="1"/>
  <c r="H274" i="56" s="1"/>
  <c r="H364" i="57" s="1"/>
  <c r="H273" i="56" a="1"/>
  <c r="H273" i="56" s="1"/>
  <c r="H363" i="57" s="1"/>
  <c r="H279" i="56" a="1"/>
  <c r="H279" i="56" s="1"/>
  <c r="H369" i="57" s="1"/>
  <c r="H280" i="56" a="1"/>
  <c r="H280" i="56" s="1"/>
  <c r="H370" i="57" s="1"/>
  <c r="K114" i="55"/>
  <c r="I280" i="56" a="1"/>
  <c r="I280" i="56" s="1"/>
  <c r="I370" i="57" s="1"/>
  <c r="I268" i="56" a="1"/>
  <c r="I268" i="56" s="1"/>
  <c r="I358" i="57" s="1"/>
  <c r="I267" i="56" a="1"/>
  <c r="I267" i="56" s="1"/>
  <c r="I357" i="57" s="1"/>
  <c r="I339" i="56"/>
  <c r="I433" i="57" s="1"/>
  <c r="I340" i="56"/>
  <c r="I434" i="57" s="1"/>
  <c r="I279" i="56" a="1"/>
  <c r="I279" i="56" s="1"/>
  <c r="I369" i="57" s="1"/>
  <c r="I284" i="56"/>
  <c r="I374" i="57" s="1"/>
  <c r="I272" i="56"/>
  <c r="I362" i="57" s="1"/>
  <c r="G114" i="55"/>
  <c r="I285" i="56" a="1"/>
  <c r="I285" i="56" s="1"/>
  <c r="I375" i="57" s="1"/>
  <c r="I274" i="56" a="1"/>
  <c r="I274" i="56" s="1"/>
  <c r="I364" i="57" s="1"/>
  <c r="I114" i="55"/>
  <c r="H114" i="55"/>
  <c r="M114" i="55"/>
  <c r="J114" i="55"/>
  <c r="M272" i="56"/>
  <c r="M362" i="57" s="1"/>
  <c r="M273" i="56" a="1"/>
  <c r="M273" i="56" s="1"/>
  <c r="M363" i="57" s="1"/>
  <c r="M274" i="56" a="1"/>
  <c r="M274" i="56" s="1"/>
  <c r="M364" i="57" s="1"/>
  <c r="J284" i="56"/>
  <c r="J374" i="57" s="1"/>
  <c r="J286" i="56" a="1"/>
  <c r="J286" i="56" s="1"/>
  <c r="J376" i="57" s="1"/>
  <c r="J285" i="56" a="1"/>
  <c r="J285" i="56" s="1"/>
  <c r="J375" i="57" s="1"/>
  <c r="M340" i="56"/>
  <c r="M434" i="57" s="1"/>
  <c r="M339" i="56"/>
  <c r="M433" i="57" s="1"/>
  <c r="M341" i="56"/>
  <c r="M435" i="57" s="1"/>
  <c r="G339" i="56"/>
  <c r="G433" i="57" s="1"/>
  <c r="G341" i="56"/>
  <c r="G435" i="57" s="1"/>
  <c r="G340" i="56"/>
  <c r="G434" i="57" s="1"/>
  <c r="K339" i="56"/>
  <c r="K433" i="57" s="1"/>
  <c r="K341" i="56"/>
  <c r="K435" i="57" s="1"/>
  <c r="K340" i="56"/>
  <c r="K434" i="57" s="1"/>
  <c r="L274" i="56" a="1"/>
  <c r="L274" i="56" s="1"/>
  <c r="L364" i="57" s="1"/>
  <c r="L272" i="56"/>
  <c r="L362" i="57" s="1"/>
  <c r="L273" i="56" a="1"/>
  <c r="L273" i="56" s="1"/>
  <c r="L363" i="57" s="1"/>
  <c r="M266" i="56"/>
  <c r="M356" i="57" s="1"/>
  <c r="M268" i="56" a="1"/>
  <c r="M268" i="56" s="1"/>
  <c r="M358" i="57" s="1"/>
  <c r="M267" i="56" a="1"/>
  <c r="M267" i="56" s="1"/>
  <c r="M357" i="57" s="1"/>
  <c r="G268" i="56" a="1"/>
  <c r="G268" i="56" s="1"/>
  <c r="G358" i="57" s="1"/>
  <c r="G267" i="56" a="1"/>
  <c r="G267" i="56" s="1"/>
  <c r="G357" i="57" s="1"/>
  <c r="G266" i="56"/>
  <c r="G356" i="57" s="1"/>
  <c r="K266" i="56"/>
  <c r="K356" i="57" s="1"/>
  <c r="K267" i="56" a="1"/>
  <c r="K267" i="56" s="1"/>
  <c r="K357" i="57" s="1"/>
  <c r="K268" i="56" a="1"/>
  <c r="K268" i="56" s="1"/>
  <c r="K358" i="57" s="1"/>
  <c r="J279" i="56" a="1"/>
  <c r="J279" i="56" s="1"/>
  <c r="J369" i="57" s="1"/>
  <c r="J278" i="56"/>
  <c r="J368" i="57" s="1"/>
  <c r="J280" i="56" a="1"/>
  <c r="J280" i="56" s="1"/>
  <c r="J370" i="57" s="1"/>
  <c r="L341" i="56"/>
  <c r="L435" i="57" s="1"/>
  <c r="L340" i="56"/>
  <c r="L434" i="57" s="1"/>
  <c r="L339" i="56"/>
  <c r="L433" i="57" s="1"/>
  <c r="M286" i="56" a="1"/>
  <c r="M286" i="56" s="1"/>
  <c r="M376" i="57" s="1"/>
  <c r="M285" i="56" a="1"/>
  <c r="M285" i="56" s="1"/>
  <c r="M375" i="57" s="1"/>
  <c r="M284" i="56"/>
  <c r="M374" i="57" s="1"/>
  <c r="G286" i="56" a="1"/>
  <c r="G286" i="56" s="1"/>
  <c r="G376" i="57" s="1"/>
  <c r="G285" i="56" a="1"/>
  <c r="G285" i="56" s="1"/>
  <c r="G375" i="57" s="1"/>
  <c r="G284" i="56"/>
  <c r="G374" i="57" s="1"/>
  <c r="J267" i="56" a="1"/>
  <c r="J267" i="56" s="1"/>
  <c r="J357" i="57" s="1"/>
  <c r="J268" i="56" a="1"/>
  <c r="J268" i="56" s="1"/>
  <c r="J358" i="57" s="1"/>
  <c r="J266" i="56"/>
  <c r="J356" i="57" s="1"/>
  <c r="L278" i="56"/>
  <c r="L368" i="57" s="1"/>
  <c r="L279" i="56" a="1"/>
  <c r="L279" i="56" s="1"/>
  <c r="L369" i="57" s="1"/>
  <c r="L280" i="56" a="1"/>
  <c r="L280" i="56" s="1"/>
  <c r="L370" i="57" s="1"/>
  <c r="L266" i="56"/>
  <c r="L356" i="57" s="1"/>
  <c r="L267" i="56" a="1"/>
  <c r="L267" i="56" s="1"/>
  <c r="L357" i="57" s="1"/>
  <c r="L268" i="56" a="1"/>
  <c r="L268" i="56" s="1"/>
  <c r="L358" i="57" s="1"/>
  <c r="K286" i="56" a="1"/>
  <c r="K286" i="56" s="1"/>
  <c r="K376" i="57" s="1"/>
  <c r="K284" i="56"/>
  <c r="K374" i="57" s="1"/>
  <c r="K285" i="56" a="1"/>
  <c r="K285" i="56" s="1"/>
  <c r="K375" i="57" s="1"/>
  <c r="J273" i="56" a="1"/>
  <c r="J273" i="56" s="1"/>
  <c r="J363" i="57" s="1"/>
  <c r="J274" i="56" a="1"/>
  <c r="J274" i="56" s="1"/>
  <c r="J364" i="57" s="1"/>
  <c r="J272" i="56"/>
  <c r="J362" i="57" s="1"/>
  <c r="L285" i="56" a="1"/>
  <c r="L285" i="56" s="1"/>
  <c r="L375" i="57" s="1"/>
  <c r="L286" i="56" a="1"/>
  <c r="L286" i="56" s="1"/>
  <c r="L376" i="57" s="1"/>
  <c r="L284" i="56"/>
  <c r="L374" i="57" s="1"/>
  <c r="M278" i="56"/>
  <c r="M368" i="57" s="1"/>
  <c r="M279" i="56" a="1"/>
  <c r="M279" i="56" s="1"/>
  <c r="M369" i="57" s="1"/>
  <c r="M280" i="56" a="1"/>
  <c r="M280" i="56" s="1"/>
  <c r="M370" i="57" s="1"/>
  <c r="G278" i="56"/>
  <c r="G368" i="57" s="1"/>
  <c r="G279" i="56" a="1"/>
  <c r="G279" i="56" s="1"/>
  <c r="G369" i="57" s="1"/>
  <c r="G280" i="56" a="1"/>
  <c r="G280" i="56" s="1"/>
  <c r="G370" i="57" s="1"/>
  <c r="J341" i="56"/>
  <c r="J435" i="57" s="1"/>
  <c r="J340" i="56"/>
  <c r="J434" i="57" s="1"/>
  <c r="J339" i="56"/>
  <c r="J433" i="57" s="1"/>
  <c r="K280" i="56" a="1"/>
  <c r="K280" i="56" s="1"/>
  <c r="K370" i="57" s="1"/>
  <c r="K278" i="56"/>
  <c r="K368" i="57" s="1"/>
  <c r="K279" i="56" a="1"/>
  <c r="K279" i="56" s="1"/>
  <c r="K369" i="57" s="1"/>
  <c r="G273" i="56" a="1"/>
  <c r="G273" i="56" s="1"/>
  <c r="G363" i="57" s="1"/>
  <c r="G272" i="56"/>
  <c r="G362" i="57" s="1"/>
  <c r="G274" i="56" a="1"/>
  <c r="G274" i="56" s="1"/>
  <c r="G364" i="57" s="1"/>
  <c r="K273" i="56" a="1"/>
  <c r="K273" i="56" s="1"/>
  <c r="K363" i="57" s="1"/>
  <c r="K274" i="56" a="1"/>
  <c r="K274" i="56" s="1"/>
  <c r="K364" i="57" s="1"/>
  <c r="K272" i="56"/>
  <c r="K362" i="57" s="1"/>
  <c r="AX1" i="30" a="1"/>
  <c r="AX1" i="30" s="1"/>
  <c r="E193" i="4"/>
  <c r="C194" i="4"/>
  <c r="J192" i="4"/>
  <c r="I192" i="4"/>
  <c r="H192" i="4"/>
  <c r="G192" i="4"/>
  <c r="M192" i="4"/>
  <c r="L192" i="4"/>
  <c r="K192" i="4"/>
  <c r="D192" i="4"/>
  <c r="B191" i="4"/>
  <c r="H377" i="57" l="1"/>
  <c r="H359" i="57"/>
  <c r="H436" i="57"/>
  <c r="H371" i="57"/>
  <c r="H365" i="57"/>
  <c r="I371" i="57"/>
  <c r="I359" i="57"/>
  <c r="I436" i="57"/>
  <c r="I365" i="57"/>
  <c r="I377" i="57"/>
  <c r="L377" i="57"/>
  <c r="L436" i="57"/>
  <c r="K359" i="57"/>
  <c r="L365" i="57"/>
  <c r="M365" i="57"/>
  <c r="G359" i="57"/>
  <c r="G377" i="57"/>
  <c r="J365" i="57"/>
  <c r="L371" i="57"/>
  <c r="M359" i="57"/>
  <c r="M436" i="57"/>
  <c r="G371" i="57"/>
  <c r="J371" i="57"/>
  <c r="K436" i="57"/>
  <c r="G365" i="57"/>
  <c r="L359" i="57"/>
  <c r="K371" i="57"/>
  <c r="M377" i="57"/>
  <c r="J377" i="57"/>
  <c r="K365" i="57"/>
  <c r="J436" i="57"/>
  <c r="M371" i="57"/>
  <c r="K377" i="57"/>
  <c r="J359" i="57"/>
  <c r="G436" i="57"/>
  <c r="BC1" i="30" a="1"/>
  <c r="BC1" i="30" s="1"/>
  <c r="BH1" i="30" s="1" a="1"/>
  <c r="BH1" i="30" s="1"/>
  <c r="C195" i="4"/>
  <c r="E194" i="4"/>
  <c r="J193" i="4"/>
  <c r="I193" i="4"/>
  <c r="H193" i="4"/>
  <c r="G193" i="4"/>
  <c r="M193" i="4"/>
  <c r="K193" i="4"/>
  <c r="L193" i="4"/>
  <c r="B192" i="4"/>
  <c r="D193" i="4"/>
  <c r="BM1" i="30" l="1" a="1"/>
  <c r="BM1" i="30" s="1"/>
  <c r="J194" i="4"/>
  <c r="I194" i="4"/>
  <c r="H194" i="4"/>
  <c r="G194" i="4"/>
  <c r="M194" i="4"/>
  <c r="K194" i="4"/>
  <c r="L194" i="4"/>
  <c r="C196" i="4"/>
  <c r="E195" i="4"/>
  <c r="D195" i="4"/>
  <c r="D194" i="4"/>
  <c r="B193" i="4"/>
  <c r="BR1" i="30" l="1" a="1"/>
  <c r="BR1" i="30" s="1"/>
  <c r="C197" i="4"/>
  <c r="E196" i="4"/>
  <c r="D196" i="4"/>
  <c r="B195" i="4"/>
  <c r="B194" i="4"/>
  <c r="BW1" i="30" l="1" a="1"/>
  <c r="BW1" i="30" s="1"/>
  <c r="C198" i="4"/>
  <c r="E197" i="4"/>
  <c r="B196" i="4"/>
  <c r="D197" i="4"/>
  <c r="CB1" i="30" l="1" a="1"/>
  <c r="CB1" i="30" s="1"/>
  <c r="CG1" i="30" s="1" a="1"/>
  <c r="CG1" i="30" s="1"/>
  <c r="C199" i="4"/>
  <c r="E198" i="4"/>
  <c r="D198" i="4"/>
  <c r="B197" i="4"/>
  <c r="CL1" i="30" l="1" a="1"/>
  <c r="CL1" i="30" s="1"/>
  <c r="CQ1" i="30" s="1" a="1"/>
  <c r="CQ1" i="30" s="1"/>
  <c r="E2" i="30" s="1"/>
  <c r="C200" i="4"/>
  <c r="E199" i="4"/>
  <c r="D199" i="4"/>
  <c r="B198" i="4"/>
  <c r="D136" i="30" l="1" a="1"/>
  <c r="D136" i="30" s="1"/>
  <c r="C136" i="30" s="1"/>
  <c r="D68" i="30"/>
  <c r="C68" i="30" s="1"/>
  <c r="D45" i="30"/>
  <c r="C45" i="30" s="1"/>
  <c r="D145" i="30"/>
  <c r="C145" i="30" s="1"/>
  <c r="D52" i="30"/>
  <c r="C52" i="30" s="1"/>
  <c r="D76" i="30" a="1"/>
  <c r="D76" i="30" s="1"/>
  <c r="C76" i="30" s="1"/>
  <c r="N130" i="56" s="1"/>
  <c r="D57" i="30"/>
  <c r="C57" i="30" s="1"/>
  <c r="C98" i="28" s="1"/>
  <c r="D150" i="30" a="1"/>
  <c r="D150" i="30" s="1"/>
  <c r="C150" i="30" s="1"/>
  <c r="D86" i="30" a="1"/>
  <c r="D86" i="30" s="1"/>
  <c r="C86" i="30" s="1"/>
  <c r="D30" i="30"/>
  <c r="C30" i="30" s="1"/>
  <c r="C97" i="28" s="1"/>
  <c r="D62" i="30"/>
  <c r="C62" i="30" s="1"/>
  <c r="D93" i="30" a="1"/>
  <c r="D93" i="30" s="1"/>
  <c r="C93" i="30" s="1"/>
  <c r="D56" i="30"/>
  <c r="C56" i="30" s="1"/>
  <c r="D149" i="30" a="1"/>
  <c r="D149" i="30" s="1"/>
  <c r="C149" i="30" s="1"/>
  <c r="D162" i="30" a="1"/>
  <c r="D162" i="30" s="1"/>
  <c r="C162" i="30" s="1"/>
  <c r="D141" i="30" a="1"/>
  <c r="D141" i="30" s="1"/>
  <c r="C141" i="30" s="1"/>
  <c r="D82" i="30" a="1"/>
  <c r="D82" i="30" s="1"/>
  <c r="C82" i="30" s="1"/>
  <c r="D159" i="30" a="1"/>
  <c r="D159" i="30" s="1"/>
  <c r="C159" i="30" s="1"/>
  <c r="D83" i="30" a="1"/>
  <c r="D83" i="30" s="1"/>
  <c r="D73" i="30" a="1"/>
  <c r="D73" i="30" s="1"/>
  <c r="C73" i="30" s="1"/>
  <c r="C75" i="56" s="1"/>
  <c r="D154" i="30" a="1"/>
  <c r="D154" i="30" s="1"/>
  <c r="C154" i="30" s="1"/>
  <c r="D46" i="30"/>
  <c r="C46" i="30" s="1"/>
  <c r="F51" i="3" s="1"/>
  <c r="D78" i="30" a="1"/>
  <c r="D78" i="30" s="1"/>
  <c r="C78" i="30" s="1"/>
  <c r="D67" i="30"/>
  <c r="C67" i="30" s="1"/>
  <c r="D14" i="30"/>
  <c r="C14" i="30" s="1"/>
  <c r="D75" i="30" a="1"/>
  <c r="D75" i="30" s="1"/>
  <c r="C75" i="30" s="1"/>
  <c r="D77" i="30" a="1"/>
  <c r="D77" i="30" s="1"/>
  <c r="C77" i="30" s="1"/>
  <c r="D160" i="30" a="1"/>
  <c r="D160" i="30" s="1"/>
  <c r="C160" i="30" s="1"/>
  <c r="D53" i="30"/>
  <c r="C53" i="30" s="1"/>
  <c r="D156" i="30" a="1"/>
  <c r="D156" i="30" s="1"/>
  <c r="C156" i="30" s="1"/>
  <c r="D84" i="30" a="1"/>
  <c r="D84" i="30" s="1"/>
  <c r="C84" i="30" s="1"/>
  <c r="D47" i="30"/>
  <c r="C47" i="30" s="1"/>
  <c r="F52" i="3" s="1"/>
  <c r="D74" i="30" a="1"/>
  <c r="D74" i="30" s="1"/>
  <c r="C74" i="30" s="1"/>
  <c r="D54" i="30"/>
  <c r="C54" i="30" s="1"/>
  <c r="D21" i="30"/>
  <c r="D42" i="30"/>
  <c r="C42" i="30" s="1"/>
  <c r="E53" i="3" s="1"/>
  <c r="D28" i="30"/>
  <c r="D87" i="30" a="1"/>
  <c r="D87" i="30" s="1"/>
  <c r="C87" i="30" s="1"/>
  <c r="D81" i="30" a="1"/>
  <c r="D81" i="30" s="1"/>
  <c r="C81" i="30" s="1"/>
  <c r="D146" i="30"/>
  <c r="D142" i="30" a="1"/>
  <c r="D142" i="30" s="1"/>
  <c r="C142" i="30" s="1"/>
  <c r="D155" i="30" a="1"/>
  <c r="D155" i="30" s="1"/>
  <c r="C155" i="30" s="1"/>
  <c r="D143" i="30" a="1"/>
  <c r="D143" i="30" s="1"/>
  <c r="D43" i="30"/>
  <c r="C43" i="30" s="1"/>
  <c r="D16" i="30"/>
  <c r="D85" i="30" a="1"/>
  <c r="D85" i="30" s="1"/>
  <c r="C85" i="30" s="1"/>
  <c r="C77" i="56" s="1"/>
  <c r="D63" i="30"/>
  <c r="C63" i="30" s="1"/>
  <c r="F65" i="3" s="1"/>
  <c r="D66" i="30"/>
  <c r="C66" i="30" s="1"/>
  <c r="F66" i="3" s="1"/>
  <c r="D106" i="30" a="1"/>
  <c r="D106" i="30" s="1"/>
  <c r="C106" i="30" s="1"/>
  <c r="D79" i="30" a="1"/>
  <c r="D79" i="30" s="1"/>
  <c r="C79" i="30" s="1"/>
  <c r="C76" i="56" s="1"/>
  <c r="D119" i="30" a="1"/>
  <c r="D119" i="30" s="1"/>
  <c r="C119" i="30" s="1"/>
  <c r="D80" i="30" a="1"/>
  <c r="D80" i="30" s="1"/>
  <c r="C80" i="30" s="1"/>
  <c r="D88" i="30" a="1"/>
  <c r="D88" i="30" s="1"/>
  <c r="C88" i="30" s="1"/>
  <c r="D58" i="30"/>
  <c r="C58" i="30" s="1"/>
  <c r="D148" i="30" a="1"/>
  <c r="D148" i="30" s="1"/>
  <c r="C148" i="30" s="1"/>
  <c r="D51" i="30"/>
  <c r="C51" i="30" s="1"/>
  <c r="D7" i="30"/>
  <c r="C7" i="30" s="1"/>
  <c r="C14" i="28" s="1"/>
  <c r="D138" i="30" a="1"/>
  <c r="D138" i="30" s="1"/>
  <c r="C138" i="30" s="1"/>
  <c r="D161" i="30" a="1"/>
  <c r="D161" i="30" s="1"/>
  <c r="C161" i="30" s="1"/>
  <c r="D40" i="30"/>
  <c r="C40" i="30" s="1"/>
  <c r="D36" i="30"/>
  <c r="D132" i="30" a="1"/>
  <c r="D132" i="30" s="1"/>
  <c r="C132" i="30" s="1"/>
  <c r="D41" i="30"/>
  <c r="C41" i="30" s="1"/>
  <c r="E52" i="3" s="1"/>
  <c r="D48" i="30"/>
  <c r="C48" i="30" s="1"/>
  <c r="F53" i="3" s="1"/>
  <c r="D61" i="30"/>
  <c r="C61" i="30" s="1"/>
  <c r="D26" i="28" s="1"/>
  <c r="C3" i="30"/>
  <c r="B4" i="27" a="1"/>
  <c r="B4" i="27" s="1"/>
  <c r="A7" i="27" s="1"/>
  <c r="C201" i="4"/>
  <c r="E200" i="4"/>
  <c r="F199" i="4"/>
  <c r="F197" i="4"/>
  <c r="F195" i="4"/>
  <c r="F196" i="4"/>
  <c r="B199" i="4"/>
  <c r="D200" i="4"/>
  <c r="F192" i="4"/>
  <c r="F194" i="4"/>
  <c r="G31" i="56" l="1"/>
  <c r="J31" i="56"/>
  <c r="H31" i="56"/>
  <c r="K31" i="56"/>
  <c r="L31" i="56"/>
  <c r="M31" i="56"/>
  <c r="I31" i="56"/>
  <c r="H33" i="56"/>
  <c r="K33" i="56"/>
  <c r="M33" i="56"/>
  <c r="I33" i="56"/>
  <c r="J33" i="56"/>
  <c r="L33" i="56"/>
  <c r="N33" i="56"/>
  <c r="G33" i="56"/>
  <c r="C95" i="28"/>
  <c r="J214" i="3"/>
  <c r="G214" i="3"/>
  <c r="L214" i="3"/>
  <c r="H214" i="3"/>
  <c r="K214" i="3"/>
  <c r="I214" i="3"/>
  <c r="M214" i="3"/>
  <c r="C89" i="28"/>
  <c r="C40" i="56"/>
  <c r="B40" i="56" s="1"/>
  <c r="E65" i="3"/>
  <c r="D17" i="25"/>
  <c r="D15" i="52"/>
  <c r="D98" i="28"/>
  <c r="F37" i="2"/>
  <c r="E107" i="56" s="1"/>
  <c r="D100" i="28"/>
  <c r="F39" i="2"/>
  <c r="E109" i="56" s="1"/>
  <c r="F33" i="2"/>
  <c r="E103" i="56" s="1"/>
  <c r="D95" i="28"/>
  <c r="D88" i="28"/>
  <c r="F26" i="2"/>
  <c r="E96" i="56" s="1"/>
  <c r="D93" i="28"/>
  <c r="F31" i="2"/>
  <c r="E101" i="56" s="1"/>
  <c r="D23" i="28"/>
  <c r="D54" i="3"/>
  <c r="C130" i="56"/>
  <c r="C51" i="56"/>
  <c r="B58" i="3"/>
  <c r="C132" i="56"/>
  <c r="C53" i="56"/>
  <c r="B60" i="3"/>
  <c r="J76" i="14"/>
  <c r="M76" i="14"/>
  <c r="D63" i="3"/>
  <c r="F63" i="3" s="1"/>
  <c r="L76" i="14"/>
  <c r="K76" i="14"/>
  <c r="I76" i="14"/>
  <c r="H76" i="14"/>
  <c r="G76" i="14"/>
  <c r="D99" i="28"/>
  <c r="F38" i="2"/>
  <c r="E108" i="56" s="1"/>
  <c r="D24" i="28"/>
  <c r="E64" i="3"/>
  <c r="E51" i="3"/>
  <c r="E55" i="3" s="1"/>
  <c r="M215" i="3"/>
  <c r="K215" i="3"/>
  <c r="J215" i="3"/>
  <c r="I215" i="3"/>
  <c r="H215" i="3"/>
  <c r="G215" i="3"/>
  <c r="L215" i="3"/>
  <c r="F72" i="56"/>
  <c r="C47" i="56"/>
  <c r="B47" i="56" s="1"/>
  <c r="C127" i="56"/>
  <c r="F27" i="2"/>
  <c r="E97" i="56" s="1"/>
  <c r="D89" i="28"/>
  <c r="F66" i="56"/>
  <c r="C121" i="56"/>
  <c r="B121" i="56" s="1"/>
  <c r="H77" i="14"/>
  <c r="I77" i="14"/>
  <c r="L77" i="14"/>
  <c r="J77" i="14"/>
  <c r="G77" i="14"/>
  <c r="M77" i="14"/>
  <c r="D64" i="3"/>
  <c r="K77" i="14"/>
  <c r="C82" i="52"/>
  <c r="C36" i="30"/>
  <c r="C131" i="56"/>
  <c r="C52" i="56"/>
  <c r="B59" i="3"/>
  <c r="M111" i="3"/>
  <c r="I111" i="3"/>
  <c r="L111" i="3"/>
  <c r="K111" i="3"/>
  <c r="G111" i="3"/>
  <c r="H111" i="3"/>
  <c r="J111" i="3"/>
  <c r="D87" i="28"/>
  <c r="F25" i="2"/>
  <c r="E95" i="56" s="1"/>
  <c r="D94" i="28"/>
  <c r="F32" i="2"/>
  <c r="E102" i="56" s="1"/>
  <c r="D97" i="28"/>
  <c r="F36" i="2"/>
  <c r="E106" i="56" s="1"/>
  <c r="A8" i="27"/>
  <c r="B7" i="27"/>
  <c r="C7" i="27" s="1"/>
  <c r="C202" i="4"/>
  <c r="E201" i="4"/>
  <c r="F200" i="4"/>
  <c r="D201" i="4"/>
  <c r="B200" i="4"/>
  <c r="D22" i="28" l="1"/>
  <c r="I102" i="3"/>
  <c r="K102" i="3"/>
  <c r="M102" i="3"/>
  <c r="J102" i="3"/>
  <c r="G102" i="3"/>
  <c r="H102" i="3"/>
  <c r="L102" i="3"/>
  <c r="M86" i="3"/>
  <c r="L86" i="3"/>
  <c r="I86" i="3"/>
  <c r="F64" i="3"/>
  <c r="J86" i="3"/>
  <c r="G86" i="3"/>
  <c r="H86" i="3"/>
  <c r="K86" i="3"/>
  <c r="F55" i="3"/>
  <c r="G109" i="56"/>
  <c r="H109" i="56"/>
  <c r="L109" i="56"/>
  <c r="M109" i="56"/>
  <c r="J109" i="56"/>
  <c r="K109" i="56"/>
  <c r="I109" i="56"/>
  <c r="I69" i="14"/>
  <c r="G69" i="14"/>
  <c r="H69" i="14"/>
  <c r="M69" i="14"/>
  <c r="K69" i="14"/>
  <c r="L69" i="14"/>
  <c r="J69" i="14"/>
  <c r="D16" i="52"/>
  <c r="I124" i="52"/>
  <c r="E125" i="52" s="1"/>
  <c r="I17" i="25"/>
  <c r="J17" i="25"/>
  <c r="M17" i="25"/>
  <c r="K17" i="25"/>
  <c r="G17" i="25"/>
  <c r="L17" i="25"/>
  <c r="H17" i="25"/>
  <c r="L72" i="14"/>
  <c r="M72" i="14"/>
  <c r="K72" i="14"/>
  <c r="J72" i="14"/>
  <c r="I72" i="14"/>
  <c r="H72" i="14"/>
  <c r="G72" i="14"/>
  <c r="A9" i="27"/>
  <c r="B8" i="27"/>
  <c r="C8" i="27" s="1"/>
  <c r="C203" i="4"/>
  <c r="E202" i="4"/>
  <c r="F201" i="4"/>
  <c r="B201" i="4"/>
  <c r="D202" i="4"/>
  <c r="I125" i="52" l="1"/>
  <c r="E120" i="52" a="1"/>
  <c r="E120" i="52" s="1"/>
  <c r="D17" i="52" a="1"/>
  <c r="D17" i="52" s="1"/>
  <c r="E126" i="52" a="1"/>
  <c r="E126" i="52" s="1"/>
  <c r="B9" i="27"/>
  <c r="C9" i="27" s="1"/>
  <c r="CQ10" i="30" s="1"/>
  <c r="A10" i="27"/>
  <c r="C204" i="4"/>
  <c r="E203" i="4"/>
  <c r="D203" i="4"/>
  <c r="B202"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A11" i="27"/>
  <c r="B10" i="27"/>
  <c r="C10" i="27" s="1"/>
  <c r="C205" i="4"/>
  <c r="E204" i="4"/>
  <c r="F203" i="4"/>
  <c r="D204" i="4"/>
  <c r="B203" i="4"/>
  <c r="B11" i="27" l="1"/>
  <c r="C11" i="27" s="1"/>
  <c r="A12" i="27"/>
  <c r="C206" i="4"/>
  <c r="E205" i="4"/>
  <c r="F204" i="4"/>
  <c r="D205" i="4"/>
  <c r="B204" i="4"/>
  <c r="A13" i="27" l="1"/>
  <c r="B12" i="27"/>
  <c r="C12" i="27" s="1"/>
  <c r="C207" i="4"/>
  <c r="E206" i="4"/>
  <c r="F205" i="4"/>
  <c r="B205" i="4"/>
  <c r="D206" i="4"/>
  <c r="A14" i="27" l="1"/>
  <c r="B13" i="27"/>
  <c r="C13" i="27" s="1"/>
  <c r="C208" i="4"/>
  <c r="E207" i="4"/>
  <c r="F206" i="4"/>
  <c r="D207" i="4"/>
  <c r="B206" i="4"/>
  <c r="A15" i="27" l="1"/>
  <c r="B14" i="27"/>
  <c r="C14" i="27" s="1"/>
  <c r="C209" i="4"/>
  <c r="E208" i="4"/>
  <c r="F207" i="4"/>
  <c r="B207" i="4"/>
  <c r="D208" i="4"/>
  <c r="A16" i="27" l="1"/>
  <c r="B15" i="27"/>
  <c r="C15" i="27" s="1"/>
  <c r="C210" i="4"/>
  <c r="E209" i="4"/>
  <c r="F208" i="4"/>
  <c r="B208" i="4"/>
  <c r="D209" i="4"/>
  <c r="A17" i="27" l="1"/>
  <c r="B16" i="27"/>
  <c r="C16" i="27" s="1"/>
  <c r="C211" i="4"/>
  <c r="E210" i="4"/>
  <c r="F209" i="4"/>
  <c r="B209" i="4"/>
  <c r="D210" i="4"/>
  <c r="B17" i="27" l="1"/>
  <c r="C17" i="27" s="1"/>
  <c r="A18" i="27"/>
  <c r="C212" i="4"/>
  <c r="E211" i="4"/>
  <c r="F210" i="4"/>
  <c r="B210" i="4"/>
  <c r="D211" i="4"/>
  <c r="B18" i="27" l="1"/>
  <c r="C18" i="27" s="1"/>
  <c r="A19" i="27"/>
  <c r="C213" i="4"/>
  <c r="E212" i="4"/>
  <c r="F211" i="4"/>
  <c r="D212" i="4"/>
  <c r="B211" i="4"/>
  <c r="A20" i="27" l="1"/>
  <c r="B19" i="27"/>
  <c r="C19" i="27" s="1"/>
  <c r="C214" i="4"/>
  <c r="E213" i="4"/>
  <c r="F212" i="4"/>
  <c r="B212" i="4"/>
  <c r="D213" i="4"/>
  <c r="A21" i="27" l="1"/>
  <c r="B20" i="27"/>
  <c r="C20" i="27" s="1"/>
  <c r="F213" i="4"/>
  <c r="C215" i="4"/>
  <c r="E214" i="4"/>
  <c r="D214" i="4"/>
  <c r="B213" i="4"/>
  <c r="B21" i="27" l="1"/>
  <c r="C21" i="27" s="1"/>
  <c r="A22" i="27"/>
  <c r="F214" i="4"/>
  <c r="C216" i="4"/>
  <c r="E215" i="4"/>
  <c r="B214" i="4"/>
  <c r="D215" i="4"/>
  <c r="A23" i="27" l="1"/>
  <c r="B22" i="27"/>
  <c r="C22" i="27" s="1"/>
  <c r="F215" i="4"/>
  <c r="C217" i="4"/>
  <c r="E216" i="4"/>
  <c r="D216" i="4"/>
  <c r="B215" i="4"/>
  <c r="A24" i="27" l="1"/>
  <c r="B23" i="27"/>
  <c r="C23" i="27" s="1"/>
  <c r="F216" i="4"/>
  <c r="C218" i="4"/>
  <c r="E217" i="4"/>
  <c r="B216" i="4"/>
  <c r="D217" i="4"/>
  <c r="A25" i="27" l="1"/>
  <c r="B24" i="27"/>
  <c r="C24" i="27" s="1"/>
  <c r="F217" i="4"/>
  <c r="C219" i="4"/>
  <c r="E218" i="4"/>
  <c r="B217" i="4"/>
  <c r="D218" i="4"/>
  <c r="A26" i="27" l="1"/>
  <c r="B25" i="27"/>
  <c r="C25" i="27" s="1"/>
  <c r="F218" i="4"/>
  <c r="C220" i="4"/>
  <c r="E219" i="4"/>
  <c r="D219" i="4"/>
  <c r="B218" i="4"/>
  <c r="A27" i="27" l="1"/>
  <c r="B26" i="27"/>
  <c r="C26" i="27" s="1"/>
  <c r="F219" i="4"/>
  <c r="C221" i="4"/>
  <c r="E220" i="4"/>
  <c r="D220" i="4"/>
  <c r="B219" i="4"/>
  <c r="A28" i="27" l="1"/>
  <c r="B27" i="27"/>
  <c r="C27" i="27" s="1"/>
  <c r="F220" i="4"/>
  <c r="C222" i="4"/>
  <c r="E221" i="4"/>
  <c r="B220" i="4"/>
  <c r="D221" i="4"/>
  <c r="B28" i="27" l="1"/>
  <c r="C28" i="27" s="1"/>
  <c r="A29" i="27"/>
  <c r="F221" i="4"/>
  <c r="C223" i="4"/>
  <c r="E222" i="4"/>
  <c r="B221" i="4"/>
  <c r="D222" i="4"/>
  <c r="A30" i="27" l="1"/>
  <c r="B29" i="27"/>
  <c r="C29" i="27" s="1"/>
  <c r="F222" i="4"/>
  <c r="C224" i="4"/>
  <c r="E223" i="4"/>
  <c r="B222" i="4"/>
  <c r="D223" i="4"/>
  <c r="B30" i="27" l="1"/>
  <c r="C30" i="27" s="1"/>
  <c r="A31" i="27"/>
  <c r="F223" i="4"/>
  <c r="C225" i="4"/>
  <c r="E224" i="4"/>
  <c r="D224" i="4"/>
  <c r="B223" i="4"/>
  <c r="A32" i="27" l="1"/>
  <c r="B31" i="27"/>
  <c r="C31" i="27" s="1"/>
  <c r="C212" i="28"/>
  <c r="A100" i="27" s="1"/>
  <c r="B100" i="27" s="1"/>
  <c r="F224" i="4"/>
  <c r="C226" i="4"/>
  <c r="E225" i="4"/>
  <c r="B224" i="4"/>
  <c r="D225" i="4"/>
  <c r="B98" i="27" l="1"/>
  <c r="B32" i="27"/>
  <c r="C32" i="27" s="1"/>
  <c r="A33" i="27"/>
  <c r="C213" i="28"/>
  <c r="A101" i="27" s="1"/>
  <c r="B101" i="27" s="1"/>
  <c r="F225" i="4"/>
  <c r="C227" i="4"/>
  <c r="E226" i="4"/>
  <c r="D226" i="4"/>
  <c r="B225" i="4"/>
  <c r="A34" i="27" l="1"/>
  <c r="B33" i="27"/>
  <c r="C33" i="27" s="1"/>
  <c r="F226" i="4"/>
  <c r="C228" i="4"/>
  <c r="E227" i="4"/>
  <c r="B226" i="4"/>
  <c r="D227" i="4"/>
  <c r="B34" i="27" l="1"/>
  <c r="C34" i="27" s="1"/>
  <c r="A35" i="27"/>
  <c r="F227" i="4"/>
  <c r="C229" i="4"/>
  <c r="E228" i="4"/>
  <c r="D228" i="4"/>
  <c r="B227" i="4"/>
  <c r="A36" i="27" l="1"/>
  <c r="B35" i="27"/>
  <c r="C35" i="27" s="1"/>
  <c r="F228" i="4"/>
  <c r="C230" i="4"/>
  <c r="E229" i="4"/>
  <c r="D229" i="4"/>
  <c r="B228" i="4"/>
  <c r="A37" i="27" l="1"/>
  <c r="B36" i="27"/>
  <c r="C36" i="27" s="1"/>
  <c r="C231" i="4"/>
  <c r="E230" i="4"/>
  <c r="F229" i="4"/>
  <c r="D230" i="4"/>
  <c r="B229" i="4"/>
  <c r="A38" i="27" l="1"/>
  <c r="B37" i="27"/>
  <c r="C37" i="27" s="1"/>
  <c r="F230" i="4"/>
  <c r="C232" i="4"/>
  <c r="E231" i="4"/>
  <c r="D231" i="4"/>
  <c r="B230" i="4"/>
  <c r="A39" i="27" l="1"/>
  <c r="B38" i="27"/>
  <c r="C38" i="27" s="1"/>
  <c r="F231" i="4"/>
  <c r="C233" i="4"/>
  <c r="E232" i="4"/>
  <c r="B231" i="4"/>
  <c r="D232" i="4"/>
  <c r="B39" i="27" l="1"/>
  <c r="C39" i="27" s="1"/>
  <c r="A40" i="27"/>
  <c r="F232" i="4"/>
  <c r="C234" i="4"/>
  <c r="C235" i="4" s="1"/>
  <c r="E233" i="4"/>
  <c r="B232" i="4"/>
  <c r="D233" i="4"/>
  <c r="E235" i="4" l="1"/>
  <c r="B40" i="27"/>
  <c r="C40" i="27" s="1"/>
  <c r="A41" i="27"/>
  <c r="F233" i="4"/>
  <c r="E234" i="4"/>
  <c r="B233" i="4"/>
  <c r="D234" i="4"/>
  <c r="F235" i="4" l="1"/>
  <c r="B41" i="27"/>
  <c r="C41" i="27" s="1"/>
  <c r="A42" i="27"/>
  <c r="F234" i="4"/>
  <c r="C236" i="4"/>
  <c r="J235" i="4"/>
  <c r="H235" i="4"/>
  <c r="I235" i="4"/>
  <c r="L235" i="4"/>
  <c r="G235" i="4"/>
  <c r="M235" i="4"/>
  <c r="K235" i="4"/>
  <c r="D235" i="4"/>
  <c r="B234" i="4"/>
  <c r="A43" i="27" l="1"/>
  <c r="B42" i="27"/>
  <c r="C42" i="27" s="1"/>
  <c r="C237" i="4"/>
  <c r="E236" i="4"/>
  <c r="B235" i="4"/>
  <c r="D236" i="4"/>
  <c r="B43" i="27" l="1"/>
  <c r="C43" i="27" s="1"/>
  <c r="A44" i="27"/>
  <c r="F236" i="4"/>
  <c r="C238" i="4"/>
  <c r="E237" i="4"/>
  <c r="B236" i="4"/>
  <c r="D237" i="4"/>
  <c r="A45" i="27" l="1"/>
  <c r="B44" i="27"/>
  <c r="C44" i="27" s="1"/>
  <c r="CQ11" i="30"/>
  <c r="C239" i="4"/>
  <c r="E238" i="4"/>
  <c r="F237" i="4"/>
  <c r="D238" i="4"/>
  <c r="B237" i="4"/>
  <c r="CO100" i="30" l="1" a="1"/>
  <c r="CO100" i="30" s="1"/>
  <c r="D100" i="30" s="1" a="1"/>
  <c r="D100" i="30" s="1"/>
  <c r="CO147" i="30" a="1"/>
  <c r="CO147" i="30" s="1"/>
  <c r="D147" i="30" s="1" a="1"/>
  <c r="D147" i="30" s="1"/>
  <c r="C147" i="30" s="1"/>
  <c r="CO153" i="30" a="1"/>
  <c r="CO153" i="30" s="1"/>
  <c r="D153" i="30" s="1" a="1"/>
  <c r="D153" i="30" s="1"/>
  <c r="C153" i="30" s="1"/>
  <c r="CO124" i="30" a="1"/>
  <c r="CO124" i="30" s="1"/>
  <c r="D124" i="30" s="1" a="1"/>
  <c r="D124" i="30" s="1"/>
  <c r="C124" i="30" s="1"/>
  <c r="CO115" i="30" a="1"/>
  <c r="CO115" i="30" s="1"/>
  <c r="D115" i="30" s="1" a="1"/>
  <c r="D115" i="30" s="1"/>
  <c r="C115" i="30" s="1"/>
  <c r="CO102" i="30" a="1"/>
  <c r="CO102" i="30" s="1"/>
  <c r="D102" i="30" s="1" a="1"/>
  <c r="D102" i="30" s="1"/>
  <c r="CO91" i="30" a="1"/>
  <c r="CO91" i="30" s="1"/>
  <c r="D91" i="30" s="1" a="1"/>
  <c r="D91" i="30" s="1"/>
  <c r="C91" i="30" s="1"/>
  <c r="CO95" i="30" a="1"/>
  <c r="CO95" i="30" s="1"/>
  <c r="D95" i="30" s="1" a="1"/>
  <c r="D95" i="30" s="1"/>
  <c r="CO126" i="30" a="1"/>
  <c r="CO126" i="30" s="1"/>
  <c r="D126" i="30" s="1" a="1"/>
  <c r="D126" i="30" s="1"/>
  <c r="C126" i="30" s="1"/>
  <c r="CO117" i="30" a="1"/>
  <c r="CO117" i="30" s="1"/>
  <c r="D117" i="30" s="1" a="1"/>
  <c r="D117" i="30" s="1"/>
  <c r="C117" i="30" s="1"/>
  <c r="CO104" i="30" a="1"/>
  <c r="CO104" i="30" s="1"/>
  <c r="D104" i="30" s="1" a="1"/>
  <c r="D104" i="30" s="1"/>
  <c r="CO108" i="30" a="1"/>
  <c r="CO108" i="30" s="1"/>
  <c r="D108" i="30" s="1" a="1"/>
  <c r="D108" i="30" s="1"/>
  <c r="C108" i="30" s="1"/>
  <c r="CO97" i="30" a="1"/>
  <c r="CO97" i="30" s="1"/>
  <c r="D97" i="30" s="1" a="1"/>
  <c r="D97" i="30" s="1"/>
  <c r="CO128" i="30" a="1"/>
  <c r="CO128" i="30" s="1"/>
  <c r="D128" i="30" s="1" a="1"/>
  <c r="D128" i="30" s="1"/>
  <c r="C128" i="30" s="1"/>
  <c r="CO121" i="30" a="1"/>
  <c r="CO121" i="30" s="1"/>
  <c r="D121" i="30" s="1" a="1"/>
  <c r="D121" i="30" s="1"/>
  <c r="C121" i="30" s="1"/>
  <c r="CO110" i="30" a="1"/>
  <c r="CO110" i="30" s="1"/>
  <c r="D110" i="30" s="1" a="1"/>
  <c r="D110" i="30" s="1"/>
  <c r="C110" i="30" s="1"/>
  <c r="CO99" i="30" a="1"/>
  <c r="CO99" i="30" s="1"/>
  <c r="D99" i="30" s="1" a="1"/>
  <c r="D99" i="30" s="1"/>
  <c r="CO130" i="30" a="1"/>
  <c r="CO130" i="30" s="1"/>
  <c r="D130" i="30" s="1" a="1"/>
  <c r="D130" i="30" s="1"/>
  <c r="C130" i="30" s="1"/>
  <c r="CO123" i="30" a="1"/>
  <c r="CO123" i="30" s="1"/>
  <c r="D123" i="30" s="1" a="1"/>
  <c r="D123" i="30" s="1"/>
  <c r="C123" i="30" s="1"/>
  <c r="CO112" i="30" a="1"/>
  <c r="CO112" i="30" s="1"/>
  <c r="D112" i="30" s="1" a="1"/>
  <c r="D112" i="30" s="1"/>
  <c r="C112" i="30" s="1"/>
  <c r="CO101" i="30" a="1"/>
  <c r="CO101" i="30" s="1"/>
  <c r="D101" i="30" s="1" a="1"/>
  <c r="D101" i="30" s="1"/>
  <c r="CO107" i="30" a="1"/>
  <c r="CO107" i="30" s="1"/>
  <c r="D107" i="30" s="1" a="1"/>
  <c r="D107" i="30" s="1"/>
  <c r="C107" i="30" s="1"/>
  <c r="CO94" i="30" a="1"/>
  <c r="CO94" i="30" s="1"/>
  <c r="D94" i="30" s="1" a="1"/>
  <c r="D94" i="30" s="1"/>
  <c r="CO125" i="30" a="1"/>
  <c r="CO125" i="30" s="1"/>
  <c r="D125" i="30" s="1" a="1"/>
  <c r="D125" i="30" s="1"/>
  <c r="C125" i="30" s="1"/>
  <c r="CO114" i="30" a="1"/>
  <c r="CO114" i="30" s="1"/>
  <c r="D114" i="30" s="1" a="1"/>
  <c r="D114" i="30" s="1"/>
  <c r="C114" i="30" s="1"/>
  <c r="CO103" i="30" a="1"/>
  <c r="CO103" i="30" s="1"/>
  <c r="D103" i="30" s="1" a="1"/>
  <c r="D103" i="30" s="1"/>
  <c r="CO109" i="30" a="1"/>
  <c r="CO109" i="30" s="1"/>
  <c r="D109" i="30" s="1" a="1"/>
  <c r="D109" i="30" s="1"/>
  <c r="C109" i="30" s="1"/>
  <c r="CO96" i="30" a="1"/>
  <c r="CO96" i="30" s="1"/>
  <c r="D96" i="30" s="1" a="1"/>
  <c r="D96" i="30" s="1"/>
  <c r="CO127" i="30" a="1"/>
  <c r="CO127" i="30" s="1"/>
  <c r="D127" i="30" s="1" a="1"/>
  <c r="D127" i="30" s="1"/>
  <c r="C127" i="30" s="1"/>
  <c r="CO116" i="30" a="1"/>
  <c r="CO116" i="30" s="1"/>
  <c r="D116" i="30" s="1" a="1"/>
  <c r="D116" i="30" s="1"/>
  <c r="C116" i="30" s="1"/>
  <c r="CO120" i="30" a="1"/>
  <c r="CO120" i="30" s="1"/>
  <c r="D120" i="30" s="1" a="1"/>
  <c r="D120" i="30" s="1"/>
  <c r="C120" i="30" s="1"/>
  <c r="CO111" i="30" a="1"/>
  <c r="CO111" i="30" s="1"/>
  <c r="D111" i="30" s="1" a="1"/>
  <c r="D111" i="30" s="1"/>
  <c r="C111" i="30" s="1"/>
  <c r="CO98" i="30" a="1"/>
  <c r="CO98" i="30" s="1"/>
  <c r="D98" i="30" s="1" a="1"/>
  <c r="D98" i="30" s="1"/>
  <c r="CO129" i="30" a="1"/>
  <c r="CO129" i="30" s="1"/>
  <c r="D129" i="30" s="1" a="1"/>
  <c r="D129" i="30" s="1"/>
  <c r="C129" i="30" s="1"/>
  <c r="CO133" i="30" a="1"/>
  <c r="CO133" i="30" s="1"/>
  <c r="D133" i="30" s="1" a="1"/>
  <c r="D133" i="30" s="1"/>
  <c r="C133" i="30" s="1"/>
  <c r="CO122" i="30" a="1"/>
  <c r="CO122" i="30" s="1"/>
  <c r="D122" i="30" s="1" a="1"/>
  <c r="D122" i="30" s="1"/>
  <c r="C122" i="30" s="1"/>
  <c r="CO113" i="30" a="1"/>
  <c r="CO113" i="30" s="1"/>
  <c r="D113" i="30" s="1" a="1"/>
  <c r="D113" i="30" s="1"/>
  <c r="C113" i="30" s="1"/>
  <c r="A46" i="27"/>
  <c r="B45" i="27"/>
  <c r="CO23" i="30" a="1"/>
  <c r="CO23" i="30" s="1"/>
  <c r="D23" i="30" s="1" a="1"/>
  <c r="D23" i="30" s="1"/>
  <c r="C23" i="30" s="1"/>
  <c r="CO22" i="30" a="1"/>
  <c r="CO22" i="30" s="1"/>
  <c r="D22" i="30" s="1"/>
  <c r="C22" i="30" s="1"/>
  <c r="CO25" i="30" a="1"/>
  <c r="CO25" i="30" s="1"/>
  <c r="D25" i="30" s="1"/>
  <c r="C25" i="30" s="1"/>
  <c r="CO35" i="30" a="1"/>
  <c r="CO35" i="30" s="1"/>
  <c r="CO13" i="30" a="1"/>
  <c r="CO13" i="30" s="1"/>
  <c r="D13" i="30" s="1"/>
  <c r="C13" i="30" s="1"/>
  <c r="E46" i="3" s="1"/>
  <c r="CO8" i="30" a="1"/>
  <c r="CO8" i="30" s="1"/>
  <c r="D8" i="30" s="1"/>
  <c r="C80" i="52" s="1"/>
  <c r="CO31" i="30" a="1"/>
  <c r="CO31" i="30" s="1"/>
  <c r="D31" i="30" s="1"/>
  <c r="C31" i="30" s="1"/>
  <c r="CO19" i="30" a="1"/>
  <c r="CO19" i="30" s="1"/>
  <c r="D19" i="30" s="1"/>
  <c r="C19" i="30" s="1"/>
  <c r="F46" i="3" s="1"/>
  <c r="CO18" i="30" a="1"/>
  <c r="CO18" i="30" s="1"/>
  <c r="D18" i="30" s="1"/>
  <c r="C18" i="30" s="1"/>
  <c r="F45" i="3" s="1"/>
  <c r="CO17" i="30" a="1"/>
  <c r="CO17" i="30" s="1"/>
  <c r="D17" i="30" s="1"/>
  <c r="C17" i="30" s="1"/>
  <c r="F44" i="3" s="1"/>
  <c r="CO12" i="30" a="1"/>
  <c r="CO12" i="30" s="1"/>
  <c r="D12" i="30" s="1"/>
  <c r="C12" i="30" s="1"/>
  <c r="E45" i="3" s="1"/>
  <c r="CO11" i="30" a="1"/>
  <c r="CO11" i="30" s="1"/>
  <c r="D11" i="30" s="1"/>
  <c r="C11" i="30" s="1"/>
  <c r="F238" i="4"/>
  <c r="C240" i="4"/>
  <c r="E239" i="4"/>
  <c r="F202" i="4"/>
  <c r="F198" i="4"/>
  <c r="F191" i="4"/>
  <c r="F193" i="4"/>
  <c r="B238" i="4"/>
  <c r="D239" i="4"/>
  <c r="J244" i="3" l="1"/>
  <c r="K244" i="3"/>
  <c r="L244" i="3"/>
  <c r="M244" i="3"/>
  <c r="G244" i="3"/>
  <c r="H244" i="3"/>
  <c r="I244" i="3"/>
  <c r="M151" i="3"/>
  <c r="M152" i="3" s="1"/>
  <c r="K151" i="3"/>
  <c r="K152" i="3" s="1"/>
  <c r="L151" i="3"/>
  <c r="L152" i="3" s="1"/>
  <c r="I151" i="3"/>
  <c r="I152" i="3" s="1"/>
  <c r="G151" i="3"/>
  <c r="G152" i="3" s="1"/>
  <c r="H151" i="3"/>
  <c r="H152" i="3" s="1"/>
  <c r="J151" i="3"/>
  <c r="J152" i="3" s="1"/>
  <c r="E44" i="3"/>
  <c r="E48" i="3" s="1"/>
  <c r="C8" i="30"/>
  <c r="C88" i="52"/>
  <c r="C99" i="30"/>
  <c r="M127" i="3"/>
  <c r="M128" i="3" s="1"/>
  <c r="K127" i="3"/>
  <c r="K128" i="3" s="1"/>
  <c r="L127" i="3"/>
  <c r="L128" i="3" s="1"/>
  <c r="I127" i="3"/>
  <c r="I128" i="3" s="1"/>
  <c r="H127" i="3"/>
  <c r="H128" i="3" s="1"/>
  <c r="G127" i="3"/>
  <c r="G128" i="3" s="1"/>
  <c r="J127" i="3"/>
  <c r="J128" i="3" s="1"/>
  <c r="C85" i="52"/>
  <c r="C96" i="30"/>
  <c r="K126" i="3"/>
  <c r="G126" i="3"/>
  <c r="M126" i="3"/>
  <c r="L126" i="3"/>
  <c r="I126" i="3"/>
  <c r="J126" i="3"/>
  <c r="H126" i="3"/>
  <c r="G136" i="3"/>
  <c r="J136" i="3"/>
  <c r="M136" i="3"/>
  <c r="I136" i="3"/>
  <c r="L136" i="3"/>
  <c r="H136" i="3"/>
  <c r="K136" i="3"/>
  <c r="C93" i="52"/>
  <c r="C104" i="30"/>
  <c r="C84" i="52"/>
  <c r="C95" i="30"/>
  <c r="C92" i="52"/>
  <c r="C103" i="30"/>
  <c r="C102" i="30"/>
  <c r="C91" i="52"/>
  <c r="C83" i="52"/>
  <c r="C94" i="30"/>
  <c r="D47" i="3"/>
  <c r="D16" i="28"/>
  <c r="J150" i="3"/>
  <c r="M150" i="3"/>
  <c r="K150" i="3"/>
  <c r="I150" i="3"/>
  <c r="L150" i="3"/>
  <c r="H150" i="3"/>
  <c r="G150" i="3"/>
  <c r="J137" i="3"/>
  <c r="L137" i="3"/>
  <c r="I137" i="3"/>
  <c r="G137" i="3"/>
  <c r="K137" i="3"/>
  <c r="M137" i="3"/>
  <c r="H137" i="3"/>
  <c r="H118" i="3"/>
  <c r="J118" i="3"/>
  <c r="K118" i="3"/>
  <c r="M118" i="3"/>
  <c r="G118" i="3"/>
  <c r="I118" i="3"/>
  <c r="L118" i="3"/>
  <c r="C97" i="30"/>
  <c r="C86" i="52"/>
  <c r="D92" i="28"/>
  <c r="F30" i="2"/>
  <c r="E100" i="56" s="1"/>
  <c r="C90" i="52"/>
  <c r="C101" i="30"/>
  <c r="E63" i="3"/>
  <c r="D17" i="28"/>
  <c r="CQ12" i="30"/>
  <c r="D35" i="30"/>
  <c r="C35" i="30" s="1"/>
  <c r="D86" i="28"/>
  <c r="F24" i="2"/>
  <c r="E94" i="56" s="1"/>
  <c r="J119" i="3"/>
  <c r="J120" i="3" s="1"/>
  <c r="I119" i="3"/>
  <c r="I120" i="3" s="1"/>
  <c r="K119" i="3"/>
  <c r="K120" i="3" s="1"/>
  <c r="L119" i="3"/>
  <c r="L120" i="3" s="1"/>
  <c r="G119" i="3"/>
  <c r="G120" i="3" s="1"/>
  <c r="M119" i="3"/>
  <c r="M120" i="3" s="1"/>
  <c r="H119" i="3"/>
  <c r="H120" i="3" s="1"/>
  <c r="C87" i="52"/>
  <c r="C98" i="30"/>
  <c r="C89" i="52"/>
  <c r="C100" i="30"/>
  <c r="C45" i="27"/>
  <c r="A47" i="27"/>
  <c r="B46" i="27"/>
  <c r="C46" i="27" s="1"/>
  <c r="CO24" i="30"/>
  <c r="D24" i="30" s="1"/>
  <c r="C24" i="30" s="1"/>
  <c r="CO134" i="30"/>
  <c r="CO135" i="30"/>
  <c r="C241" i="4"/>
  <c r="E240" i="4"/>
  <c r="F239" i="4"/>
  <c r="D240" i="4"/>
  <c r="B239" i="4"/>
  <c r="D134" i="30" l="1" a="1"/>
  <c r="D134" i="30" s="1"/>
  <c r="C134" i="30" s="1"/>
  <c r="CO139" i="30"/>
  <c r="F48" i="3"/>
  <c r="G149" i="3"/>
  <c r="J149" i="3"/>
  <c r="M149" i="3"/>
  <c r="K149" i="3"/>
  <c r="H149" i="3"/>
  <c r="I149" i="3"/>
  <c r="L149" i="3"/>
  <c r="G135" i="3"/>
  <c r="I135" i="3"/>
  <c r="L135" i="3"/>
  <c r="H135" i="3"/>
  <c r="M135" i="3"/>
  <c r="J135" i="3"/>
  <c r="K135" i="3"/>
  <c r="J98" i="3"/>
  <c r="D15" i="28"/>
  <c r="G98" i="3"/>
  <c r="D10" i="30"/>
  <c r="I98" i="3"/>
  <c r="H98" i="3"/>
  <c r="L98" i="3"/>
  <c r="M98" i="3"/>
  <c r="K98" i="3"/>
  <c r="I117" i="3"/>
  <c r="H117" i="3"/>
  <c r="J117" i="3"/>
  <c r="L117" i="3"/>
  <c r="K117" i="3"/>
  <c r="G117" i="3"/>
  <c r="M117" i="3"/>
  <c r="H68" i="14"/>
  <c r="K68" i="14"/>
  <c r="J68" i="14"/>
  <c r="L68" i="14"/>
  <c r="M68" i="14"/>
  <c r="I68" i="14"/>
  <c r="G68" i="14"/>
  <c r="H124" i="3"/>
  <c r="H125" i="3" s="1"/>
  <c r="J124" i="3"/>
  <c r="J125" i="3" s="1"/>
  <c r="L124" i="3"/>
  <c r="L125" i="3" s="1"/>
  <c r="I124" i="3"/>
  <c r="I125" i="3" s="1"/>
  <c r="K124" i="3"/>
  <c r="K125" i="3" s="1"/>
  <c r="M124" i="3"/>
  <c r="M125" i="3" s="1"/>
  <c r="G124" i="3"/>
  <c r="G125" i="3" s="1"/>
  <c r="CO140" i="30"/>
  <c r="D140" i="30" s="1" a="1"/>
  <c r="D140" i="30" s="1"/>
  <c r="C140" i="30" s="1"/>
  <c r="D135" i="30" a="1"/>
  <c r="D135" i="30" s="1"/>
  <c r="C135" i="30" s="1"/>
  <c r="C5" i="30"/>
  <c r="D21" i="52"/>
  <c r="D18" i="25"/>
  <c r="C34" i="30"/>
  <c r="D37" i="30" s="1"/>
  <c r="D139" i="30" a="1"/>
  <c r="D139" i="30" s="1"/>
  <c r="C139" i="30" s="1"/>
  <c r="B47" i="27"/>
  <c r="C47" i="27" s="1"/>
  <c r="A48" i="27"/>
  <c r="F240" i="4"/>
  <c r="C242" i="4"/>
  <c r="E241" i="4"/>
  <c r="F190" i="4"/>
  <c r="B240" i="4"/>
  <c r="D241" i="4"/>
  <c r="C20" i="28" l="1"/>
  <c r="K357" i="3"/>
  <c r="J357" i="3"/>
  <c r="M357" i="3"/>
  <c r="H357" i="3"/>
  <c r="L357" i="3"/>
  <c r="I357" i="3"/>
  <c r="G357" i="3"/>
  <c r="H99" i="3"/>
  <c r="K99" i="3"/>
  <c r="J99" i="3"/>
  <c r="M99" i="3"/>
  <c r="L99" i="3"/>
  <c r="I99" i="3"/>
  <c r="G99" i="3"/>
  <c r="J124" i="52"/>
  <c r="E133" i="52" s="1"/>
  <c r="E119" i="52" s="1"/>
  <c r="D22" i="52"/>
  <c r="I71" i="4"/>
  <c r="I359" i="3"/>
  <c r="I96" i="4"/>
  <c r="I463" i="3"/>
  <c r="K463" i="3"/>
  <c r="K71" i="4"/>
  <c r="K96" i="4"/>
  <c r="K359" i="3"/>
  <c r="B180" i="4"/>
  <c r="H359" i="3"/>
  <c r="H96" i="4"/>
  <c r="H71" i="4"/>
  <c r="H463" i="3"/>
  <c r="J71" i="4"/>
  <c r="J96" i="4"/>
  <c r="J359" i="3"/>
  <c r="J463" i="3"/>
  <c r="K18" i="25"/>
  <c r="M18" i="25"/>
  <c r="H18" i="25"/>
  <c r="I18" i="25"/>
  <c r="L18" i="25"/>
  <c r="G18" i="25"/>
  <c r="J18" i="25"/>
  <c r="L71" i="4"/>
  <c r="L96" i="4"/>
  <c r="L359" i="3"/>
  <c r="L463" i="3"/>
  <c r="G359" i="3"/>
  <c r="G71" i="4"/>
  <c r="G463" i="3"/>
  <c r="G96" i="4"/>
  <c r="C81" i="52"/>
  <c r="C37" i="30"/>
  <c r="M71" i="4"/>
  <c r="M359" i="3"/>
  <c r="M96" i="4"/>
  <c r="M463" i="3"/>
  <c r="A49" i="27"/>
  <c r="B48" i="27"/>
  <c r="C243" i="4"/>
  <c r="E242" i="4"/>
  <c r="F241" i="4"/>
  <c r="B241" i="4"/>
  <c r="D242" i="4"/>
  <c r="L362" i="3" l="1"/>
  <c r="H362" i="3"/>
  <c r="I362" i="3"/>
  <c r="M362" i="3"/>
  <c r="J362" i="3"/>
  <c r="K362" i="3"/>
  <c r="G362" i="3"/>
  <c r="G221" i="3" s="1"/>
  <c r="K466" i="3"/>
  <c r="K24" i="3"/>
  <c r="J466" i="3"/>
  <c r="J24" i="3"/>
  <c r="M466" i="3"/>
  <c r="M24" i="3"/>
  <c r="L466" i="3"/>
  <c r="L24" i="3"/>
  <c r="I466" i="3"/>
  <c r="I24" i="3"/>
  <c r="H466" i="3"/>
  <c r="H24" i="3"/>
  <c r="G466" i="3"/>
  <c r="G24" i="3"/>
  <c r="G16" i="3"/>
  <c r="J140" i="3"/>
  <c r="I140" i="3"/>
  <c r="M140" i="3"/>
  <c r="K45" i="4"/>
  <c r="K16" i="3"/>
  <c r="G140" i="3"/>
  <c r="G45" i="4"/>
  <c r="I45" i="4"/>
  <c r="I16" i="3"/>
  <c r="J16" i="3"/>
  <c r="J45" i="4"/>
  <c r="D23" i="52" a="1"/>
  <c r="D23" i="52" s="1"/>
  <c r="J125" i="52"/>
  <c r="E121" i="52" a="1"/>
  <c r="E121" i="52" s="1"/>
  <c r="E134" i="52" a="1"/>
  <c r="E134" i="52" s="1"/>
  <c r="L16" i="3"/>
  <c r="L45" i="4"/>
  <c r="M16" i="3"/>
  <c r="M45" i="4"/>
  <c r="K140" i="3"/>
  <c r="D21" i="28"/>
  <c r="M100" i="3"/>
  <c r="M101" i="3" s="1"/>
  <c r="M266" i="3" s="1"/>
  <c r="L100" i="3"/>
  <c r="L101" i="3" s="1"/>
  <c r="L266" i="3" s="1"/>
  <c r="K100" i="3"/>
  <c r="K101" i="3" s="1"/>
  <c r="K266" i="3" s="1"/>
  <c r="I100" i="3"/>
  <c r="I101" i="3" s="1"/>
  <c r="I266" i="3" s="1"/>
  <c r="D39" i="30"/>
  <c r="H100" i="3"/>
  <c r="H101" i="3" s="1"/>
  <c r="H266" i="3" s="1"/>
  <c r="J100" i="3"/>
  <c r="J101" i="3" s="1"/>
  <c r="J266" i="3" s="1"/>
  <c r="G100" i="3"/>
  <c r="G101" i="3" s="1"/>
  <c r="G266" i="3" s="1"/>
  <c r="L140" i="3"/>
  <c r="H16" i="3"/>
  <c r="H45" i="4"/>
  <c r="H140" i="3"/>
  <c r="C48" i="27"/>
  <c r="A50" i="27"/>
  <c r="B49" i="27"/>
  <c r="C49" i="27" s="1"/>
  <c r="C211" i="28"/>
  <c r="A99" i="27" s="1"/>
  <c r="B99" i="27" s="1"/>
  <c r="F242" i="4"/>
  <c r="C244" i="4"/>
  <c r="E243" i="4"/>
  <c r="D243" i="4"/>
  <c r="B242" i="4"/>
  <c r="G506" i="3" l="1"/>
  <c r="G219" i="3"/>
  <c r="H506" i="3"/>
  <c r="M506" i="3"/>
  <c r="L506" i="3"/>
  <c r="J506" i="3"/>
  <c r="I506" i="3"/>
  <c r="K506" i="3"/>
  <c r="H502" i="3"/>
  <c r="H496" i="3"/>
  <c r="L496" i="3"/>
  <c r="L502" i="3"/>
  <c r="K502" i="3"/>
  <c r="K496" i="3"/>
  <c r="M496" i="3"/>
  <c r="M502" i="3"/>
  <c r="I496" i="3"/>
  <c r="I502" i="3"/>
  <c r="J502" i="3"/>
  <c r="J496" i="3"/>
  <c r="G19" i="4"/>
  <c r="I132" i="28"/>
  <c r="I131" i="28"/>
  <c r="L15" i="3"/>
  <c r="L13" i="14"/>
  <c r="J131" i="28"/>
  <c r="J132" i="28"/>
  <c r="M13" i="14"/>
  <c r="M15" i="3"/>
  <c r="G131" i="28"/>
  <c r="J15" i="3"/>
  <c r="G132" i="28"/>
  <c r="J13" i="14"/>
  <c r="K15" i="3"/>
  <c r="H132" i="28"/>
  <c r="K13" i="14"/>
  <c r="H131" i="28"/>
  <c r="H15" i="3"/>
  <c r="E131" i="28"/>
  <c r="E132" i="28"/>
  <c r="H13" i="14"/>
  <c r="I15" i="3"/>
  <c r="I13" i="14"/>
  <c r="F132" i="28"/>
  <c r="F131" i="28"/>
  <c r="G13" i="14"/>
  <c r="D131" i="28"/>
  <c r="G15" i="3"/>
  <c r="D132" i="28"/>
  <c r="M19" i="4"/>
  <c r="L19" i="4"/>
  <c r="H19" i="4"/>
  <c r="J19" i="4"/>
  <c r="I19" i="4"/>
  <c r="K19" i="4"/>
  <c r="G496" i="3"/>
  <c r="G502" i="3"/>
  <c r="M142" i="3"/>
  <c r="I142" i="3"/>
  <c r="J141" i="3"/>
  <c r="I143" i="3"/>
  <c r="I145" i="3" s="1"/>
  <c r="M143" i="3"/>
  <c r="M145" i="3" s="1"/>
  <c r="M141" i="3"/>
  <c r="I141" i="3"/>
  <c r="J143" i="3"/>
  <c r="J145" i="3" s="1"/>
  <c r="J142" i="3"/>
  <c r="J20" i="49"/>
  <c r="J57" i="49" s="1"/>
  <c r="J107" i="49" s="1"/>
  <c r="J246" i="3"/>
  <c r="L142" i="3"/>
  <c r="L143" i="3"/>
  <c r="L145" i="3" s="1"/>
  <c r="L141" i="3"/>
  <c r="K142" i="3"/>
  <c r="K141" i="3"/>
  <c r="K143" i="3"/>
  <c r="K145" i="3" s="1"/>
  <c r="G20" i="49"/>
  <c r="G61" i="49" s="1"/>
  <c r="G246" i="3"/>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K246" i="3"/>
  <c r="K20" i="49"/>
  <c r="K57" i="49" s="1"/>
  <c r="K107" i="49" s="1"/>
  <c r="H20" i="49"/>
  <c r="H57" i="49" s="1"/>
  <c r="H107" i="49" s="1"/>
  <c r="H246" i="3"/>
  <c r="H141" i="3"/>
  <c r="H142" i="3"/>
  <c r="H143" i="3"/>
  <c r="H145" i="3" s="1"/>
  <c r="I20" i="49"/>
  <c r="I57" i="49" s="1"/>
  <c r="I107" i="49" s="1"/>
  <c r="I246" i="3"/>
  <c r="G143" i="3"/>
  <c r="G145" i="3" s="1"/>
  <c r="G141" i="3"/>
  <c r="G142" i="3"/>
  <c r="L246" i="3"/>
  <c r="L20" i="49"/>
  <c r="L57" i="49" s="1"/>
  <c r="L107" i="49" s="1"/>
  <c r="M20" i="49"/>
  <c r="M57" i="49" s="1"/>
  <c r="M107" i="49" s="1"/>
  <c r="M246" i="3"/>
  <c r="A51" i="27"/>
  <c r="B50" i="27"/>
  <c r="C50" i="27" s="1"/>
  <c r="C245" i="4"/>
  <c r="E244" i="4"/>
  <c r="F243" i="4"/>
  <c r="M243" i="4"/>
  <c r="G243" i="4"/>
  <c r="J243" i="4"/>
  <c r="L243" i="4"/>
  <c r="H243" i="4"/>
  <c r="I243" i="4"/>
  <c r="K243" i="4"/>
  <c r="B243" i="4"/>
  <c r="D244" i="4"/>
  <c r="G57" i="49" l="1"/>
  <c r="G107" i="49" s="1"/>
  <c r="G147" i="49"/>
  <c r="J34" i="14"/>
  <c r="J36" i="14" s="1"/>
  <c r="J430" i="3"/>
  <c r="H34" i="14"/>
  <c r="H36" i="14" s="1"/>
  <c r="H430" i="3"/>
  <c r="M34" i="14"/>
  <c r="M36" i="14" s="1"/>
  <c r="M430" i="3"/>
  <c r="I34" i="14"/>
  <c r="I36" i="14" s="1"/>
  <c r="I430" i="3"/>
  <c r="K34" i="14"/>
  <c r="K36" i="14" s="1"/>
  <c r="K430" i="3"/>
  <c r="G34" i="14"/>
  <c r="G36" i="14" s="1"/>
  <c r="G430" i="3"/>
  <c r="L34" i="14"/>
  <c r="L36" i="14" s="1"/>
  <c r="L430" i="3"/>
  <c r="M68" i="49"/>
  <c r="M118" i="49" s="1"/>
  <c r="M108" i="49"/>
  <c r="M129" i="49" s="1" a="1"/>
  <c r="L68" i="49"/>
  <c r="L118" i="49" s="1"/>
  <c r="L108" i="49"/>
  <c r="I68" i="49"/>
  <c r="I118" i="49" s="1"/>
  <c r="I108" i="49"/>
  <c r="H68" i="49"/>
  <c r="H118" i="49" s="1"/>
  <c r="H108" i="49"/>
  <c r="H129" i="49" s="1" a="1"/>
  <c r="K68" i="49"/>
  <c r="K118" i="49" s="1"/>
  <c r="K108" i="49"/>
  <c r="K129" i="49" s="1" a="1"/>
  <c r="J68" i="49"/>
  <c r="J118" i="49" s="1"/>
  <c r="J108" i="49"/>
  <c r="G68" i="49"/>
  <c r="G118" i="49" s="1"/>
  <c r="G108" i="49"/>
  <c r="M61" i="49"/>
  <c r="M63" i="49"/>
  <c r="M113" i="49" s="1"/>
  <c r="L61" i="49"/>
  <c r="L147" i="49" s="1"/>
  <c r="L149" i="49" s="1"/>
  <c r="L63" i="49"/>
  <c r="L113" i="49" s="1"/>
  <c r="I61" i="49"/>
  <c r="I63" i="49"/>
  <c r="I113" i="49" s="1"/>
  <c r="H61" i="49"/>
  <c r="H63" i="49"/>
  <c r="H113" i="49" s="1"/>
  <c r="K61" i="49"/>
  <c r="K147" i="49" s="1"/>
  <c r="K149" i="49" s="1"/>
  <c r="K63" i="49"/>
  <c r="K113" i="49" s="1"/>
  <c r="J61" i="49"/>
  <c r="J147" i="49" s="1"/>
  <c r="J149" i="49" s="1"/>
  <c r="J63" i="49"/>
  <c r="J113" i="49" s="1"/>
  <c r="G138" i="49"/>
  <c r="G140" i="49" s="1"/>
  <c r="G63" i="49"/>
  <c r="G113" i="49" s="1"/>
  <c r="G71" i="49"/>
  <c r="M71" i="49"/>
  <c r="L71" i="49"/>
  <c r="I71" i="49"/>
  <c r="H71" i="49"/>
  <c r="K71" i="49"/>
  <c r="J71" i="49"/>
  <c r="E136" i="52"/>
  <c r="E138" i="52" s="1"/>
  <c r="A52" i="27"/>
  <c r="B51" i="27"/>
  <c r="F244" i="4"/>
  <c r="C246" i="4"/>
  <c r="E245" i="4"/>
  <c r="H244" i="4"/>
  <c r="I244" i="4"/>
  <c r="M244" i="4"/>
  <c r="G244" i="4"/>
  <c r="L244" i="4"/>
  <c r="J244" i="4"/>
  <c r="K244" i="4"/>
  <c r="B244" i="4"/>
  <c r="D245" i="4"/>
  <c r="G149" i="49" l="1"/>
  <c r="H138" i="49"/>
  <c r="H140" i="49" s="1"/>
  <c r="H147" i="49"/>
  <c r="H149" i="49" s="1"/>
  <c r="I138" i="49"/>
  <c r="I140" i="49" s="1"/>
  <c r="I147" i="49"/>
  <c r="I149" i="49" s="1"/>
  <c r="M138" i="49"/>
  <c r="M140" i="49" s="1"/>
  <c r="M147" i="49"/>
  <c r="M149" i="49" s="1"/>
  <c r="G139" i="49" a="1"/>
  <c r="G139" i="49" s="1"/>
  <c r="G141" i="49" s="1"/>
  <c r="J138" i="49"/>
  <c r="J140" i="49" s="1"/>
  <c r="L138" i="49"/>
  <c r="L140" i="49" s="1"/>
  <c r="K138" i="49"/>
  <c r="K140" i="49" s="1"/>
  <c r="H129" i="49"/>
  <c r="J129" i="49" a="1"/>
  <c r="J129" i="49" s="1"/>
  <c r="L129" i="49" a="1"/>
  <c r="L129" i="49" s="1"/>
  <c r="K129" i="49"/>
  <c r="M129" i="49"/>
  <c r="I129" i="49" a="1"/>
  <c r="I129" i="49" s="1"/>
  <c r="G129" i="49" a="1"/>
  <c r="G129" i="49" s="1"/>
  <c r="J148" i="49" a="1"/>
  <c r="J148" i="49" s="1"/>
  <c r="L148" i="49" a="1"/>
  <c r="L148" i="49" s="1"/>
  <c r="J139" i="49" a="1"/>
  <c r="J139" i="49" s="1"/>
  <c r="L139" i="49" a="1"/>
  <c r="L139" i="49" s="1"/>
  <c r="M148" i="49" a="1"/>
  <c r="M148" i="49" s="1"/>
  <c r="K148" i="49" a="1"/>
  <c r="K148" i="49" s="1"/>
  <c r="I148" i="49" a="1"/>
  <c r="I148" i="49" s="1"/>
  <c r="M139" i="49" a="1"/>
  <c r="M139" i="49" s="1"/>
  <c r="K139" i="49" a="1"/>
  <c r="K139" i="49" s="1"/>
  <c r="I139" i="49" a="1"/>
  <c r="I139" i="49" s="1"/>
  <c r="G148" i="49" a="1"/>
  <c r="G148" i="49" s="1"/>
  <c r="H139" i="49" a="1"/>
  <c r="H139" i="49" s="1"/>
  <c r="H148" i="49" a="1"/>
  <c r="H148" i="49" s="1"/>
  <c r="C51" i="27"/>
  <c r="A53" i="27"/>
  <c r="B52" i="27"/>
  <c r="C52" i="27" s="1"/>
  <c r="F245" i="4"/>
  <c r="C247" i="4"/>
  <c r="E246" i="4"/>
  <c r="B245" i="4"/>
  <c r="D246" i="4"/>
  <c r="G150" i="49" l="1"/>
  <c r="G151" i="49" s="1"/>
  <c r="G437" i="3" s="1"/>
  <c r="G142" i="49"/>
  <c r="J141" i="49"/>
  <c r="J142" i="49" s="1"/>
  <c r="J445" i="3" s="1"/>
  <c r="J26" i="22" s="1"/>
  <c r="L150" i="49"/>
  <c r="L151" i="49" s="1"/>
  <c r="L437" i="3" s="1"/>
  <c r="J150" i="49"/>
  <c r="J151" i="49" s="1"/>
  <c r="J437" i="3" s="1"/>
  <c r="L141" i="49"/>
  <c r="L142" i="49" s="1"/>
  <c r="L445" i="3" s="1"/>
  <c r="L26" i="22" s="1"/>
  <c r="I141" i="49"/>
  <c r="I142" i="49" s="1"/>
  <c r="I445" i="3" s="1"/>
  <c r="I26" i="22" s="1"/>
  <c r="M150" i="49"/>
  <c r="M151" i="49" s="1"/>
  <c r="M437" i="3" s="1"/>
  <c r="K150" i="49"/>
  <c r="K151" i="49" s="1"/>
  <c r="M141" i="49"/>
  <c r="M142" i="49" s="1"/>
  <c r="M445" i="3" s="1"/>
  <c r="M26" i="22" s="1"/>
  <c r="I150" i="49"/>
  <c r="I151" i="49" s="1"/>
  <c r="I437" i="3" s="1"/>
  <c r="K141" i="49"/>
  <c r="K142" i="49" s="1"/>
  <c r="K445" i="3" s="1"/>
  <c r="K26" i="22" s="1"/>
  <c r="H141" i="49"/>
  <c r="H142" i="49" s="1"/>
  <c r="H445" i="3" s="1"/>
  <c r="H26" i="22" s="1"/>
  <c r="H150" i="49"/>
  <c r="H151" i="49" s="1"/>
  <c r="H437" i="3" s="1"/>
  <c r="A54" i="27"/>
  <c r="B53" i="27"/>
  <c r="C53" i="27" s="1"/>
  <c r="F246" i="4"/>
  <c r="C248" i="4"/>
  <c r="E247" i="4"/>
  <c r="B246" i="4"/>
  <c r="D247" i="4"/>
  <c r="G445" i="3" l="1"/>
  <c r="G26" i="22" s="1"/>
  <c r="K437" i="3"/>
  <c r="A55" i="27"/>
  <c r="B54" i="27"/>
  <c r="C54" i="27" s="1"/>
  <c r="C249" i="4"/>
  <c r="E248" i="4"/>
  <c r="F247" i="4"/>
  <c r="D248" i="4"/>
  <c r="B247" i="4"/>
  <c r="A56" i="27" l="1"/>
  <c r="B55" i="27"/>
  <c r="C55" i="27" s="1"/>
  <c r="F248" i="4"/>
  <c r="C250" i="4"/>
  <c r="E249" i="4"/>
  <c r="B248" i="4"/>
  <c r="D249" i="4"/>
  <c r="A57" i="27" l="1"/>
  <c r="B56" i="27"/>
  <c r="C56" i="27" s="1"/>
  <c r="C251" i="4"/>
  <c r="E250" i="4"/>
  <c r="F249" i="4"/>
  <c r="B249" i="4"/>
  <c r="D250" i="4"/>
  <c r="B57" i="27" l="1"/>
  <c r="C57" i="27" s="1"/>
  <c r="A58" i="27"/>
  <c r="B58" i="27" s="1"/>
  <c r="F250" i="4"/>
  <c r="C252" i="4"/>
  <c r="E251" i="4"/>
  <c r="D251" i="4"/>
  <c r="B250" i="4"/>
  <c r="C58" i="27" l="1"/>
  <c r="I119" i="52" s="1"/>
  <c r="C107" i="52"/>
  <c r="E103" i="52"/>
  <c r="C209" i="28"/>
  <c r="A97" i="27" s="1"/>
  <c r="C253" i="4"/>
  <c r="E252" i="4"/>
  <c r="F251" i="4"/>
  <c r="B251" i="4"/>
  <c r="D252" i="4"/>
  <c r="A74" i="27" l="1"/>
  <c r="B97" i="27"/>
  <c r="F252" i="4"/>
  <c r="C254" i="4"/>
  <c r="E253" i="4"/>
  <c r="E144" i="28" a="1"/>
  <c r="E144" i="28" s="1"/>
  <c r="B252" i="4"/>
  <c r="D253" i="4"/>
  <c r="B95" i="27" l="1"/>
  <c r="F253" i="4"/>
  <c r="C255" i="4"/>
  <c r="E254" i="4"/>
  <c r="D254" i="4"/>
  <c r="B253" i="4"/>
  <c r="G254" i="4" l="1"/>
  <c r="F254" i="4"/>
  <c r="M254" i="4"/>
  <c r="L254" i="4"/>
  <c r="K254" i="4"/>
  <c r="J254" i="4"/>
  <c r="I254" i="4"/>
  <c r="H254" i="4"/>
  <c r="C256" i="4"/>
  <c r="E255" i="4"/>
  <c r="B254" i="4"/>
  <c r="D255" i="4"/>
  <c r="K255" i="4" l="1"/>
  <c r="J255" i="4"/>
  <c r="I255" i="4"/>
  <c r="H255" i="4"/>
  <c r="G255" i="4"/>
  <c r="F255" i="4"/>
  <c r="L255" i="4"/>
  <c r="M255" i="4"/>
  <c r="C257" i="4"/>
  <c r="E256" i="4"/>
  <c r="B255" i="4"/>
  <c r="D256" i="4"/>
  <c r="G256" i="4" l="1"/>
  <c r="F256" i="4"/>
  <c r="M256" i="4"/>
  <c r="L256" i="4"/>
  <c r="K256" i="4"/>
  <c r="J256" i="4"/>
  <c r="I256" i="4"/>
  <c r="H256" i="4"/>
  <c r="C258" i="4"/>
  <c r="E257" i="4"/>
  <c r="B256" i="4"/>
  <c r="D257" i="4"/>
  <c r="C259" i="4" l="1"/>
  <c r="E258" i="4"/>
  <c r="K257" i="4"/>
  <c r="J257" i="4"/>
  <c r="I257" i="4"/>
  <c r="H257" i="4"/>
  <c r="G257" i="4"/>
  <c r="F257" i="4"/>
  <c r="L257" i="4"/>
  <c r="M257" i="4"/>
  <c r="D258" i="4"/>
  <c r="B257" i="4"/>
  <c r="G258" i="4" l="1"/>
  <c r="F258" i="4"/>
  <c r="M258" i="4"/>
  <c r="L258" i="4"/>
  <c r="K258" i="4"/>
  <c r="J258" i="4"/>
  <c r="H258" i="4"/>
  <c r="I258" i="4"/>
  <c r="C260" i="4"/>
  <c r="E259" i="4"/>
  <c r="D259" i="4"/>
  <c r="B258" i="4"/>
  <c r="K259" i="4" l="1"/>
  <c r="J259" i="4"/>
  <c r="I259" i="4"/>
  <c r="H259" i="4"/>
  <c r="G259" i="4"/>
  <c r="F259" i="4"/>
  <c r="M259" i="4"/>
  <c r="L259" i="4"/>
  <c r="C261" i="4"/>
  <c r="E260" i="4"/>
  <c r="B259" i="4"/>
  <c r="D260" i="4"/>
  <c r="C262" i="4" l="1"/>
  <c r="E261" i="4"/>
  <c r="G260" i="4"/>
  <c r="F260" i="4"/>
  <c r="M260" i="4"/>
  <c r="L260" i="4"/>
  <c r="K260" i="4"/>
  <c r="J260" i="4"/>
  <c r="I260" i="4"/>
  <c r="H260" i="4"/>
  <c r="D261" i="4"/>
  <c r="B260" i="4"/>
  <c r="C263" i="4" l="1"/>
  <c r="E262" i="4"/>
  <c r="K261" i="4"/>
  <c r="J261" i="4"/>
  <c r="I261" i="4"/>
  <c r="H261" i="4"/>
  <c r="G261" i="4"/>
  <c r="F261" i="4"/>
  <c r="M261" i="4"/>
  <c r="L261" i="4"/>
  <c r="B261" i="4"/>
  <c r="D262" i="4"/>
  <c r="G262" i="4" l="1"/>
  <c r="F262" i="4"/>
  <c r="M262" i="4"/>
  <c r="L262" i="4"/>
  <c r="K262" i="4"/>
  <c r="J262" i="4"/>
  <c r="I262" i="4"/>
  <c r="H262" i="4"/>
  <c r="C264" i="4"/>
  <c r="E263" i="4"/>
  <c r="B262" i="4"/>
  <c r="D263" i="4"/>
  <c r="C265" i="4" l="1"/>
  <c r="E264" i="4"/>
  <c r="K263" i="4"/>
  <c r="J263" i="4"/>
  <c r="I263" i="4"/>
  <c r="H263" i="4"/>
  <c r="G263" i="4"/>
  <c r="F263" i="4"/>
  <c r="L263" i="4"/>
  <c r="M263" i="4"/>
  <c r="B263" i="4"/>
  <c r="D264" i="4"/>
  <c r="G264" i="4" l="1"/>
  <c r="F264" i="4"/>
  <c r="M264" i="4"/>
  <c r="L264" i="4"/>
  <c r="K264" i="4"/>
  <c r="J264" i="4"/>
  <c r="I264" i="4"/>
  <c r="H264" i="4"/>
  <c r="C266" i="4"/>
  <c r="E265" i="4"/>
  <c r="D265" i="4"/>
  <c r="B264" i="4"/>
  <c r="C267" i="4" l="1"/>
  <c r="E266" i="4"/>
  <c r="K265" i="4"/>
  <c r="J265" i="4"/>
  <c r="I265" i="4"/>
  <c r="H265" i="4"/>
  <c r="G265" i="4"/>
  <c r="F265" i="4"/>
  <c r="M265" i="4"/>
  <c r="L265" i="4"/>
  <c r="B265" i="4"/>
  <c r="D266" i="4"/>
  <c r="G266" i="4" l="1"/>
  <c r="F266" i="4"/>
  <c r="M266" i="4"/>
  <c r="L266" i="4"/>
  <c r="K266" i="4"/>
  <c r="J266" i="4"/>
  <c r="H266" i="4"/>
  <c r="I266" i="4"/>
  <c r="C268" i="4"/>
  <c r="E267" i="4"/>
  <c r="B266" i="4"/>
  <c r="D267" i="4"/>
  <c r="K267" i="4" l="1"/>
  <c r="J267" i="4"/>
  <c r="I267" i="4"/>
  <c r="H267" i="4"/>
  <c r="G267" i="4"/>
  <c r="F267" i="4"/>
  <c r="M267" i="4"/>
  <c r="L267" i="4"/>
  <c r="C269" i="4"/>
  <c r="E268" i="4"/>
  <c r="D268" i="4"/>
  <c r="B267" i="4"/>
  <c r="G268" i="4" l="1"/>
  <c r="F268" i="4"/>
  <c r="M268" i="4"/>
  <c r="L268" i="4"/>
  <c r="K268" i="4"/>
  <c r="J268" i="4"/>
  <c r="I268" i="4"/>
  <c r="H268" i="4"/>
  <c r="C270" i="4"/>
  <c r="E269" i="4"/>
  <c r="B268" i="4"/>
  <c r="D269" i="4"/>
  <c r="C271" i="4" l="1"/>
  <c r="E270" i="4"/>
  <c r="K269" i="4"/>
  <c r="J269" i="4"/>
  <c r="I269" i="4"/>
  <c r="H269" i="4"/>
  <c r="G269" i="4"/>
  <c r="F269" i="4"/>
  <c r="M269" i="4"/>
  <c r="L269" i="4"/>
  <c r="D270" i="4"/>
  <c r="B269" i="4"/>
  <c r="G270" i="4" l="1"/>
  <c r="F270" i="4"/>
  <c r="M270" i="4"/>
  <c r="L270" i="4"/>
  <c r="K270" i="4"/>
  <c r="J270" i="4"/>
  <c r="I270" i="4"/>
  <c r="H270" i="4"/>
  <c r="C272" i="4"/>
  <c r="E271" i="4"/>
  <c r="B270" i="4"/>
  <c r="D271" i="4"/>
  <c r="C273" i="4" l="1"/>
  <c r="E272" i="4"/>
  <c r="K271" i="4"/>
  <c r="J271" i="4"/>
  <c r="I271" i="4"/>
  <c r="H271" i="4"/>
  <c r="G271" i="4"/>
  <c r="F271" i="4"/>
  <c r="L271" i="4"/>
  <c r="M271" i="4"/>
  <c r="B271" i="4"/>
  <c r="D272" i="4"/>
  <c r="G272" i="4" l="1"/>
  <c r="F272" i="4"/>
  <c r="M272" i="4"/>
  <c r="L272" i="4"/>
  <c r="K272" i="4"/>
  <c r="J272" i="4"/>
  <c r="I272" i="4"/>
  <c r="H272" i="4"/>
  <c r="C274" i="4"/>
  <c r="E273" i="4"/>
  <c r="D273" i="4"/>
  <c r="B272" i="4"/>
  <c r="C275" i="4" l="1"/>
  <c r="E274" i="4"/>
  <c r="K273" i="4"/>
  <c r="J273" i="4"/>
  <c r="I273" i="4"/>
  <c r="H273" i="4"/>
  <c r="G273" i="4"/>
  <c r="F273" i="4"/>
  <c r="M273" i="4"/>
  <c r="L273" i="4"/>
  <c r="B273" i="4"/>
  <c r="D274" i="4"/>
  <c r="G274" i="4" l="1"/>
  <c r="F274" i="4"/>
  <c r="M274" i="4"/>
  <c r="L274" i="4"/>
  <c r="K274" i="4"/>
  <c r="J274" i="4"/>
  <c r="H274" i="4"/>
  <c r="I274" i="4"/>
  <c r="C276" i="4"/>
  <c r="E275" i="4"/>
  <c r="B274" i="4"/>
  <c r="D275" i="4"/>
  <c r="C277" i="4" l="1"/>
  <c r="E276" i="4"/>
  <c r="K275" i="4"/>
  <c r="J275" i="4"/>
  <c r="I275" i="4"/>
  <c r="H275" i="4"/>
  <c r="G275" i="4"/>
  <c r="F275" i="4"/>
  <c r="M275" i="4"/>
  <c r="L275" i="4"/>
  <c r="B275" i="4"/>
  <c r="D276" i="4"/>
  <c r="G276" i="4" l="1"/>
  <c r="F276" i="4"/>
  <c r="M276" i="4"/>
  <c r="L276" i="4"/>
  <c r="K276" i="4"/>
  <c r="J276" i="4"/>
  <c r="I276" i="4"/>
  <c r="H276" i="4"/>
  <c r="C278" i="4"/>
  <c r="E277" i="4"/>
  <c r="B276" i="4"/>
  <c r="D277" i="4"/>
  <c r="C279" i="4" l="1"/>
  <c r="E278" i="4"/>
  <c r="K277" i="4"/>
  <c r="J277" i="4"/>
  <c r="I277" i="4"/>
  <c r="H277" i="4"/>
  <c r="G277" i="4"/>
  <c r="F277" i="4"/>
  <c r="M277" i="4"/>
  <c r="L277" i="4"/>
  <c r="D278" i="4"/>
  <c r="B277" i="4"/>
  <c r="G278" i="4" l="1"/>
  <c r="F278" i="4"/>
  <c r="M278" i="4"/>
  <c r="L278" i="4"/>
  <c r="K278" i="4"/>
  <c r="J278" i="4"/>
  <c r="I278" i="4"/>
  <c r="H278" i="4"/>
  <c r="C280" i="4"/>
  <c r="E279" i="4"/>
  <c r="B278" i="4"/>
  <c r="D279" i="4"/>
  <c r="K279" i="4" l="1"/>
  <c r="J279" i="4"/>
  <c r="I279" i="4"/>
  <c r="H279" i="4"/>
  <c r="G279" i="4"/>
  <c r="F279" i="4"/>
  <c r="L279" i="4"/>
  <c r="M279" i="4"/>
  <c r="C281" i="4"/>
  <c r="E280" i="4"/>
  <c r="D280" i="4"/>
  <c r="B279" i="4"/>
  <c r="G280" i="4" l="1"/>
  <c r="F280" i="4"/>
  <c r="M280" i="4"/>
  <c r="L280" i="4"/>
  <c r="K280" i="4"/>
  <c r="J280" i="4"/>
  <c r="I280" i="4"/>
  <c r="H280" i="4"/>
  <c r="C282" i="4"/>
  <c r="E281" i="4"/>
  <c r="B280" i="4"/>
  <c r="D281" i="4"/>
  <c r="C283" i="4" l="1"/>
  <c r="E282" i="4"/>
  <c r="K281" i="4"/>
  <c r="J281" i="4"/>
  <c r="I281" i="4"/>
  <c r="H281" i="4"/>
  <c r="G281" i="4"/>
  <c r="F281" i="4"/>
  <c r="M281" i="4"/>
  <c r="L281" i="4"/>
  <c r="D282" i="4"/>
  <c r="B281" i="4"/>
  <c r="G282" i="4" l="1"/>
  <c r="F282" i="4"/>
  <c r="M282" i="4"/>
  <c r="L282" i="4"/>
  <c r="K282" i="4"/>
  <c r="J282" i="4"/>
  <c r="H282" i="4"/>
  <c r="I282" i="4"/>
  <c r="C284" i="4"/>
  <c r="E283" i="4"/>
  <c r="B282" i="4"/>
  <c r="D283" i="4"/>
  <c r="C285" i="4" l="1"/>
  <c r="E284" i="4"/>
  <c r="K283" i="4"/>
  <c r="J283" i="4"/>
  <c r="I283" i="4"/>
  <c r="H283" i="4"/>
  <c r="G283" i="4"/>
  <c r="F283" i="4"/>
  <c r="M283" i="4"/>
  <c r="L283" i="4"/>
  <c r="D284" i="4"/>
  <c r="B283" i="4"/>
  <c r="G284" i="4" l="1"/>
  <c r="F284" i="4"/>
  <c r="M284" i="4"/>
  <c r="L284" i="4"/>
  <c r="K284" i="4"/>
  <c r="J284" i="4"/>
  <c r="I284" i="4"/>
  <c r="H284" i="4"/>
  <c r="C286" i="4"/>
  <c r="E285" i="4"/>
  <c r="D285" i="4"/>
  <c r="B284" i="4"/>
  <c r="C287" i="4" l="1"/>
  <c r="E286" i="4"/>
  <c r="K285" i="4"/>
  <c r="J285" i="4"/>
  <c r="I285" i="4"/>
  <c r="H285" i="4"/>
  <c r="G285" i="4"/>
  <c r="F285" i="4"/>
  <c r="M285" i="4"/>
  <c r="L285" i="4"/>
  <c r="D286" i="4"/>
  <c r="B285" i="4"/>
  <c r="G286" i="4" l="1"/>
  <c r="F286" i="4"/>
  <c r="M286" i="4"/>
  <c r="L286" i="4"/>
  <c r="K286" i="4"/>
  <c r="J286" i="4"/>
  <c r="I286" i="4"/>
  <c r="H286" i="4"/>
  <c r="C288" i="4"/>
  <c r="E287" i="4"/>
  <c r="B286" i="4"/>
  <c r="D287" i="4"/>
  <c r="C289" i="4" l="1"/>
  <c r="E288" i="4"/>
  <c r="K287" i="4"/>
  <c r="J287" i="4"/>
  <c r="I287" i="4"/>
  <c r="H287" i="4"/>
  <c r="G287" i="4"/>
  <c r="F287" i="4"/>
  <c r="L287" i="4"/>
  <c r="M287" i="4"/>
  <c r="D288" i="4"/>
  <c r="B287" i="4"/>
  <c r="G288" i="4" l="1"/>
  <c r="F288" i="4"/>
  <c r="M288" i="4"/>
  <c r="L288" i="4"/>
  <c r="K288" i="4"/>
  <c r="J288" i="4"/>
  <c r="I288" i="4"/>
  <c r="H288" i="4"/>
  <c r="C290" i="4"/>
  <c r="E289" i="4"/>
  <c r="B288" i="4"/>
  <c r="D289" i="4"/>
  <c r="K289" i="4" l="1"/>
  <c r="J289" i="4"/>
  <c r="I289" i="4"/>
  <c r="H289" i="4"/>
  <c r="G289" i="4"/>
  <c r="F289" i="4"/>
  <c r="M289" i="4"/>
  <c r="L289" i="4"/>
  <c r="C291" i="4"/>
  <c r="E290" i="4"/>
  <c r="B289" i="4"/>
  <c r="D290" i="4"/>
  <c r="G290" i="4" l="1"/>
  <c r="F290" i="4"/>
  <c r="M290" i="4"/>
  <c r="L290" i="4"/>
  <c r="K290" i="4"/>
  <c r="J290" i="4"/>
  <c r="H290" i="4"/>
  <c r="I290" i="4"/>
  <c r="C292" i="4"/>
  <c r="E291" i="4"/>
  <c r="D291" i="4"/>
  <c r="B290" i="4"/>
  <c r="C293" i="4" l="1"/>
  <c r="E292" i="4"/>
  <c r="K291" i="4"/>
  <c r="J291" i="4"/>
  <c r="I291" i="4"/>
  <c r="H291" i="4"/>
  <c r="G291" i="4"/>
  <c r="F291" i="4"/>
  <c r="M291" i="4"/>
  <c r="L291" i="4"/>
  <c r="B291" i="4"/>
  <c r="D292" i="4"/>
  <c r="G292" i="4" l="1"/>
  <c r="F292" i="4"/>
  <c r="M292" i="4"/>
  <c r="L292" i="4"/>
  <c r="K292" i="4"/>
  <c r="J292" i="4"/>
  <c r="I292" i="4"/>
  <c r="H292" i="4"/>
  <c r="C294" i="4"/>
  <c r="E293" i="4"/>
  <c r="D293" i="4"/>
  <c r="B292" i="4"/>
  <c r="C295" i="4" l="1"/>
  <c r="E294" i="4"/>
  <c r="K293" i="4"/>
  <c r="J293" i="4"/>
  <c r="I293" i="4"/>
  <c r="H293" i="4"/>
  <c r="G293" i="4"/>
  <c r="F293" i="4"/>
  <c r="M293" i="4"/>
  <c r="L293" i="4"/>
  <c r="B293" i="4"/>
  <c r="D294" i="4"/>
  <c r="G294" i="4" l="1"/>
  <c r="F294" i="4"/>
  <c r="M294" i="4"/>
  <c r="L294" i="4"/>
  <c r="K294" i="4"/>
  <c r="J294" i="4"/>
  <c r="I294" i="4"/>
  <c r="H294" i="4"/>
  <c r="C296" i="4"/>
  <c r="E295" i="4"/>
  <c r="B294" i="4"/>
  <c r="D295" i="4"/>
  <c r="C297" i="4" l="1"/>
  <c r="E296" i="4"/>
  <c r="K295" i="4"/>
  <c r="J295" i="4"/>
  <c r="I295" i="4"/>
  <c r="H295" i="4"/>
  <c r="G295" i="4"/>
  <c r="F295" i="4"/>
  <c r="L295" i="4"/>
  <c r="M295" i="4"/>
  <c r="B295" i="4"/>
  <c r="D296" i="4"/>
  <c r="G296" i="4" l="1"/>
  <c r="F296" i="4"/>
  <c r="M296" i="4"/>
  <c r="L296" i="4"/>
  <c r="K296" i="4"/>
  <c r="J296" i="4"/>
  <c r="I296" i="4"/>
  <c r="H296" i="4"/>
  <c r="C298" i="4"/>
  <c r="E297" i="4"/>
  <c r="B296" i="4"/>
  <c r="D297" i="4"/>
  <c r="K297" i="4" l="1"/>
  <c r="J297" i="4"/>
  <c r="I297" i="4"/>
  <c r="H297" i="4"/>
  <c r="G297" i="4"/>
  <c r="F297" i="4"/>
  <c r="M297" i="4"/>
  <c r="L297" i="4"/>
  <c r="C299" i="4"/>
  <c r="E298" i="4"/>
  <c r="B297" i="4"/>
  <c r="D298" i="4"/>
  <c r="C300" i="4" l="1"/>
  <c r="E299" i="4"/>
  <c r="G298" i="4"/>
  <c r="F298" i="4"/>
  <c r="M298" i="4"/>
  <c r="L298" i="4"/>
  <c r="K298" i="4"/>
  <c r="J298" i="4"/>
  <c r="H298" i="4"/>
  <c r="I298" i="4"/>
  <c r="D299" i="4"/>
  <c r="B298" i="4"/>
  <c r="K299" i="4" l="1"/>
  <c r="J299" i="4"/>
  <c r="I299" i="4"/>
  <c r="H299" i="4"/>
  <c r="G299" i="4"/>
  <c r="F299" i="4"/>
  <c r="L299" i="4"/>
  <c r="M299" i="4"/>
  <c r="C301" i="4"/>
  <c r="E300" i="4"/>
  <c r="B299" i="4"/>
  <c r="D300" i="4"/>
  <c r="G300" i="4" l="1"/>
  <c r="F300" i="4"/>
  <c r="M300" i="4"/>
  <c r="L300" i="4"/>
  <c r="K300" i="4"/>
  <c r="J300" i="4"/>
  <c r="I300" i="4"/>
  <c r="H300" i="4"/>
  <c r="C302" i="4"/>
  <c r="E301" i="4"/>
  <c r="B300" i="4"/>
  <c r="D301" i="4"/>
  <c r="K301" i="4" l="1"/>
  <c r="J301" i="4"/>
  <c r="I301" i="4"/>
  <c r="H301" i="4"/>
  <c r="G301" i="4"/>
  <c r="F301" i="4"/>
  <c r="M301" i="4"/>
  <c r="L301" i="4"/>
  <c r="C303" i="4"/>
  <c r="E302" i="4"/>
  <c r="D302" i="4"/>
  <c r="B301" i="4"/>
  <c r="C304" i="4" l="1"/>
  <c r="E303" i="4"/>
  <c r="G302" i="4"/>
  <c r="F302" i="4"/>
  <c r="M302" i="4"/>
  <c r="L302" i="4"/>
  <c r="K302" i="4"/>
  <c r="J302" i="4"/>
  <c r="H302" i="4"/>
  <c r="I302" i="4"/>
  <c r="D303" i="4"/>
  <c r="B302" i="4"/>
  <c r="K303" i="4" l="1"/>
  <c r="J303" i="4"/>
  <c r="I303" i="4"/>
  <c r="H303" i="4"/>
  <c r="G303" i="4"/>
  <c r="F303" i="4"/>
  <c r="L303" i="4"/>
  <c r="M303" i="4"/>
  <c r="C305" i="4"/>
  <c r="E304" i="4"/>
  <c r="B303" i="4"/>
  <c r="D304" i="4"/>
  <c r="C306" i="4" l="1"/>
  <c r="E305" i="4"/>
  <c r="G304" i="4"/>
  <c r="F304" i="4"/>
  <c r="M304" i="4"/>
  <c r="L304" i="4"/>
  <c r="K304" i="4"/>
  <c r="J304" i="4"/>
  <c r="I304" i="4"/>
  <c r="H304" i="4"/>
  <c r="D305" i="4"/>
  <c r="B304" i="4"/>
  <c r="K305" i="4" l="1"/>
  <c r="J305" i="4"/>
  <c r="I305" i="4"/>
  <c r="H305" i="4"/>
  <c r="G305" i="4"/>
  <c r="F305" i="4"/>
  <c r="M305" i="4"/>
  <c r="L305" i="4"/>
  <c r="C307" i="4"/>
  <c r="E306" i="4"/>
  <c r="B305" i="4"/>
  <c r="D306" i="4"/>
  <c r="G306" i="4" l="1"/>
  <c r="F306" i="4"/>
  <c r="M306" i="4"/>
  <c r="L306" i="4"/>
  <c r="K306" i="4"/>
  <c r="J306" i="4"/>
  <c r="H306" i="4"/>
  <c r="I306" i="4"/>
  <c r="C308" i="4"/>
  <c r="E307" i="4"/>
  <c r="D307" i="4"/>
  <c r="B306" i="4"/>
  <c r="E308" i="4" l="1"/>
  <c r="K307" i="4"/>
  <c r="J307" i="4"/>
  <c r="I307" i="4"/>
  <c r="H307" i="4"/>
  <c r="G307" i="4"/>
  <c r="F307" i="4"/>
  <c r="L307" i="4"/>
  <c r="M307" i="4"/>
  <c r="B307" i="4"/>
  <c r="D308" i="4"/>
  <c r="G308" i="4" l="1"/>
  <c r="F308" i="4"/>
  <c r="M308" i="4"/>
  <c r="L308" i="4"/>
  <c r="K308" i="4"/>
  <c r="J308" i="4"/>
  <c r="H308" i="4"/>
  <c r="I308" i="4"/>
  <c r="B308" i="4"/>
  <c r="L365" i="56" l="1"/>
  <c r="K365" i="56"/>
  <c r="J365" i="56"/>
  <c r="I365" i="56"/>
  <c r="G375" i="56"/>
  <c r="G89" i="55" s="1"/>
  <c r="M365" i="56"/>
  <c r="H365" i="56"/>
  <c r="G365" i="56"/>
  <c r="G78" i="55" s="1"/>
  <c r="H375" i="56"/>
  <c r="L355" i="56"/>
  <c r="K355" i="56"/>
  <c r="J355" i="56"/>
  <c r="M375" i="56"/>
  <c r="I355" i="56"/>
  <c r="H355" i="56"/>
  <c r="L375" i="56"/>
  <c r="J375" i="56"/>
  <c r="K375" i="56"/>
  <c r="I375" i="56"/>
  <c r="M355" i="56"/>
  <c r="G355" i="56"/>
  <c r="G67" i="55" s="1"/>
  <c r="K67" i="55" l="1"/>
  <c r="I67" i="55"/>
  <c r="L67" i="55"/>
  <c r="M67" i="55"/>
  <c r="H67" i="55"/>
  <c r="J67" i="55"/>
  <c r="J89" i="55"/>
  <c r="K89" i="55"/>
  <c r="M89" i="55"/>
  <c r="I89" i="55"/>
  <c r="H78" i="55"/>
  <c r="K78" i="55"/>
  <c r="L89" i="55"/>
  <c r="H89" i="55"/>
  <c r="M78" i="55"/>
  <c r="I78" i="55"/>
  <c r="J78" i="55"/>
  <c r="L78" i="55"/>
  <c r="K113" i="55" l="1"/>
  <c r="I113" i="55"/>
  <c r="M113" i="55"/>
  <c r="H113" i="55"/>
  <c r="L113" i="55"/>
  <c r="J113" i="55"/>
  <c r="G113" i="55"/>
  <c r="G220" i="3"/>
  <c r="G19" i="49" s="1"/>
  <c r="G190" i="3"/>
  <c r="G121" i="49" l="1"/>
  <c r="G131" i="49" s="1"/>
  <c r="G111" i="49"/>
  <c r="G130" i="49" s="1" a="1"/>
  <c r="G130" i="49" s="1"/>
  <c r="G167" i="3"/>
  <c r="G182" i="3"/>
  <c r="G175" i="3"/>
  <c r="G198" i="3"/>
  <c r="G206" i="3"/>
  <c r="G133" i="49" l="1"/>
  <c r="G177" i="3"/>
  <c r="G330" i="3"/>
  <c r="G150" i="56" s="1"/>
  <c r="G55" i="57" s="1"/>
  <c r="G184" i="3"/>
  <c r="G439" i="3"/>
  <c r="G208" i="3"/>
  <c r="G441" i="3"/>
  <c r="G202" i="4"/>
  <c r="G201" i="4"/>
  <c r="G210" i="57" l="1"/>
  <c r="G169" i="56"/>
  <c r="AZ95" i="27"/>
  <c r="G85" i="25"/>
  <c r="AZ105" i="27"/>
  <c r="G162" i="56"/>
  <c r="G68" i="57" s="1"/>
  <c r="G88" i="25"/>
  <c r="AZ101" i="27"/>
  <c r="G158" i="56"/>
  <c r="G64" i="57" s="1"/>
  <c r="G223" i="57" l="1"/>
  <c r="G219" i="57"/>
  <c r="G41" i="55"/>
  <c r="G49" i="55" s="1"/>
  <c r="G107" i="55" s="1"/>
  <c r="G98" i="55" s="1"/>
  <c r="G88" i="57"/>
  <c r="G60" i="22"/>
  <c r="H219" i="3"/>
  <c r="H220" i="3" s="1"/>
  <c r="I219" i="3"/>
  <c r="I220" i="3" s="1"/>
  <c r="I19" i="49" s="1"/>
  <c r="I121" i="49" s="1"/>
  <c r="J219" i="3"/>
  <c r="J220" i="3" s="1"/>
  <c r="J167" i="3" s="1"/>
  <c r="K219" i="3"/>
  <c r="K220" i="3" s="1"/>
  <c r="K19" i="49" s="1"/>
  <c r="K121" i="49" s="1"/>
  <c r="L219" i="3"/>
  <c r="L220" i="3" s="1"/>
  <c r="M219" i="3"/>
  <c r="M220" i="3" s="1"/>
  <c r="M19" i="49" s="1"/>
  <c r="M121" i="49" s="1"/>
  <c r="H221" i="3"/>
  <c r="H198" i="3" s="1"/>
  <c r="I221" i="3"/>
  <c r="I198" i="3" s="1"/>
  <c r="J221" i="3"/>
  <c r="J198" i="3" s="1"/>
  <c r="K221" i="3"/>
  <c r="K190" i="3" s="1"/>
  <c r="L221" i="3"/>
  <c r="L190" i="3" s="1"/>
  <c r="M221" i="3"/>
  <c r="M206" i="3" s="1"/>
  <c r="M208" i="3" s="1"/>
  <c r="G238" i="57" l="1"/>
  <c r="G96" i="57"/>
  <c r="M441" i="3"/>
  <c r="M88" i="25" s="1"/>
  <c r="L167" i="3"/>
  <c r="L19" i="49"/>
  <c r="L121" i="49" s="1"/>
  <c r="K131" i="49"/>
  <c r="K111" i="49"/>
  <c r="K130" i="49" s="1" a="1"/>
  <c r="K130" i="49" s="1"/>
  <c r="I111" i="49"/>
  <c r="I130" i="49" s="1" a="1"/>
  <c r="I130" i="49" s="1"/>
  <c r="I131" i="49"/>
  <c r="J19" i="49"/>
  <c r="K206" i="3"/>
  <c r="K208" i="3" s="1"/>
  <c r="M111" i="49"/>
  <c r="M130" i="49" s="1" a="1"/>
  <c r="M130" i="49" s="1"/>
  <c r="M131" i="49"/>
  <c r="I190" i="3"/>
  <c r="L182" i="3"/>
  <c r="H182" i="3"/>
  <c r="H167" i="3"/>
  <c r="H175" i="3"/>
  <c r="H19" i="49"/>
  <c r="H121" i="49" s="1"/>
  <c r="I175" i="3"/>
  <c r="I182" i="3"/>
  <c r="I167" i="3"/>
  <c r="M167" i="3"/>
  <c r="M175" i="3"/>
  <c r="M182" i="3"/>
  <c r="K175" i="3"/>
  <c r="K182" i="3"/>
  <c r="K167" i="3"/>
  <c r="J175" i="3"/>
  <c r="J182" i="3"/>
  <c r="L206" i="3"/>
  <c r="J190" i="3"/>
  <c r="J206" i="3"/>
  <c r="M198" i="3"/>
  <c r="H190" i="3"/>
  <c r="I206" i="3"/>
  <c r="L198" i="3"/>
  <c r="H206" i="3"/>
  <c r="K198" i="3"/>
  <c r="L175" i="3"/>
  <c r="M190" i="3"/>
  <c r="G470" i="57" l="1"/>
  <c r="J121" i="49"/>
  <c r="J131" i="49" s="1"/>
  <c r="K133" i="49"/>
  <c r="M177" i="3"/>
  <c r="M330" i="3"/>
  <c r="M150" i="56" s="1"/>
  <c r="M55" i="57" s="1"/>
  <c r="I177" i="3"/>
  <c r="I330" i="3"/>
  <c r="I150" i="56" s="1"/>
  <c r="I55" i="57" s="1"/>
  <c r="L177" i="3"/>
  <c r="L330" i="3"/>
  <c r="L150" i="56" s="1"/>
  <c r="L55" i="57" s="1"/>
  <c r="J177" i="3"/>
  <c r="J330" i="3"/>
  <c r="J150" i="56" s="1"/>
  <c r="J55" i="57" s="1"/>
  <c r="K177" i="3"/>
  <c r="K330" i="3"/>
  <c r="K150" i="56" s="1"/>
  <c r="K55" i="57" s="1"/>
  <c r="H177" i="3"/>
  <c r="H330" i="3"/>
  <c r="H150" i="56" s="1"/>
  <c r="H55" i="57" s="1"/>
  <c r="M133" i="49"/>
  <c r="I133" i="49"/>
  <c r="J111" i="49"/>
  <c r="J130" i="49" s="1" a="1"/>
  <c r="J130" i="49" s="1"/>
  <c r="M162" i="56"/>
  <c r="M68" i="57" s="1"/>
  <c r="K441" i="3"/>
  <c r="K162" i="56" s="1"/>
  <c r="K68" i="57" s="1"/>
  <c r="L131" i="49"/>
  <c r="L111" i="49"/>
  <c r="L130" i="49" s="1" a="1"/>
  <c r="L130" i="49" s="1"/>
  <c r="L184" i="3"/>
  <c r="L439" i="3"/>
  <c r="J208" i="3"/>
  <c r="J441" i="3"/>
  <c r="K184" i="3"/>
  <c r="K439" i="3"/>
  <c r="L208" i="3"/>
  <c r="L441" i="3"/>
  <c r="M184" i="3"/>
  <c r="M439" i="3"/>
  <c r="H208" i="3"/>
  <c r="H441" i="3"/>
  <c r="H131" i="49"/>
  <c r="H111" i="49"/>
  <c r="H130" i="49" s="1" a="1"/>
  <c r="H130" i="49" s="1"/>
  <c r="J184" i="3"/>
  <c r="J439" i="3"/>
  <c r="I208" i="3"/>
  <c r="I441" i="3"/>
  <c r="I184" i="3"/>
  <c r="I439" i="3"/>
  <c r="H184" i="3"/>
  <c r="H439" i="3"/>
  <c r="J202" i="4"/>
  <c r="K201" i="4"/>
  <c r="K202" i="4"/>
  <c r="M201" i="4"/>
  <c r="J201" i="4"/>
  <c r="I201" i="4"/>
  <c r="I202" i="4"/>
  <c r="M202" i="4"/>
  <c r="M210" i="57" l="1"/>
  <c r="K223" i="57"/>
  <c r="H210" i="57"/>
  <c r="K210" i="57"/>
  <c r="M223" i="57"/>
  <c r="J210" i="57"/>
  <c r="I210" i="57"/>
  <c r="L210" i="57"/>
  <c r="J133" i="49"/>
  <c r="J169" i="56" s="1"/>
  <c r="K169" i="56"/>
  <c r="H133" i="49"/>
  <c r="M169" i="56"/>
  <c r="J85" i="25"/>
  <c r="L85" i="25"/>
  <c r="H85" i="25"/>
  <c r="I85" i="25"/>
  <c r="K85" i="25"/>
  <c r="M85" i="25"/>
  <c r="I169" i="56"/>
  <c r="I88" i="57" s="1"/>
  <c r="L133" i="49"/>
  <c r="K88" i="25"/>
  <c r="L158" i="56"/>
  <c r="L64" i="57" s="1"/>
  <c r="J162" i="56"/>
  <c r="J68" i="57" s="1"/>
  <c r="J88" i="25"/>
  <c r="H158" i="56"/>
  <c r="H64" i="57" s="1"/>
  <c r="M158" i="56"/>
  <c r="M64" i="57" s="1"/>
  <c r="J158" i="56"/>
  <c r="J64" i="57" s="1"/>
  <c r="K158" i="56"/>
  <c r="K64" i="57" s="1"/>
  <c r="I158" i="56"/>
  <c r="I64" i="57" s="1"/>
  <c r="L162" i="56"/>
  <c r="L68" i="57" s="1"/>
  <c r="L88" i="25"/>
  <c r="I162" i="56"/>
  <c r="I68" i="57" s="1"/>
  <c r="I88" i="25"/>
  <c r="H162" i="56"/>
  <c r="H68" i="57" s="1"/>
  <c r="H88" i="25"/>
  <c r="H202" i="4"/>
  <c r="L201" i="4"/>
  <c r="L202" i="4"/>
  <c r="H201" i="4"/>
  <c r="J223" i="57" l="1"/>
  <c r="I219" i="57"/>
  <c r="K219" i="57"/>
  <c r="L219" i="57"/>
  <c r="L223" i="57"/>
  <c r="M219" i="57"/>
  <c r="I223" i="57"/>
  <c r="J219" i="57"/>
  <c r="H223" i="57"/>
  <c r="H219" i="57"/>
  <c r="I238" i="57"/>
  <c r="I96" i="57"/>
  <c r="K60" i="22"/>
  <c r="K88" i="57"/>
  <c r="M60" i="22"/>
  <c r="M88" i="57"/>
  <c r="J41" i="55"/>
  <c r="J49" i="55" s="1"/>
  <c r="J107" i="55" s="1"/>
  <c r="J98" i="55" s="1"/>
  <c r="J88" i="57"/>
  <c r="M41" i="55"/>
  <c r="M49" i="55" s="1"/>
  <c r="M107" i="55" s="1"/>
  <c r="M98" i="55" s="1"/>
  <c r="J60" i="22"/>
  <c r="K41" i="55"/>
  <c r="K49" i="55" s="1"/>
  <c r="K107" i="55" s="1"/>
  <c r="K98" i="55" s="1"/>
  <c r="H169" i="56"/>
  <c r="L169" i="56"/>
  <c r="I60" i="22"/>
  <c r="I41" i="55"/>
  <c r="I49" i="55" s="1"/>
  <c r="I107" i="55" s="1"/>
  <c r="I98" i="55" s="1"/>
  <c r="I470" i="57" l="1"/>
  <c r="M238" i="57"/>
  <c r="M96" i="57"/>
  <c r="K238" i="57"/>
  <c r="K96" i="57"/>
  <c r="J238" i="57"/>
  <c r="J96" i="57"/>
  <c r="H60" i="22"/>
  <c r="H88" i="57"/>
  <c r="L41" i="55"/>
  <c r="L49" i="55" s="1"/>
  <c r="L107" i="55" s="1"/>
  <c r="L98" i="55" s="1"/>
  <c r="L88" i="57"/>
  <c r="H41" i="55"/>
  <c r="H49" i="55" s="1"/>
  <c r="H107" i="55" s="1"/>
  <c r="H98" i="55" s="1"/>
  <c r="L60" i="22"/>
  <c r="K470" i="57" l="1"/>
  <c r="M470" i="57"/>
  <c r="J470" i="57"/>
  <c r="L238" i="57"/>
  <c r="L96" i="57"/>
  <c r="H238" i="57"/>
  <c r="H96" i="57"/>
  <c r="G251" i="4"/>
  <c r="H251" i="4"/>
  <c r="I251" i="4"/>
  <c r="J251" i="4"/>
  <c r="K251" i="4"/>
  <c r="L251" i="4"/>
  <c r="M251" i="4"/>
  <c r="G252" i="4"/>
  <c r="H252" i="4"/>
  <c r="I252" i="4"/>
  <c r="J252" i="4"/>
  <c r="K252" i="4"/>
  <c r="L252" i="4"/>
  <c r="M252" i="4"/>
  <c r="G253" i="4"/>
  <c r="H253" i="4"/>
  <c r="I253" i="4"/>
  <c r="J253" i="4"/>
  <c r="K253" i="4"/>
  <c r="L253" i="4"/>
  <c r="M253" i="4"/>
  <c r="J200" i="4"/>
  <c r="H200" i="4"/>
  <c r="I200" i="4"/>
  <c r="G200" i="4"/>
  <c r="M200" i="4"/>
  <c r="L200" i="4"/>
  <c r="K200" i="4"/>
  <c r="L470" i="57" l="1"/>
  <c r="H470" i="57"/>
  <c r="D218" i="28"/>
  <c r="E218" i="28"/>
  <c r="F218" i="28"/>
  <c r="G218" i="28"/>
  <c r="H218" i="28"/>
  <c r="I218" i="28"/>
  <c r="J218" i="28"/>
  <c r="D219" i="28"/>
  <c r="E219" i="28"/>
  <c r="F219" i="28"/>
  <c r="G219" i="28"/>
  <c r="H219" i="28"/>
  <c r="I219" i="28"/>
  <c r="J219" i="28"/>
  <c r="C104" i="27"/>
  <c r="D104" i="27"/>
  <c r="E104" i="27"/>
  <c r="F104" i="27"/>
  <c r="G104" i="27"/>
  <c r="H104" i="27"/>
  <c r="I104" i="27"/>
  <c r="C105" i="27"/>
  <c r="D105" i="27"/>
  <c r="E105" i="27"/>
  <c r="F105" i="27"/>
  <c r="G105" i="27"/>
  <c r="H105" i="27"/>
  <c r="I105" i="27"/>
  <c r="D220" i="28"/>
  <c r="E220" i="28"/>
  <c r="F220" i="28"/>
  <c r="G220" i="28"/>
  <c r="H220" i="28"/>
  <c r="I220" i="28"/>
  <c r="J220" i="28"/>
  <c r="C106" i="27"/>
  <c r="D106" i="27"/>
  <c r="E106" i="27"/>
  <c r="F106" i="27"/>
  <c r="G106" i="27"/>
  <c r="H106" i="27"/>
  <c r="I106" i="27"/>
  <c r="D221" i="28"/>
  <c r="E221" i="28"/>
  <c r="F221" i="28"/>
  <c r="G221" i="28"/>
  <c r="H221" i="28"/>
  <c r="I221" i="28"/>
  <c r="J221" i="28"/>
  <c r="D222" i="28"/>
  <c r="E222" i="28"/>
  <c r="F222" i="28"/>
  <c r="G222" i="28"/>
  <c r="H222" i="28"/>
  <c r="I222" i="28"/>
  <c r="J222" i="28"/>
  <c r="C107" i="27"/>
  <c r="D107" i="27"/>
  <c r="E107" i="27"/>
  <c r="F107" i="27"/>
  <c r="G107" i="27"/>
  <c r="H107" i="27"/>
  <c r="I107" i="27"/>
  <c r="C108" i="27"/>
  <c r="D108" i="27"/>
  <c r="E108" i="27"/>
  <c r="F108" i="27"/>
  <c r="G108" i="27"/>
  <c r="H108" i="27"/>
  <c r="I108" i="27"/>
  <c r="D216" i="28"/>
  <c r="E216" i="28"/>
  <c r="F216" i="28"/>
  <c r="G216" i="28"/>
  <c r="H216" i="28"/>
  <c r="I216" i="28"/>
  <c r="J216" i="28"/>
  <c r="D224" i="28" l="1"/>
  <c r="E224" i="28"/>
  <c r="F224" i="28"/>
  <c r="G224" i="28"/>
  <c r="H224" i="28"/>
  <c r="I224" i="28"/>
  <c r="J224" i="28"/>
  <c r="C110" i="27"/>
  <c r="D110" i="27"/>
  <c r="E110" i="27"/>
  <c r="F110" i="27"/>
  <c r="G110" i="27"/>
  <c r="H110" i="27"/>
  <c r="I110" i="27"/>
  <c r="D214" i="28"/>
  <c r="E214" i="28"/>
  <c r="F214" i="28"/>
  <c r="G214" i="28"/>
  <c r="H214" i="28"/>
  <c r="I214" i="28"/>
  <c r="J214" i="28"/>
  <c r="D217" i="28"/>
  <c r="E217" i="28"/>
  <c r="F217" i="28"/>
  <c r="G217" i="28"/>
  <c r="H217" i="28"/>
  <c r="I217" i="28"/>
  <c r="J217" i="28"/>
  <c r="C103" i="27"/>
  <c r="D103" i="27"/>
  <c r="E103" i="27"/>
  <c r="F103" i="27"/>
  <c r="G103" i="27"/>
  <c r="H103" i="27"/>
  <c r="I103" i="27"/>
  <c r="G227" i="4" l="1"/>
  <c r="H227" i="4"/>
  <c r="I227" i="4"/>
  <c r="J227" i="4"/>
  <c r="K227" i="4"/>
  <c r="L227" i="4"/>
  <c r="M227" i="4"/>
  <c r="G228" i="4"/>
  <c r="H228" i="4"/>
  <c r="I228" i="4"/>
  <c r="J228" i="4"/>
  <c r="K228" i="4"/>
  <c r="L228" i="4"/>
  <c r="M228"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41" i="4"/>
  <c r="H241" i="4"/>
  <c r="I241" i="4"/>
  <c r="J241" i="4"/>
  <c r="K241" i="4"/>
  <c r="L241" i="4"/>
  <c r="M241" i="4"/>
  <c r="G242" i="4"/>
  <c r="H242" i="4"/>
  <c r="I242" i="4"/>
  <c r="J242" i="4"/>
  <c r="K242" i="4"/>
  <c r="L242" i="4"/>
  <c r="M242"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49" i="4"/>
  <c r="H249" i="4"/>
  <c r="I249" i="4"/>
  <c r="J249" i="4"/>
  <c r="K249" i="4"/>
  <c r="L249" i="4"/>
  <c r="M249" i="4"/>
  <c r="G250" i="4"/>
  <c r="H250" i="4"/>
  <c r="I250" i="4"/>
  <c r="J250" i="4"/>
  <c r="K250" i="4"/>
  <c r="L250" i="4"/>
  <c r="M250"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3" i="4"/>
  <c r="H233" i="4"/>
  <c r="I233" i="4"/>
  <c r="J233" i="4"/>
  <c r="K233" i="4"/>
  <c r="L233" i="4"/>
  <c r="M233" i="4"/>
  <c r="G234" i="4"/>
  <c r="H234" i="4"/>
  <c r="I234" i="4"/>
  <c r="J234" i="4"/>
  <c r="K234" i="4"/>
  <c r="L234" i="4"/>
  <c r="M234" i="4"/>
  <c r="G214" i="4"/>
  <c r="H214" i="4"/>
  <c r="I214" i="4"/>
  <c r="J214" i="4"/>
  <c r="K214" i="4"/>
  <c r="L214" i="4"/>
  <c r="M214" i="4"/>
  <c r="G215" i="4"/>
  <c r="H215" i="4"/>
  <c r="I215" i="4"/>
  <c r="J215" i="4"/>
  <c r="K215" i="4"/>
  <c r="L215" i="4"/>
  <c r="M215" i="4"/>
  <c r="G213" i="4"/>
  <c r="H213" i="4"/>
  <c r="I213" i="4"/>
  <c r="J213" i="4"/>
  <c r="K213" i="4"/>
  <c r="L213" i="4"/>
  <c r="M213" i="4"/>
  <c r="G216" i="4"/>
  <c r="H216" i="4"/>
  <c r="I216" i="4"/>
  <c r="J216" i="4"/>
  <c r="K216" i="4"/>
  <c r="L216" i="4"/>
  <c r="M216" i="4"/>
  <c r="G217" i="4"/>
  <c r="H217" i="4"/>
  <c r="I217" i="4"/>
  <c r="J217" i="4"/>
  <c r="K217" i="4"/>
  <c r="L217" i="4"/>
  <c r="M217"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D215" i="28"/>
  <c r="E215" i="28"/>
  <c r="F215" i="28"/>
  <c r="G215" i="28"/>
  <c r="H215" i="28"/>
  <c r="I215" i="28"/>
  <c r="J215" i="28"/>
  <c r="G212" i="4"/>
  <c r="H212" i="4"/>
  <c r="I212" i="4"/>
  <c r="J212" i="4"/>
  <c r="K212" i="4"/>
  <c r="L212" i="4"/>
  <c r="M212" i="4"/>
  <c r="C85" i="27"/>
  <c r="D85" i="27"/>
  <c r="E85" i="27"/>
  <c r="F85" i="27"/>
  <c r="G85" i="27"/>
  <c r="H85" i="27"/>
  <c r="I85" i="27"/>
  <c r="C86" i="27"/>
  <c r="D86" i="27"/>
  <c r="E86" i="27"/>
  <c r="F86" i="27"/>
  <c r="G86" i="27"/>
  <c r="H86" i="27"/>
  <c r="I86" i="27"/>
  <c r="H203" i="4"/>
  <c r="K203" i="4"/>
  <c r="J203" i="4"/>
  <c r="I203" i="4"/>
  <c r="L203" i="4"/>
  <c r="M203" i="4"/>
  <c r="G203" i="4"/>
  <c r="N353" i="56" l="1"/>
  <c r="G211" i="4" l="1"/>
  <c r="H211" i="4"/>
  <c r="I211" i="4"/>
  <c r="J211" i="4"/>
  <c r="K211" i="4"/>
  <c r="L211" i="4"/>
  <c r="M211" i="4"/>
  <c r="G403" i="57" l="1"/>
  <c r="G455" i="57" s="1"/>
  <c r="G413" i="3"/>
  <c r="H413" i="3"/>
  <c r="I413" i="3"/>
  <c r="J413" i="3"/>
  <c r="K413" i="3"/>
  <c r="L413" i="3"/>
  <c r="M413" i="3"/>
  <c r="G282" i="3" l="1"/>
  <c r="H282" i="3"/>
  <c r="I282" i="3"/>
  <c r="J282" i="3"/>
  <c r="K282" i="3"/>
  <c r="L282" i="3"/>
  <c r="M282" i="3"/>
  <c r="G17" i="3"/>
  <c r="H17" i="3"/>
  <c r="I17" i="3"/>
  <c r="J17" i="3"/>
  <c r="K17" i="3"/>
  <c r="L17" i="3"/>
  <c r="M17" i="3"/>
  <c r="G23" i="3"/>
  <c r="H23" i="3"/>
  <c r="I23" i="3"/>
  <c r="J23" i="3"/>
  <c r="K23" i="3"/>
  <c r="L23" i="3"/>
  <c r="M23" i="3"/>
  <c r="G34" i="3"/>
  <c r="H34" i="3"/>
  <c r="I34" i="3"/>
  <c r="J34" i="3"/>
  <c r="K34" i="3"/>
  <c r="L34" i="3"/>
  <c r="M34" i="3"/>
  <c r="G35" i="3"/>
  <c r="H35" i="3"/>
  <c r="I35" i="3"/>
  <c r="J35" i="3"/>
  <c r="K35" i="3"/>
  <c r="L35" i="3"/>
  <c r="M35" i="3"/>
  <c r="G36" i="3"/>
  <c r="H36" i="3"/>
  <c r="I36" i="3"/>
  <c r="J36" i="3"/>
  <c r="K36" i="3"/>
  <c r="L36" i="3"/>
  <c r="M36" i="3"/>
  <c r="G37" i="3"/>
  <c r="H37" i="3"/>
  <c r="I37" i="3"/>
  <c r="J37" i="3"/>
  <c r="K37" i="3"/>
  <c r="L37" i="3"/>
  <c r="M37" i="3"/>
  <c r="G38" i="3"/>
  <c r="H38" i="3"/>
  <c r="I38" i="3"/>
  <c r="J38" i="3"/>
  <c r="K38" i="3"/>
  <c r="L38" i="3"/>
  <c r="M38" i="3"/>
  <c r="G44" i="3"/>
  <c r="H44" i="3"/>
  <c r="I44" i="3"/>
  <c r="J44" i="3"/>
  <c r="K44" i="3"/>
  <c r="L44" i="3"/>
  <c r="M44" i="3"/>
  <c r="G45" i="3"/>
  <c r="H45" i="3"/>
  <c r="I45" i="3"/>
  <c r="J45" i="3"/>
  <c r="K45" i="3"/>
  <c r="L45" i="3"/>
  <c r="M45" i="3"/>
  <c r="G46" i="3"/>
  <c r="H46" i="3"/>
  <c r="I46" i="3"/>
  <c r="J46" i="3"/>
  <c r="K46" i="3"/>
  <c r="L46" i="3"/>
  <c r="M46" i="3"/>
  <c r="G47" i="3"/>
  <c r="H47" i="3"/>
  <c r="I47" i="3"/>
  <c r="J47" i="3"/>
  <c r="K47" i="3"/>
  <c r="L47" i="3"/>
  <c r="M47" i="3"/>
  <c r="G48" i="3"/>
  <c r="H48" i="3"/>
  <c r="I48" i="3"/>
  <c r="J48" i="3"/>
  <c r="K48" i="3"/>
  <c r="L48" i="3"/>
  <c r="M48" i="3"/>
  <c r="G51" i="3"/>
  <c r="H51" i="3"/>
  <c r="I51" i="3"/>
  <c r="J51" i="3"/>
  <c r="K51" i="3"/>
  <c r="L51" i="3"/>
  <c r="M51" i="3"/>
  <c r="G52" i="3"/>
  <c r="H52" i="3"/>
  <c r="I52" i="3"/>
  <c r="J52" i="3"/>
  <c r="K52" i="3"/>
  <c r="L52" i="3"/>
  <c r="M52" i="3"/>
  <c r="G53" i="3"/>
  <c r="H53" i="3"/>
  <c r="I53" i="3"/>
  <c r="J53" i="3"/>
  <c r="K53" i="3"/>
  <c r="L53" i="3"/>
  <c r="M53" i="3"/>
  <c r="G54" i="3"/>
  <c r="H54" i="3"/>
  <c r="I54" i="3"/>
  <c r="J54" i="3"/>
  <c r="K54" i="3"/>
  <c r="L54" i="3"/>
  <c r="M54" i="3"/>
  <c r="G55" i="3"/>
  <c r="H55" i="3"/>
  <c r="I55" i="3"/>
  <c r="J55" i="3"/>
  <c r="K55" i="3"/>
  <c r="L55" i="3"/>
  <c r="M55" i="3"/>
  <c r="G58" i="3"/>
  <c r="H58" i="3"/>
  <c r="I58" i="3"/>
  <c r="J58" i="3"/>
  <c r="K58" i="3"/>
  <c r="L58" i="3"/>
  <c r="M58" i="3"/>
  <c r="G59" i="3"/>
  <c r="H59" i="3"/>
  <c r="I59" i="3"/>
  <c r="J59" i="3"/>
  <c r="K59" i="3"/>
  <c r="L59" i="3"/>
  <c r="M59" i="3"/>
  <c r="G60" i="3"/>
  <c r="H60" i="3"/>
  <c r="I60" i="3"/>
  <c r="J60" i="3"/>
  <c r="K60" i="3"/>
  <c r="L60" i="3"/>
  <c r="M60" i="3"/>
  <c r="G63" i="3"/>
  <c r="H63" i="3"/>
  <c r="I63" i="3"/>
  <c r="J63" i="3"/>
  <c r="K63" i="3"/>
  <c r="L63" i="3"/>
  <c r="M63" i="3"/>
  <c r="G64" i="3"/>
  <c r="H64" i="3"/>
  <c r="I64" i="3"/>
  <c r="J64" i="3"/>
  <c r="K64" i="3"/>
  <c r="L64" i="3"/>
  <c r="M64" i="3"/>
  <c r="G65" i="3"/>
  <c r="H65" i="3"/>
  <c r="I65" i="3"/>
  <c r="J65" i="3"/>
  <c r="K65" i="3"/>
  <c r="L65" i="3"/>
  <c r="M65" i="3"/>
  <c r="G66" i="3"/>
  <c r="H66" i="3"/>
  <c r="I66" i="3"/>
  <c r="J66" i="3"/>
  <c r="K66" i="3"/>
  <c r="L66" i="3"/>
  <c r="M66" i="3"/>
  <c r="G67" i="3"/>
  <c r="H67" i="3"/>
  <c r="I67" i="3"/>
  <c r="J67" i="3"/>
  <c r="K67" i="3"/>
  <c r="L67" i="3"/>
  <c r="M67" i="3"/>
  <c r="G68" i="3"/>
  <c r="H68" i="3"/>
  <c r="I68" i="3"/>
  <c r="J68" i="3"/>
  <c r="K68" i="3"/>
  <c r="L68" i="3"/>
  <c r="M68" i="3"/>
  <c r="G69" i="3"/>
  <c r="H69" i="3"/>
  <c r="I69" i="3"/>
  <c r="J69" i="3"/>
  <c r="K69" i="3"/>
  <c r="L69" i="3"/>
  <c r="M69" i="3"/>
  <c r="G76" i="3"/>
  <c r="H76" i="3"/>
  <c r="I76" i="3"/>
  <c r="J76" i="3"/>
  <c r="K76" i="3"/>
  <c r="L76" i="3"/>
  <c r="M76" i="3"/>
  <c r="G77" i="3"/>
  <c r="H77" i="3"/>
  <c r="I77" i="3"/>
  <c r="J77" i="3"/>
  <c r="K77" i="3"/>
  <c r="L77" i="3"/>
  <c r="M77" i="3"/>
  <c r="G81" i="3"/>
  <c r="H81" i="3"/>
  <c r="I81" i="3"/>
  <c r="J81" i="3"/>
  <c r="K81" i="3"/>
  <c r="L81" i="3"/>
  <c r="M81" i="3"/>
  <c r="G89" i="3"/>
  <c r="H89" i="3"/>
  <c r="I89" i="3"/>
  <c r="J89" i="3"/>
  <c r="K89" i="3"/>
  <c r="L89" i="3"/>
  <c r="M89"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103" i="3"/>
  <c r="H103" i="3"/>
  <c r="I103" i="3"/>
  <c r="J103" i="3"/>
  <c r="K103" i="3"/>
  <c r="L103" i="3"/>
  <c r="M103" i="3"/>
  <c r="G113" i="3"/>
  <c r="H113" i="3"/>
  <c r="I113" i="3"/>
  <c r="J113" i="3"/>
  <c r="K113" i="3"/>
  <c r="L113" i="3"/>
  <c r="M113" i="3"/>
  <c r="G159" i="3"/>
  <c r="H159" i="3"/>
  <c r="I159" i="3"/>
  <c r="J159" i="3"/>
  <c r="K159" i="3"/>
  <c r="L159" i="3"/>
  <c r="M159" i="3"/>
  <c r="G160" i="3"/>
  <c r="H160" i="3"/>
  <c r="I160" i="3"/>
  <c r="J160" i="3"/>
  <c r="K160" i="3"/>
  <c r="L160" i="3"/>
  <c r="M160" i="3"/>
  <c r="G161" i="3"/>
  <c r="H161" i="3"/>
  <c r="I161" i="3"/>
  <c r="J161" i="3"/>
  <c r="K161" i="3"/>
  <c r="L161" i="3"/>
  <c r="M161" i="3"/>
  <c r="G163" i="3"/>
  <c r="H163" i="3"/>
  <c r="I163" i="3"/>
  <c r="J163" i="3"/>
  <c r="K163" i="3"/>
  <c r="L163" i="3"/>
  <c r="M163" i="3"/>
  <c r="G168" i="3"/>
  <c r="H168" i="3"/>
  <c r="I168" i="3"/>
  <c r="J168" i="3"/>
  <c r="K168" i="3"/>
  <c r="L168" i="3"/>
  <c r="M168" i="3"/>
  <c r="G169" i="3"/>
  <c r="H169" i="3"/>
  <c r="I169" i="3"/>
  <c r="J169" i="3"/>
  <c r="K169" i="3"/>
  <c r="L169" i="3"/>
  <c r="M169" i="3"/>
  <c r="G171" i="3"/>
  <c r="H171" i="3"/>
  <c r="I171" i="3"/>
  <c r="J171" i="3"/>
  <c r="K171" i="3"/>
  <c r="L171" i="3"/>
  <c r="M171" i="3"/>
  <c r="G178" i="3"/>
  <c r="H178" i="3"/>
  <c r="I178" i="3"/>
  <c r="J178" i="3"/>
  <c r="K178" i="3"/>
  <c r="L178" i="3"/>
  <c r="M178" i="3"/>
  <c r="G186" i="3"/>
  <c r="H186" i="3"/>
  <c r="I186" i="3"/>
  <c r="J186" i="3"/>
  <c r="K186" i="3"/>
  <c r="L186" i="3"/>
  <c r="M186" i="3"/>
  <c r="G191" i="3"/>
  <c r="H191" i="3"/>
  <c r="I191" i="3"/>
  <c r="J191" i="3"/>
  <c r="K191" i="3"/>
  <c r="L191" i="3"/>
  <c r="M191" i="3"/>
  <c r="G192" i="3"/>
  <c r="H192" i="3"/>
  <c r="I192" i="3"/>
  <c r="J192" i="3"/>
  <c r="K192" i="3"/>
  <c r="L192" i="3"/>
  <c r="M192" i="3"/>
  <c r="G194" i="3"/>
  <c r="H194" i="3"/>
  <c r="I194" i="3"/>
  <c r="J194" i="3"/>
  <c r="K194" i="3"/>
  <c r="L194" i="3"/>
  <c r="M194" i="3"/>
  <c r="G199" i="3"/>
  <c r="H199" i="3"/>
  <c r="I199" i="3"/>
  <c r="J199" i="3"/>
  <c r="K199" i="3"/>
  <c r="L199" i="3"/>
  <c r="M199" i="3"/>
  <c r="G200" i="3"/>
  <c r="H200" i="3"/>
  <c r="I200" i="3"/>
  <c r="J200" i="3"/>
  <c r="K200" i="3"/>
  <c r="L200" i="3"/>
  <c r="M200" i="3"/>
  <c r="G202" i="3"/>
  <c r="H202" i="3"/>
  <c r="I202" i="3"/>
  <c r="J202" i="3"/>
  <c r="K202" i="3"/>
  <c r="L202" i="3"/>
  <c r="M202" i="3"/>
  <c r="G209" i="3"/>
  <c r="H209" i="3"/>
  <c r="I209" i="3"/>
  <c r="J209" i="3"/>
  <c r="K209" i="3"/>
  <c r="L209" i="3"/>
  <c r="M209" i="3"/>
  <c r="G216" i="3"/>
  <c r="H216" i="3"/>
  <c r="I216" i="3"/>
  <c r="J216" i="3"/>
  <c r="K216" i="3"/>
  <c r="L216" i="3"/>
  <c r="M216" i="3"/>
  <c r="G217" i="3"/>
  <c r="H217" i="3"/>
  <c r="I217" i="3"/>
  <c r="J217" i="3"/>
  <c r="K217" i="3"/>
  <c r="L217" i="3"/>
  <c r="M217" i="3"/>
  <c r="G218" i="3"/>
  <c r="H218" i="3"/>
  <c r="I218" i="3"/>
  <c r="J218" i="3"/>
  <c r="K218" i="3"/>
  <c r="L218" i="3"/>
  <c r="M218" i="3"/>
  <c r="G224" i="3"/>
  <c r="H224" i="3"/>
  <c r="I224" i="3"/>
  <c r="J224" i="3"/>
  <c r="K224" i="3"/>
  <c r="L224" i="3"/>
  <c r="M224" i="3"/>
  <c r="G225" i="3"/>
  <c r="H225" i="3"/>
  <c r="I225" i="3"/>
  <c r="J225" i="3"/>
  <c r="K225" i="3"/>
  <c r="L225" i="3"/>
  <c r="M225" i="3"/>
  <c r="G226" i="3"/>
  <c r="H226" i="3"/>
  <c r="I226" i="3"/>
  <c r="J226" i="3"/>
  <c r="K226" i="3"/>
  <c r="L226" i="3"/>
  <c r="M226" i="3"/>
  <c r="G227" i="3"/>
  <c r="H227" i="3"/>
  <c r="I227" i="3"/>
  <c r="J227" i="3"/>
  <c r="K227" i="3"/>
  <c r="L227" i="3"/>
  <c r="M227" i="3"/>
  <c r="G228" i="3"/>
  <c r="H228" i="3"/>
  <c r="I228" i="3"/>
  <c r="J228" i="3"/>
  <c r="K228" i="3"/>
  <c r="L228" i="3"/>
  <c r="M228" i="3"/>
  <c r="G231" i="3"/>
  <c r="H231" i="3"/>
  <c r="I231" i="3"/>
  <c r="J231" i="3"/>
  <c r="K231" i="3"/>
  <c r="L231" i="3"/>
  <c r="M231" i="3"/>
  <c r="G232" i="3"/>
  <c r="H232" i="3"/>
  <c r="I232" i="3"/>
  <c r="J232" i="3"/>
  <c r="K232" i="3"/>
  <c r="L232" i="3"/>
  <c r="M232" i="3"/>
  <c r="G233" i="3"/>
  <c r="H233" i="3"/>
  <c r="I233" i="3"/>
  <c r="J233" i="3"/>
  <c r="K233" i="3"/>
  <c r="L233" i="3"/>
  <c r="M233" i="3"/>
  <c r="G241" i="3"/>
  <c r="H241" i="3"/>
  <c r="I241" i="3"/>
  <c r="J241" i="3"/>
  <c r="K241" i="3"/>
  <c r="L241" i="3"/>
  <c r="M241" i="3"/>
  <c r="G259" i="3"/>
  <c r="H259" i="3"/>
  <c r="I259" i="3"/>
  <c r="J259" i="3"/>
  <c r="K259" i="3"/>
  <c r="L259" i="3"/>
  <c r="M259" i="3"/>
  <c r="G260" i="3"/>
  <c r="H260" i="3"/>
  <c r="I260" i="3"/>
  <c r="J260" i="3"/>
  <c r="K260" i="3"/>
  <c r="L260" i="3"/>
  <c r="M260" i="3"/>
  <c r="G261" i="3"/>
  <c r="H261" i="3"/>
  <c r="I261" i="3"/>
  <c r="J261" i="3"/>
  <c r="K261" i="3"/>
  <c r="L261" i="3"/>
  <c r="M261" i="3"/>
  <c r="G270" i="3"/>
  <c r="H270" i="3"/>
  <c r="I270" i="3"/>
  <c r="J270" i="3"/>
  <c r="K270" i="3"/>
  <c r="L270" i="3"/>
  <c r="M270" i="3"/>
  <c r="G271" i="3"/>
  <c r="H271" i="3"/>
  <c r="I271" i="3"/>
  <c r="J271" i="3"/>
  <c r="K271" i="3"/>
  <c r="L271" i="3"/>
  <c r="M271" i="3"/>
  <c r="G272" i="3"/>
  <c r="H272" i="3"/>
  <c r="I272" i="3"/>
  <c r="J272" i="3"/>
  <c r="K272" i="3"/>
  <c r="L272" i="3"/>
  <c r="M272" i="3"/>
  <c r="G276" i="3"/>
  <c r="H276" i="3"/>
  <c r="I276" i="3"/>
  <c r="J276" i="3"/>
  <c r="K276" i="3"/>
  <c r="L276" i="3"/>
  <c r="M276" i="3"/>
  <c r="G277" i="3"/>
  <c r="H277" i="3"/>
  <c r="I277" i="3"/>
  <c r="J277" i="3"/>
  <c r="K277" i="3"/>
  <c r="L277" i="3"/>
  <c r="M277" i="3"/>
  <c r="G278" i="3"/>
  <c r="H278" i="3"/>
  <c r="I278" i="3"/>
  <c r="J278" i="3"/>
  <c r="K278" i="3"/>
  <c r="L278" i="3"/>
  <c r="M278" i="3"/>
  <c r="G279" i="3"/>
  <c r="H279" i="3"/>
  <c r="I279" i="3"/>
  <c r="J279" i="3"/>
  <c r="K279" i="3"/>
  <c r="L279" i="3"/>
  <c r="M279" i="3"/>
  <c r="G283" i="3"/>
  <c r="H283" i="3"/>
  <c r="I283" i="3"/>
  <c r="J283" i="3"/>
  <c r="K283" i="3"/>
  <c r="L283" i="3"/>
  <c r="M283" i="3"/>
  <c r="G284" i="3"/>
  <c r="H284" i="3"/>
  <c r="I284" i="3"/>
  <c r="J284" i="3"/>
  <c r="K284" i="3"/>
  <c r="L284" i="3"/>
  <c r="M284" i="3"/>
  <c r="G285" i="3"/>
  <c r="H285" i="3"/>
  <c r="I285" i="3"/>
  <c r="J285" i="3"/>
  <c r="K285" i="3"/>
  <c r="L285" i="3"/>
  <c r="M285" i="3"/>
  <c r="G286" i="3"/>
  <c r="H286" i="3"/>
  <c r="I286" i="3"/>
  <c r="J286" i="3"/>
  <c r="K286" i="3"/>
  <c r="L286" i="3"/>
  <c r="M286" i="3"/>
  <c r="G287" i="3"/>
  <c r="H287" i="3"/>
  <c r="I287" i="3"/>
  <c r="J287" i="3"/>
  <c r="K287" i="3"/>
  <c r="L287" i="3"/>
  <c r="M287" i="3"/>
  <c r="G288" i="3"/>
  <c r="H288" i="3"/>
  <c r="I288" i="3"/>
  <c r="J288" i="3"/>
  <c r="K288" i="3"/>
  <c r="L288" i="3"/>
  <c r="M288" i="3"/>
  <c r="G289" i="3"/>
  <c r="H289" i="3"/>
  <c r="I289" i="3"/>
  <c r="J289" i="3"/>
  <c r="K289" i="3"/>
  <c r="L289" i="3"/>
  <c r="M289" i="3"/>
  <c r="G296" i="3"/>
  <c r="H296" i="3"/>
  <c r="I296" i="3"/>
  <c r="J296" i="3"/>
  <c r="K296" i="3"/>
  <c r="L296" i="3"/>
  <c r="M296" i="3"/>
  <c r="G297" i="3"/>
  <c r="H297" i="3"/>
  <c r="I297" i="3"/>
  <c r="J297" i="3"/>
  <c r="K297" i="3"/>
  <c r="L297" i="3"/>
  <c r="M297" i="3"/>
  <c r="G298" i="3"/>
  <c r="H298" i="3"/>
  <c r="I298" i="3"/>
  <c r="J298" i="3"/>
  <c r="K298" i="3"/>
  <c r="L298" i="3"/>
  <c r="M298" i="3"/>
  <c r="G302" i="3"/>
  <c r="H302" i="3"/>
  <c r="I302" i="3"/>
  <c r="J302" i="3"/>
  <c r="K302" i="3"/>
  <c r="L302" i="3"/>
  <c r="M302" i="3"/>
  <c r="G303" i="3"/>
  <c r="H303" i="3"/>
  <c r="I303" i="3"/>
  <c r="J303" i="3"/>
  <c r="K303" i="3"/>
  <c r="L303" i="3"/>
  <c r="M303" i="3"/>
  <c r="G304" i="3"/>
  <c r="H304" i="3"/>
  <c r="I304" i="3"/>
  <c r="J304" i="3"/>
  <c r="K304" i="3"/>
  <c r="L304" i="3"/>
  <c r="M304" i="3"/>
  <c r="G305" i="3"/>
  <c r="H305" i="3"/>
  <c r="I305" i="3"/>
  <c r="J305" i="3"/>
  <c r="K305" i="3"/>
  <c r="L305" i="3"/>
  <c r="M305" i="3"/>
  <c r="G306" i="3"/>
  <c r="H306" i="3"/>
  <c r="I306" i="3"/>
  <c r="J306" i="3"/>
  <c r="K306" i="3"/>
  <c r="L306" i="3"/>
  <c r="M306" i="3"/>
  <c r="G307" i="3"/>
  <c r="H307" i="3"/>
  <c r="I307" i="3"/>
  <c r="J307" i="3"/>
  <c r="K307" i="3"/>
  <c r="L307" i="3"/>
  <c r="M307" i="3"/>
  <c r="G310" i="3"/>
  <c r="H310" i="3"/>
  <c r="I310" i="3"/>
  <c r="J310" i="3"/>
  <c r="K310" i="3"/>
  <c r="L310" i="3"/>
  <c r="M310" i="3"/>
  <c r="G313" i="3"/>
  <c r="H313" i="3"/>
  <c r="I313" i="3"/>
  <c r="J313" i="3"/>
  <c r="K313" i="3"/>
  <c r="L313" i="3"/>
  <c r="M313" i="3"/>
  <c r="G314" i="3"/>
  <c r="H314" i="3"/>
  <c r="I314" i="3"/>
  <c r="J314" i="3"/>
  <c r="K314" i="3"/>
  <c r="L314" i="3"/>
  <c r="M314" i="3"/>
  <c r="G316" i="3"/>
  <c r="H316" i="3"/>
  <c r="I316" i="3"/>
  <c r="J316" i="3"/>
  <c r="K316" i="3"/>
  <c r="L316" i="3"/>
  <c r="M316" i="3"/>
  <c r="G319" i="3"/>
  <c r="H319" i="3"/>
  <c r="I319" i="3"/>
  <c r="J319" i="3"/>
  <c r="K319" i="3"/>
  <c r="L319" i="3"/>
  <c r="M319" i="3"/>
  <c r="G320" i="3"/>
  <c r="H320" i="3"/>
  <c r="I320" i="3"/>
  <c r="J320" i="3"/>
  <c r="K320" i="3"/>
  <c r="L320" i="3"/>
  <c r="M320" i="3"/>
  <c r="G322" i="3"/>
  <c r="H322" i="3"/>
  <c r="I322" i="3"/>
  <c r="J322" i="3"/>
  <c r="K322" i="3"/>
  <c r="L322" i="3"/>
  <c r="M322" i="3"/>
  <c r="G325" i="3"/>
  <c r="H325" i="3"/>
  <c r="I325" i="3"/>
  <c r="J325" i="3"/>
  <c r="K325" i="3"/>
  <c r="L325" i="3"/>
  <c r="M325" i="3"/>
  <c r="G326" i="3"/>
  <c r="H326" i="3"/>
  <c r="I326" i="3"/>
  <c r="J326" i="3"/>
  <c r="K326" i="3"/>
  <c r="L326" i="3"/>
  <c r="M326" i="3"/>
  <c r="G333" i="3"/>
  <c r="H333" i="3"/>
  <c r="I333" i="3"/>
  <c r="J333" i="3"/>
  <c r="K333" i="3"/>
  <c r="L333" i="3"/>
  <c r="M333" i="3"/>
  <c r="G335" i="3"/>
  <c r="H335" i="3"/>
  <c r="I335" i="3"/>
  <c r="J335" i="3"/>
  <c r="K335" i="3"/>
  <c r="L335" i="3"/>
  <c r="M335" i="3"/>
  <c r="G341" i="3"/>
  <c r="H341" i="3"/>
  <c r="I341" i="3"/>
  <c r="J341" i="3"/>
  <c r="K341" i="3"/>
  <c r="L341" i="3"/>
  <c r="M341" i="3"/>
  <c r="G347" i="3"/>
  <c r="H347" i="3"/>
  <c r="I347" i="3"/>
  <c r="J347" i="3"/>
  <c r="K347" i="3"/>
  <c r="L347" i="3"/>
  <c r="M347" i="3"/>
  <c r="G348" i="3"/>
  <c r="H348" i="3"/>
  <c r="I348" i="3"/>
  <c r="J348" i="3"/>
  <c r="K348" i="3"/>
  <c r="L348" i="3"/>
  <c r="M348" i="3"/>
  <c r="G349" i="3"/>
  <c r="H349" i="3"/>
  <c r="I349" i="3"/>
  <c r="J349" i="3"/>
  <c r="K349" i="3"/>
  <c r="L349" i="3"/>
  <c r="M349" i="3"/>
  <c r="G350" i="3"/>
  <c r="H350" i="3"/>
  <c r="I350" i="3"/>
  <c r="J350" i="3"/>
  <c r="K350" i="3"/>
  <c r="L350" i="3"/>
  <c r="M350" i="3"/>
  <c r="G351" i="3"/>
  <c r="H351" i="3"/>
  <c r="I351" i="3"/>
  <c r="J351" i="3"/>
  <c r="K351" i="3"/>
  <c r="L351" i="3"/>
  <c r="M351" i="3"/>
  <c r="G354" i="3"/>
  <c r="H354" i="3"/>
  <c r="I354" i="3"/>
  <c r="J354" i="3"/>
  <c r="K354" i="3"/>
  <c r="L354" i="3"/>
  <c r="M354" i="3"/>
  <c r="G355" i="3"/>
  <c r="H355" i="3"/>
  <c r="I355" i="3"/>
  <c r="J355" i="3"/>
  <c r="K355" i="3"/>
  <c r="L355" i="3"/>
  <c r="M355" i="3"/>
  <c r="G356" i="3"/>
  <c r="H356" i="3"/>
  <c r="I356" i="3"/>
  <c r="J356" i="3"/>
  <c r="K356" i="3"/>
  <c r="L356" i="3"/>
  <c r="M356" i="3"/>
  <c r="G358" i="3"/>
  <c r="H358" i="3"/>
  <c r="I358" i="3"/>
  <c r="J358" i="3"/>
  <c r="K358" i="3"/>
  <c r="L358" i="3"/>
  <c r="M358" i="3"/>
  <c r="G360" i="3"/>
  <c r="H360" i="3"/>
  <c r="I360" i="3"/>
  <c r="J360" i="3"/>
  <c r="K360" i="3"/>
  <c r="L360" i="3"/>
  <c r="M360" i="3"/>
  <c r="G361" i="3"/>
  <c r="H361" i="3"/>
  <c r="I361" i="3"/>
  <c r="J361" i="3"/>
  <c r="K361" i="3"/>
  <c r="L361" i="3"/>
  <c r="M361" i="3"/>
  <c r="G363" i="3"/>
  <c r="H363" i="3"/>
  <c r="I363" i="3"/>
  <c r="J363" i="3"/>
  <c r="K363" i="3"/>
  <c r="L363" i="3"/>
  <c r="M363" i="3"/>
  <c r="G364" i="3"/>
  <c r="H364" i="3"/>
  <c r="I364" i="3"/>
  <c r="J364" i="3"/>
  <c r="K364" i="3"/>
  <c r="L364" i="3"/>
  <c r="M364" i="3"/>
  <c r="G367" i="3"/>
  <c r="H367" i="3"/>
  <c r="I367" i="3"/>
  <c r="J367" i="3"/>
  <c r="K367" i="3"/>
  <c r="L367" i="3"/>
  <c r="M367" i="3"/>
  <c r="G368" i="3"/>
  <c r="H368" i="3"/>
  <c r="I368" i="3"/>
  <c r="J368" i="3"/>
  <c r="K368" i="3"/>
  <c r="L368" i="3"/>
  <c r="M368" i="3"/>
  <c r="G369" i="3"/>
  <c r="H369" i="3"/>
  <c r="I369" i="3"/>
  <c r="J369" i="3"/>
  <c r="K369" i="3"/>
  <c r="L369" i="3"/>
  <c r="M369" i="3"/>
  <c r="G372" i="3"/>
  <c r="H372" i="3"/>
  <c r="I372" i="3"/>
  <c r="J372" i="3"/>
  <c r="K372" i="3"/>
  <c r="L372" i="3"/>
  <c r="M372" i="3"/>
  <c r="G374" i="3"/>
  <c r="H374" i="3"/>
  <c r="I374" i="3"/>
  <c r="J374" i="3"/>
  <c r="K374" i="3"/>
  <c r="L374" i="3"/>
  <c r="M374" i="3"/>
  <c r="G376" i="3"/>
  <c r="H376" i="3"/>
  <c r="I376" i="3"/>
  <c r="J376" i="3"/>
  <c r="K376" i="3"/>
  <c r="L376" i="3"/>
  <c r="M376" i="3"/>
  <c r="G378" i="3"/>
  <c r="H378" i="3"/>
  <c r="I378" i="3"/>
  <c r="J378" i="3"/>
  <c r="K378" i="3"/>
  <c r="L378" i="3"/>
  <c r="M378" i="3"/>
  <c r="G379" i="3"/>
  <c r="H379" i="3"/>
  <c r="I379" i="3"/>
  <c r="J379" i="3"/>
  <c r="K379" i="3"/>
  <c r="L379" i="3"/>
  <c r="M379" i="3"/>
  <c r="G380" i="3"/>
  <c r="H380" i="3"/>
  <c r="I380" i="3"/>
  <c r="J380" i="3"/>
  <c r="K380" i="3"/>
  <c r="L380" i="3"/>
  <c r="M380" i="3"/>
  <c r="G385" i="3"/>
  <c r="H385" i="3"/>
  <c r="I385" i="3"/>
  <c r="J385" i="3"/>
  <c r="K385" i="3"/>
  <c r="L385" i="3"/>
  <c r="M385" i="3"/>
  <c r="G386" i="3"/>
  <c r="H386" i="3"/>
  <c r="I386" i="3"/>
  <c r="J386" i="3"/>
  <c r="K386" i="3"/>
  <c r="L386" i="3"/>
  <c r="M386" i="3"/>
  <c r="G389" i="3"/>
  <c r="H389" i="3"/>
  <c r="I389" i="3"/>
  <c r="J389" i="3"/>
  <c r="K389" i="3"/>
  <c r="L389" i="3"/>
  <c r="M389" i="3"/>
  <c r="G393" i="3"/>
  <c r="H393" i="3"/>
  <c r="I393" i="3"/>
  <c r="J393" i="3"/>
  <c r="K393" i="3"/>
  <c r="L393" i="3"/>
  <c r="M393" i="3"/>
  <c r="G394" i="3"/>
  <c r="H394" i="3"/>
  <c r="I394" i="3"/>
  <c r="J394" i="3"/>
  <c r="K394" i="3"/>
  <c r="L394" i="3"/>
  <c r="M394" i="3"/>
  <c r="G397" i="3"/>
  <c r="H397" i="3"/>
  <c r="I397" i="3"/>
  <c r="J397" i="3"/>
  <c r="K397" i="3"/>
  <c r="L397" i="3"/>
  <c r="M397" i="3"/>
  <c r="G398" i="3"/>
  <c r="H398" i="3"/>
  <c r="I398" i="3"/>
  <c r="J398" i="3"/>
  <c r="K398" i="3"/>
  <c r="L398" i="3"/>
  <c r="M398" i="3"/>
  <c r="G399" i="3"/>
  <c r="H399" i="3"/>
  <c r="I399" i="3"/>
  <c r="J399" i="3"/>
  <c r="K399" i="3"/>
  <c r="L399" i="3"/>
  <c r="M399" i="3"/>
  <c r="G400" i="3"/>
  <c r="H400" i="3"/>
  <c r="I400" i="3"/>
  <c r="J400" i="3"/>
  <c r="K400" i="3"/>
  <c r="L400" i="3"/>
  <c r="M400" i="3"/>
  <c r="G401" i="3"/>
  <c r="H401" i="3"/>
  <c r="I401" i="3"/>
  <c r="J401" i="3"/>
  <c r="K401" i="3"/>
  <c r="L401" i="3"/>
  <c r="M401" i="3"/>
  <c r="G402" i="3"/>
  <c r="H402" i="3"/>
  <c r="I402" i="3"/>
  <c r="J402" i="3"/>
  <c r="K402" i="3"/>
  <c r="L402" i="3"/>
  <c r="M402" i="3"/>
  <c r="G403" i="3"/>
  <c r="H403" i="3"/>
  <c r="I403" i="3"/>
  <c r="J403" i="3"/>
  <c r="K403" i="3"/>
  <c r="L403" i="3"/>
  <c r="M403" i="3"/>
  <c r="G406" i="3"/>
  <c r="H406" i="3"/>
  <c r="I406" i="3"/>
  <c r="J406" i="3"/>
  <c r="K406" i="3"/>
  <c r="L406" i="3"/>
  <c r="M406" i="3"/>
  <c r="G407" i="3"/>
  <c r="H407" i="3"/>
  <c r="I407" i="3"/>
  <c r="J407" i="3"/>
  <c r="K407" i="3"/>
  <c r="L407" i="3"/>
  <c r="M407" i="3"/>
  <c r="G408" i="3"/>
  <c r="H408" i="3"/>
  <c r="I408" i="3"/>
  <c r="J408" i="3"/>
  <c r="K408" i="3"/>
  <c r="L408" i="3"/>
  <c r="M408" i="3"/>
  <c r="G414" i="3"/>
  <c r="H414" i="3"/>
  <c r="I414" i="3"/>
  <c r="J414" i="3"/>
  <c r="K414" i="3"/>
  <c r="L414" i="3"/>
  <c r="M414" i="3"/>
  <c r="G419" i="3"/>
  <c r="H419" i="3"/>
  <c r="I419" i="3"/>
  <c r="J419" i="3"/>
  <c r="K419" i="3"/>
  <c r="L419" i="3"/>
  <c r="M419" i="3"/>
  <c r="G420" i="3"/>
  <c r="H420" i="3"/>
  <c r="I420" i="3"/>
  <c r="J420" i="3"/>
  <c r="K420" i="3"/>
  <c r="L420" i="3"/>
  <c r="M420" i="3"/>
  <c r="G422" i="3"/>
  <c r="H422" i="3"/>
  <c r="I422" i="3"/>
  <c r="J422" i="3"/>
  <c r="K422" i="3"/>
  <c r="L422" i="3"/>
  <c r="M422" i="3"/>
  <c r="G423" i="3"/>
  <c r="H423" i="3"/>
  <c r="I423" i="3"/>
  <c r="J423" i="3"/>
  <c r="K423" i="3"/>
  <c r="L423" i="3"/>
  <c r="M423" i="3"/>
  <c r="G424" i="3"/>
  <c r="H424" i="3"/>
  <c r="I424" i="3"/>
  <c r="J424" i="3"/>
  <c r="K424" i="3"/>
  <c r="L424" i="3"/>
  <c r="M424" i="3"/>
  <c r="G425" i="3"/>
  <c r="H425" i="3"/>
  <c r="I425" i="3"/>
  <c r="J425" i="3"/>
  <c r="K425" i="3"/>
  <c r="L425" i="3"/>
  <c r="M425" i="3"/>
  <c r="G426" i="3"/>
  <c r="H426" i="3"/>
  <c r="I426" i="3"/>
  <c r="J426" i="3"/>
  <c r="K426" i="3"/>
  <c r="L426" i="3"/>
  <c r="M426" i="3"/>
  <c r="G431" i="3"/>
  <c r="H431" i="3"/>
  <c r="I431" i="3"/>
  <c r="J431" i="3"/>
  <c r="K431" i="3"/>
  <c r="L431" i="3"/>
  <c r="M431" i="3"/>
  <c r="G432" i="3"/>
  <c r="H432" i="3"/>
  <c r="I432" i="3"/>
  <c r="J432" i="3"/>
  <c r="K432" i="3"/>
  <c r="L432" i="3"/>
  <c r="M432" i="3"/>
  <c r="G433" i="3"/>
  <c r="H433" i="3"/>
  <c r="I433" i="3"/>
  <c r="J433" i="3"/>
  <c r="K433" i="3"/>
  <c r="L433" i="3"/>
  <c r="M433" i="3"/>
  <c r="G434" i="3"/>
  <c r="H434" i="3"/>
  <c r="I434" i="3"/>
  <c r="J434" i="3"/>
  <c r="K434" i="3"/>
  <c r="L434" i="3"/>
  <c r="M434" i="3"/>
  <c r="G438" i="3"/>
  <c r="H438" i="3"/>
  <c r="I438" i="3"/>
  <c r="J438" i="3"/>
  <c r="K438" i="3"/>
  <c r="L438" i="3"/>
  <c r="M438" i="3"/>
  <c r="G440" i="3"/>
  <c r="H440" i="3"/>
  <c r="I440" i="3"/>
  <c r="J440" i="3"/>
  <c r="K440" i="3"/>
  <c r="L440" i="3"/>
  <c r="M440" i="3"/>
  <c r="G444" i="3"/>
  <c r="H444" i="3"/>
  <c r="I444" i="3"/>
  <c r="J444" i="3"/>
  <c r="K444" i="3"/>
  <c r="L444" i="3"/>
  <c r="M444" i="3"/>
  <c r="G446" i="3"/>
  <c r="H446" i="3"/>
  <c r="I446" i="3"/>
  <c r="J446" i="3"/>
  <c r="K446" i="3"/>
  <c r="L446" i="3"/>
  <c r="M446" i="3"/>
  <c r="G447" i="3"/>
  <c r="H447" i="3"/>
  <c r="I447" i="3"/>
  <c r="J447" i="3"/>
  <c r="K447" i="3"/>
  <c r="L447" i="3"/>
  <c r="M447" i="3"/>
  <c r="G448" i="3"/>
  <c r="H448" i="3"/>
  <c r="I448" i="3"/>
  <c r="J448" i="3"/>
  <c r="K448" i="3"/>
  <c r="L448" i="3"/>
  <c r="M448" i="3"/>
  <c r="G451" i="3"/>
  <c r="H451" i="3"/>
  <c r="I451" i="3"/>
  <c r="J451" i="3"/>
  <c r="K451" i="3"/>
  <c r="L451" i="3"/>
  <c r="M451" i="3"/>
  <c r="G452" i="3"/>
  <c r="H452" i="3"/>
  <c r="I452" i="3"/>
  <c r="J452" i="3"/>
  <c r="K452" i="3"/>
  <c r="L452" i="3"/>
  <c r="M452" i="3"/>
  <c r="G453" i="3"/>
  <c r="H453" i="3"/>
  <c r="I453" i="3"/>
  <c r="J453" i="3"/>
  <c r="K453" i="3"/>
  <c r="L453" i="3"/>
  <c r="M453" i="3"/>
  <c r="G454" i="3"/>
  <c r="H454" i="3"/>
  <c r="I454" i="3"/>
  <c r="J454" i="3"/>
  <c r="K454" i="3"/>
  <c r="L454" i="3"/>
  <c r="M454" i="3"/>
  <c r="G460" i="3"/>
  <c r="H460" i="3"/>
  <c r="I460" i="3"/>
  <c r="J460" i="3"/>
  <c r="K460" i="3"/>
  <c r="L460" i="3"/>
  <c r="M460" i="3"/>
  <c r="G464" i="3"/>
  <c r="H464" i="3"/>
  <c r="I464" i="3"/>
  <c r="J464" i="3"/>
  <c r="K464" i="3"/>
  <c r="L464" i="3"/>
  <c r="M464" i="3"/>
  <c r="G465" i="3"/>
  <c r="H465" i="3"/>
  <c r="I465" i="3"/>
  <c r="J465" i="3"/>
  <c r="K465" i="3"/>
  <c r="L465" i="3"/>
  <c r="M465" i="3"/>
  <c r="G467" i="3"/>
  <c r="H467" i="3"/>
  <c r="I467" i="3"/>
  <c r="J467" i="3"/>
  <c r="K467" i="3"/>
  <c r="L467" i="3"/>
  <c r="M467" i="3"/>
  <c r="G468" i="3"/>
  <c r="H468" i="3"/>
  <c r="I468" i="3"/>
  <c r="J468" i="3"/>
  <c r="K468" i="3"/>
  <c r="L468" i="3"/>
  <c r="M468" i="3"/>
  <c r="G469" i="3"/>
  <c r="H469" i="3"/>
  <c r="I469" i="3"/>
  <c r="J469" i="3"/>
  <c r="K469" i="3"/>
  <c r="L469" i="3"/>
  <c r="M469" i="3"/>
  <c r="G470" i="3"/>
  <c r="H470" i="3"/>
  <c r="I470" i="3"/>
  <c r="J470" i="3"/>
  <c r="K470" i="3"/>
  <c r="L470" i="3"/>
  <c r="M470" i="3"/>
  <c r="G471" i="3"/>
  <c r="H471" i="3"/>
  <c r="I471" i="3"/>
  <c r="J471" i="3"/>
  <c r="K471" i="3"/>
  <c r="L471" i="3"/>
  <c r="M471" i="3"/>
  <c r="G476" i="3"/>
  <c r="H476" i="3"/>
  <c r="I476" i="3"/>
  <c r="J476" i="3"/>
  <c r="K476" i="3"/>
  <c r="L476" i="3"/>
  <c r="M476" i="3"/>
  <c r="G477" i="3"/>
  <c r="H477" i="3"/>
  <c r="I477" i="3"/>
  <c r="J477" i="3"/>
  <c r="K477" i="3"/>
  <c r="L477" i="3"/>
  <c r="M477" i="3"/>
  <c r="G478" i="3"/>
  <c r="H478" i="3"/>
  <c r="I478" i="3"/>
  <c r="J478" i="3"/>
  <c r="K478" i="3"/>
  <c r="L478" i="3"/>
  <c r="M478" i="3"/>
  <c r="G479" i="3"/>
  <c r="H479" i="3"/>
  <c r="I479" i="3"/>
  <c r="J479" i="3"/>
  <c r="K479" i="3"/>
  <c r="L479" i="3"/>
  <c r="M479" i="3"/>
  <c r="G480" i="3"/>
  <c r="H480" i="3"/>
  <c r="I480" i="3"/>
  <c r="J480" i="3"/>
  <c r="K480" i="3"/>
  <c r="L480" i="3"/>
  <c r="M480" i="3"/>
  <c r="G481" i="3"/>
  <c r="H481" i="3"/>
  <c r="I481" i="3"/>
  <c r="J481" i="3"/>
  <c r="K481" i="3"/>
  <c r="L481" i="3"/>
  <c r="M481" i="3"/>
  <c r="G482" i="3"/>
  <c r="H482" i="3"/>
  <c r="I482" i="3"/>
  <c r="J482" i="3"/>
  <c r="K482" i="3"/>
  <c r="L482" i="3"/>
  <c r="M482" i="3"/>
  <c r="G483" i="3"/>
  <c r="H483" i="3"/>
  <c r="I483" i="3"/>
  <c r="J483" i="3"/>
  <c r="K483" i="3"/>
  <c r="L483" i="3"/>
  <c r="M483" i="3"/>
  <c r="G484" i="3"/>
  <c r="H484" i="3"/>
  <c r="I484" i="3"/>
  <c r="J484" i="3"/>
  <c r="K484" i="3"/>
  <c r="L484" i="3"/>
  <c r="M484" i="3"/>
  <c r="G485" i="3"/>
  <c r="H485" i="3"/>
  <c r="I485" i="3"/>
  <c r="J485" i="3"/>
  <c r="K485" i="3"/>
  <c r="L485" i="3"/>
  <c r="M485" i="3"/>
  <c r="G486" i="3"/>
  <c r="H486" i="3"/>
  <c r="I486" i="3"/>
  <c r="J486" i="3"/>
  <c r="K486" i="3"/>
  <c r="L486" i="3"/>
  <c r="M486" i="3"/>
  <c r="G487" i="3"/>
  <c r="H487" i="3"/>
  <c r="I487" i="3"/>
  <c r="J487" i="3"/>
  <c r="K487" i="3"/>
  <c r="L487" i="3"/>
  <c r="M487" i="3"/>
  <c r="G488" i="3"/>
  <c r="H488" i="3"/>
  <c r="I488" i="3"/>
  <c r="J488" i="3"/>
  <c r="K488" i="3"/>
  <c r="L488" i="3"/>
  <c r="M488" i="3"/>
  <c r="G489" i="3"/>
  <c r="H489" i="3"/>
  <c r="I489" i="3"/>
  <c r="J489" i="3"/>
  <c r="K489" i="3"/>
  <c r="L489" i="3"/>
  <c r="M489" i="3"/>
  <c r="G497" i="3"/>
  <c r="H497" i="3"/>
  <c r="I497" i="3"/>
  <c r="J497" i="3"/>
  <c r="K497" i="3"/>
  <c r="L497" i="3"/>
  <c r="M497" i="3"/>
  <c r="G505" i="3"/>
  <c r="H505" i="3"/>
  <c r="I505" i="3"/>
  <c r="J505" i="3"/>
  <c r="K505" i="3"/>
  <c r="L505" i="3"/>
  <c r="M505" i="3"/>
  <c r="G507" i="3"/>
  <c r="H507" i="3"/>
  <c r="I507" i="3"/>
  <c r="J507" i="3"/>
  <c r="K507" i="3"/>
  <c r="L507" i="3"/>
  <c r="M507" i="3"/>
  <c r="G511" i="3"/>
  <c r="H511" i="3"/>
  <c r="I511" i="3"/>
  <c r="J511" i="3"/>
  <c r="K511" i="3"/>
  <c r="L511" i="3"/>
  <c r="M511" i="3"/>
  <c r="G512" i="3"/>
  <c r="H512" i="3"/>
  <c r="I512" i="3"/>
  <c r="J512" i="3"/>
  <c r="K512" i="3"/>
  <c r="L512" i="3"/>
  <c r="M512" i="3"/>
  <c r="G514" i="3"/>
  <c r="H514" i="3"/>
  <c r="I514" i="3"/>
  <c r="J514" i="3"/>
  <c r="K514" i="3"/>
  <c r="L514" i="3"/>
  <c r="M514" i="3"/>
  <c r="G515" i="3"/>
  <c r="H515" i="3"/>
  <c r="I515" i="3"/>
  <c r="J515" i="3"/>
  <c r="K515" i="3"/>
  <c r="L515" i="3"/>
  <c r="M515" i="3"/>
  <c r="G16" i="49"/>
  <c r="H16" i="49"/>
  <c r="I16" i="49"/>
  <c r="J16" i="49"/>
  <c r="K16" i="49"/>
  <c r="L16" i="49"/>
  <c r="M16" i="49"/>
  <c r="G17" i="49"/>
  <c r="H17" i="49"/>
  <c r="I17" i="49"/>
  <c r="J17" i="49"/>
  <c r="K17" i="49"/>
  <c r="L17" i="49"/>
  <c r="M17" i="49"/>
  <c r="G18" i="49"/>
  <c r="H18" i="49"/>
  <c r="I18" i="49"/>
  <c r="J18" i="49"/>
  <c r="K18" i="49"/>
  <c r="L18" i="49"/>
  <c r="M18" i="49"/>
  <c r="G28" i="55"/>
  <c r="H28" i="55"/>
  <c r="I28" i="55"/>
  <c r="J28" i="55"/>
  <c r="K28" i="55"/>
  <c r="L28" i="55"/>
  <c r="M28" i="55"/>
  <c r="G29" i="55"/>
  <c r="H29" i="55"/>
  <c r="I29" i="55"/>
  <c r="J29" i="55"/>
  <c r="K29" i="55"/>
  <c r="L29" i="55"/>
  <c r="M29" i="55"/>
  <c r="G30" i="55"/>
  <c r="H30" i="55"/>
  <c r="I30" i="55"/>
  <c r="J30" i="55"/>
  <c r="K30" i="55"/>
  <c r="L30" i="55"/>
  <c r="M30" i="55"/>
  <c r="G31" i="55"/>
  <c r="H31" i="55"/>
  <c r="I31" i="55"/>
  <c r="J31" i="55"/>
  <c r="K31" i="55"/>
  <c r="L31" i="55"/>
  <c r="M31" i="55"/>
  <c r="G32" i="55"/>
  <c r="H32" i="55"/>
  <c r="I32" i="55"/>
  <c r="J32" i="55"/>
  <c r="K32" i="55"/>
  <c r="L32" i="55"/>
  <c r="M32" i="55"/>
  <c r="G33" i="55"/>
  <c r="H33" i="55"/>
  <c r="I33" i="55"/>
  <c r="J33" i="55"/>
  <c r="K33" i="55"/>
  <c r="L33" i="55"/>
  <c r="M33" i="55"/>
  <c r="G34" i="55"/>
  <c r="H34" i="55"/>
  <c r="I34" i="55"/>
  <c r="J34" i="55"/>
  <c r="K34" i="55"/>
  <c r="L34" i="55"/>
  <c r="M34" i="55"/>
  <c r="G35" i="55"/>
  <c r="H35" i="55"/>
  <c r="I35" i="55"/>
  <c r="J35" i="55"/>
  <c r="K35" i="55"/>
  <c r="L35" i="55"/>
  <c r="M35" i="55"/>
  <c r="G36" i="55"/>
  <c r="H36" i="55"/>
  <c r="I36" i="55"/>
  <c r="J36" i="55"/>
  <c r="K36" i="55"/>
  <c r="L36" i="55"/>
  <c r="M36" i="55"/>
  <c r="G37" i="55"/>
  <c r="H37" i="55"/>
  <c r="I37" i="55"/>
  <c r="J37" i="55"/>
  <c r="K37" i="55"/>
  <c r="L37" i="55"/>
  <c r="M37" i="55"/>
  <c r="G38" i="55"/>
  <c r="H38" i="55"/>
  <c r="I38" i="55"/>
  <c r="J38" i="55"/>
  <c r="K38" i="55"/>
  <c r="L38" i="55"/>
  <c r="M38" i="55"/>
  <c r="G39" i="55"/>
  <c r="H39" i="55"/>
  <c r="I39" i="55"/>
  <c r="J39" i="55"/>
  <c r="K39" i="55"/>
  <c r="L39" i="55"/>
  <c r="M39" i="55"/>
  <c r="G40" i="55"/>
  <c r="H40" i="55"/>
  <c r="I40" i="55"/>
  <c r="J40" i="55"/>
  <c r="K40" i="55"/>
  <c r="L40" i="55"/>
  <c r="M40" i="55"/>
  <c r="G42" i="55"/>
  <c r="H42" i="55"/>
  <c r="I42" i="55"/>
  <c r="J42" i="55"/>
  <c r="K42" i="55"/>
  <c r="L42" i="55"/>
  <c r="M42" i="55"/>
  <c r="G47" i="55"/>
  <c r="H47" i="55"/>
  <c r="I47" i="55"/>
  <c r="J47" i="55"/>
  <c r="K47" i="55"/>
  <c r="L47" i="55"/>
  <c r="M47" i="55"/>
  <c r="G48" i="55"/>
  <c r="H48" i="55"/>
  <c r="I48" i="55"/>
  <c r="J48" i="55"/>
  <c r="K48" i="55"/>
  <c r="L48" i="55"/>
  <c r="M48" i="55"/>
  <c r="G50" i="55"/>
  <c r="H50" i="55"/>
  <c r="I50" i="55"/>
  <c r="J50" i="55"/>
  <c r="K50" i="55"/>
  <c r="L50" i="55"/>
  <c r="M50" i="55"/>
  <c r="G51" i="55"/>
  <c r="H51" i="55"/>
  <c r="I51" i="55"/>
  <c r="J51" i="55"/>
  <c r="K51" i="55"/>
  <c r="L51" i="55"/>
  <c r="M51" i="55"/>
  <c r="G52" i="55"/>
  <c r="H52" i="55"/>
  <c r="I52" i="55"/>
  <c r="J52" i="55"/>
  <c r="K52" i="55"/>
  <c r="L52" i="55"/>
  <c r="M52" i="55"/>
  <c r="G53" i="55"/>
  <c r="H53" i="55"/>
  <c r="I53" i="55"/>
  <c r="J53" i="55"/>
  <c r="K53" i="55"/>
  <c r="L53" i="55"/>
  <c r="M53" i="55"/>
  <c r="G54" i="55"/>
  <c r="H54" i="55"/>
  <c r="I54" i="55"/>
  <c r="J54" i="55"/>
  <c r="K54" i="55"/>
  <c r="L54" i="55"/>
  <c r="M54" i="55"/>
  <c r="G55" i="55"/>
  <c r="H55" i="55"/>
  <c r="I55" i="55"/>
  <c r="J55" i="55"/>
  <c r="K55" i="55"/>
  <c r="L55" i="55"/>
  <c r="M55" i="55"/>
  <c r="G56" i="55"/>
  <c r="H56" i="55"/>
  <c r="I56" i="55"/>
  <c r="J56" i="55"/>
  <c r="K56" i="55"/>
  <c r="L56" i="55"/>
  <c r="M56" i="55"/>
  <c r="G57" i="55"/>
  <c r="H57" i="55"/>
  <c r="I57" i="55"/>
  <c r="J57" i="55"/>
  <c r="K57" i="55"/>
  <c r="L57" i="55"/>
  <c r="M57" i="55"/>
  <c r="G64" i="55"/>
  <c r="H64" i="55"/>
  <c r="I64" i="55"/>
  <c r="J64" i="55"/>
  <c r="K64" i="55"/>
  <c r="L64" i="55"/>
  <c r="M64" i="55"/>
  <c r="G65" i="55"/>
  <c r="H65" i="55"/>
  <c r="I65" i="55"/>
  <c r="J65" i="55"/>
  <c r="K65" i="55"/>
  <c r="L65" i="55"/>
  <c r="M65" i="55"/>
  <c r="G66" i="55"/>
  <c r="H66" i="55"/>
  <c r="I66" i="55"/>
  <c r="J66" i="55"/>
  <c r="K66" i="55"/>
  <c r="L66" i="55"/>
  <c r="M66" i="55"/>
  <c r="G69" i="55"/>
  <c r="H69" i="55"/>
  <c r="I69" i="55"/>
  <c r="J69" i="55"/>
  <c r="K69" i="55"/>
  <c r="L69" i="55"/>
  <c r="M69" i="55"/>
  <c r="G70" i="55"/>
  <c r="H70" i="55"/>
  <c r="I70" i="55"/>
  <c r="J70" i="55"/>
  <c r="K70" i="55"/>
  <c r="L70" i="55"/>
  <c r="M70" i="55"/>
  <c r="G71" i="55"/>
  <c r="H71" i="55"/>
  <c r="I71" i="55"/>
  <c r="J71" i="55"/>
  <c r="K71" i="55"/>
  <c r="L71" i="55"/>
  <c r="M71" i="55"/>
  <c r="G75" i="55"/>
  <c r="H75" i="55"/>
  <c r="I75" i="55"/>
  <c r="J75" i="55"/>
  <c r="K75" i="55"/>
  <c r="L75" i="55"/>
  <c r="M75" i="55"/>
  <c r="G76" i="55"/>
  <c r="H76" i="55"/>
  <c r="I76" i="55"/>
  <c r="J76" i="55"/>
  <c r="K76" i="55"/>
  <c r="L76" i="55"/>
  <c r="M76" i="55"/>
  <c r="G77" i="55"/>
  <c r="H77" i="55"/>
  <c r="I77" i="55"/>
  <c r="J77" i="55"/>
  <c r="K77" i="55"/>
  <c r="L77" i="55"/>
  <c r="M77" i="55"/>
  <c r="G80" i="55"/>
  <c r="H80" i="55"/>
  <c r="I80" i="55"/>
  <c r="J80" i="55"/>
  <c r="K80" i="55"/>
  <c r="L80" i="55"/>
  <c r="M80" i="55"/>
  <c r="G81" i="55"/>
  <c r="H81" i="55"/>
  <c r="I81" i="55"/>
  <c r="J81" i="55"/>
  <c r="K81" i="55"/>
  <c r="L81" i="55"/>
  <c r="M81" i="55"/>
  <c r="G82" i="55"/>
  <c r="H82" i="55"/>
  <c r="I82" i="55"/>
  <c r="J82" i="55"/>
  <c r="K82" i="55"/>
  <c r="L82" i="55"/>
  <c r="M82" i="55"/>
  <c r="G86" i="55"/>
  <c r="H86" i="55"/>
  <c r="I86" i="55"/>
  <c r="J86" i="55"/>
  <c r="K86" i="55"/>
  <c r="L86" i="55"/>
  <c r="M86" i="55"/>
  <c r="G87" i="55"/>
  <c r="H87" i="55"/>
  <c r="I87" i="55"/>
  <c r="J87" i="55"/>
  <c r="K87" i="55"/>
  <c r="L87" i="55"/>
  <c r="M87" i="55"/>
  <c r="G88" i="55"/>
  <c r="H88" i="55"/>
  <c r="I88" i="55"/>
  <c r="J88" i="55"/>
  <c r="K88" i="55"/>
  <c r="L88" i="55"/>
  <c r="M88" i="55"/>
  <c r="G91" i="55"/>
  <c r="H91" i="55"/>
  <c r="I91" i="55"/>
  <c r="J91" i="55"/>
  <c r="K91" i="55"/>
  <c r="L91" i="55"/>
  <c r="M91" i="55"/>
  <c r="G92" i="55"/>
  <c r="H92" i="55"/>
  <c r="I92" i="55"/>
  <c r="J92" i="55"/>
  <c r="K92" i="55"/>
  <c r="L92" i="55"/>
  <c r="M92" i="55"/>
  <c r="G93" i="55"/>
  <c r="H93" i="55"/>
  <c r="I93" i="55"/>
  <c r="J93" i="55"/>
  <c r="K93" i="55"/>
  <c r="L93" i="55"/>
  <c r="M93" i="55"/>
  <c r="G96" i="55"/>
  <c r="H96" i="55"/>
  <c r="I96" i="55"/>
  <c r="J96" i="55"/>
  <c r="K96" i="55"/>
  <c r="L96" i="55"/>
  <c r="M96" i="55"/>
  <c r="G97" i="55"/>
  <c r="H97" i="55"/>
  <c r="I97" i="55"/>
  <c r="J97" i="55"/>
  <c r="K97" i="55"/>
  <c r="L97" i="55"/>
  <c r="M97" i="55"/>
  <c r="G99" i="55"/>
  <c r="H99" i="55"/>
  <c r="I99" i="55"/>
  <c r="J99" i="55"/>
  <c r="K99" i="55"/>
  <c r="L99" i="55"/>
  <c r="M99" i="55"/>
  <c r="G100" i="55"/>
  <c r="H100" i="55"/>
  <c r="I100" i="55"/>
  <c r="J100" i="55"/>
  <c r="K100" i="55"/>
  <c r="L100" i="55"/>
  <c r="M100" i="55"/>
  <c r="G101" i="55"/>
  <c r="H101" i="55"/>
  <c r="I101" i="55"/>
  <c r="J101" i="55"/>
  <c r="K101" i="55"/>
  <c r="L101" i="55"/>
  <c r="M101" i="55"/>
  <c r="G105" i="55"/>
  <c r="H105" i="55"/>
  <c r="I105" i="55"/>
  <c r="J105" i="55"/>
  <c r="K105" i="55"/>
  <c r="L105" i="55"/>
  <c r="M105" i="55"/>
  <c r="G106" i="55"/>
  <c r="H106" i="55"/>
  <c r="I106" i="55"/>
  <c r="J106" i="55"/>
  <c r="K106" i="55"/>
  <c r="L106" i="55"/>
  <c r="M106" i="55"/>
  <c r="G110" i="55"/>
  <c r="H110" i="55"/>
  <c r="I110" i="55"/>
  <c r="J110" i="55"/>
  <c r="K110" i="55"/>
  <c r="L110" i="55"/>
  <c r="M110" i="55"/>
  <c r="G111" i="55"/>
  <c r="H111" i="55"/>
  <c r="I111" i="55"/>
  <c r="J111" i="55"/>
  <c r="K111" i="55"/>
  <c r="L111" i="55"/>
  <c r="M111" i="55"/>
  <c r="G112" i="55"/>
  <c r="H112" i="55"/>
  <c r="I112" i="55"/>
  <c r="J112" i="55"/>
  <c r="K112" i="55"/>
  <c r="L112" i="55"/>
  <c r="M112" i="55"/>
  <c r="G115" i="55"/>
  <c r="H115" i="55"/>
  <c r="I115" i="55"/>
  <c r="J115" i="55"/>
  <c r="K115" i="55"/>
  <c r="L115" i="55"/>
  <c r="M115" i="55"/>
  <c r="G116" i="55"/>
  <c r="H116" i="55"/>
  <c r="I116" i="55"/>
  <c r="J116" i="55"/>
  <c r="K116" i="55"/>
  <c r="L116" i="55"/>
  <c r="M116" i="55"/>
  <c r="G117" i="55"/>
  <c r="H117" i="55"/>
  <c r="I117" i="55"/>
  <c r="J117" i="55"/>
  <c r="K117" i="55"/>
  <c r="L117" i="55"/>
  <c r="M117" i="55"/>
  <c r="G120" i="55"/>
  <c r="H120" i="55"/>
  <c r="I120" i="55"/>
  <c r="J120" i="55"/>
  <c r="K120" i="55"/>
  <c r="L120" i="55"/>
  <c r="M120" i="55"/>
  <c r="D129" i="28"/>
  <c r="E129" i="28"/>
  <c r="F129" i="28"/>
  <c r="G129" i="28"/>
  <c r="H129" i="28"/>
  <c r="I129" i="28"/>
  <c r="J129" i="28"/>
  <c r="D130" i="28"/>
  <c r="E130" i="28"/>
  <c r="F130" i="28"/>
  <c r="G130" i="28"/>
  <c r="H130" i="28"/>
  <c r="I130" i="28"/>
  <c r="J130" i="28"/>
  <c r="D133" i="28"/>
  <c r="E133" i="28"/>
  <c r="F133" i="28"/>
  <c r="G133" i="28"/>
  <c r="H133" i="28"/>
  <c r="I133" i="28"/>
  <c r="J133" i="28"/>
  <c r="D134" i="28"/>
  <c r="E134" i="28"/>
  <c r="F134" i="28"/>
  <c r="G134" i="28"/>
  <c r="H134" i="28"/>
  <c r="I134" i="28"/>
  <c r="J134" i="28"/>
  <c r="J144" i="28"/>
  <c r="D146" i="28"/>
  <c r="E146" i="28"/>
  <c r="F146" i="28"/>
  <c r="G146" i="28"/>
  <c r="H146" i="28"/>
  <c r="I146" i="28"/>
  <c r="J146" i="28"/>
  <c r="D147" i="28"/>
  <c r="E147" i="28"/>
  <c r="F147" i="28"/>
  <c r="G147" i="28"/>
  <c r="H147" i="28"/>
  <c r="I147" i="28"/>
  <c r="J147" i="28"/>
  <c r="D148" i="28"/>
  <c r="E148" i="28"/>
  <c r="F148" i="28"/>
  <c r="G148" i="28"/>
  <c r="H148" i="28"/>
  <c r="I148" i="28"/>
  <c r="J148" i="28"/>
  <c r="D188" i="28"/>
  <c r="E188" i="28"/>
  <c r="F188" i="28"/>
  <c r="G188" i="28"/>
  <c r="H188" i="28"/>
  <c r="I188" i="28"/>
  <c r="J188" i="28"/>
  <c r="D189" i="28"/>
  <c r="E189" i="28"/>
  <c r="F189" i="28"/>
  <c r="G189" i="28"/>
  <c r="H189" i="28"/>
  <c r="I189" i="28"/>
  <c r="J189" i="28"/>
  <c r="D190" i="28"/>
  <c r="E190" i="28"/>
  <c r="F190" i="28"/>
  <c r="G190" i="28"/>
  <c r="H190" i="28"/>
  <c r="I190" i="28"/>
  <c r="J190" i="28"/>
  <c r="D191" i="28"/>
  <c r="E191" i="28"/>
  <c r="F191" i="28"/>
  <c r="G191" i="28"/>
  <c r="H191" i="28"/>
  <c r="I191" i="28"/>
  <c r="J191" i="28"/>
  <c r="D192" i="28"/>
  <c r="E192" i="28"/>
  <c r="F192" i="28"/>
  <c r="G192" i="28"/>
  <c r="H192" i="28"/>
  <c r="I192" i="28"/>
  <c r="J192" i="28"/>
  <c r="D193" i="28"/>
  <c r="E193" i="28"/>
  <c r="F193" i="28"/>
  <c r="G193" i="28"/>
  <c r="H193" i="28"/>
  <c r="I193" i="28"/>
  <c r="J193" i="28"/>
  <c r="D194" i="28"/>
  <c r="E194" i="28"/>
  <c r="F194" i="28"/>
  <c r="G194" i="28"/>
  <c r="H194" i="28"/>
  <c r="I194" i="28"/>
  <c r="J194" i="28"/>
  <c r="D195" i="28"/>
  <c r="E195" i="28"/>
  <c r="F195" i="28"/>
  <c r="G195" i="28"/>
  <c r="H195" i="28"/>
  <c r="I195" i="28"/>
  <c r="J195" i="28"/>
  <c r="D196" i="28"/>
  <c r="E196" i="28"/>
  <c r="F196" i="28"/>
  <c r="G196" i="28"/>
  <c r="H196" i="28"/>
  <c r="I196" i="28"/>
  <c r="J196" i="28"/>
  <c r="D199" i="28"/>
  <c r="E199" i="28"/>
  <c r="F199" i="28"/>
  <c r="G199" i="28"/>
  <c r="H199" i="28"/>
  <c r="I199" i="28"/>
  <c r="J199" i="28"/>
  <c r="D200" i="28"/>
  <c r="E200" i="28"/>
  <c r="F200" i="28"/>
  <c r="G200" i="28"/>
  <c r="H200" i="28"/>
  <c r="I200" i="28"/>
  <c r="J200" i="28"/>
  <c r="D201" i="28"/>
  <c r="E201" i="28"/>
  <c r="F201" i="28"/>
  <c r="G201" i="28"/>
  <c r="H201" i="28"/>
  <c r="I201" i="28"/>
  <c r="J201" i="28"/>
  <c r="D202" i="28"/>
  <c r="E202" i="28"/>
  <c r="F202" i="28"/>
  <c r="G202" i="28"/>
  <c r="H202" i="28"/>
  <c r="I202" i="28"/>
  <c r="J202" i="28"/>
  <c r="D203" i="28"/>
  <c r="E203" i="28"/>
  <c r="F203" i="28"/>
  <c r="G203" i="28"/>
  <c r="H203" i="28"/>
  <c r="I203" i="28"/>
  <c r="J203" i="28"/>
  <c r="D204" i="28"/>
  <c r="E204" i="28"/>
  <c r="F204" i="28"/>
  <c r="G204" i="28"/>
  <c r="H204" i="28"/>
  <c r="I204" i="28"/>
  <c r="J204" i="28"/>
  <c r="D205" i="28"/>
  <c r="E205" i="28"/>
  <c r="F205" i="28"/>
  <c r="G205" i="28"/>
  <c r="H205" i="28"/>
  <c r="I205" i="28"/>
  <c r="J205" i="28"/>
  <c r="D206" i="28"/>
  <c r="E206" i="28"/>
  <c r="F206" i="28"/>
  <c r="G206" i="28"/>
  <c r="H206" i="28"/>
  <c r="I206" i="28"/>
  <c r="J206" i="28"/>
  <c r="D207" i="28"/>
  <c r="E207" i="28"/>
  <c r="F207" i="28"/>
  <c r="G207" i="28"/>
  <c r="H207" i="28"/>
  <c r="I207" i="28"/>
  <c r="J207" i="28"/>
  <c r="D208" i="28"/>
  <c r="E208" i="28"/>
  <c r="F208" i="28"/>
  <c r="G208" i="28"/>
  <c r="H208" i="28"/>
  <c r="I208" i="28"/>
  <c r="J208" i="28"/>
  <c r="D209" i="28"/>
  <c r="E209" i="28"/>
  <c r="F209" i="28"/>
  <c r="G209" i="28"/>
  <c r="H209" i="28"/>
  <c r="I209" i="28"/>
  <c r="J209" i="28"/>
  <c r="D210" i="28"/>
  <c r="E210" i="28"/>
  <c r="F210" i="28"/>
  <c r="G210" i="28"/>
  <c r="H210" i="28"/>
  <c r="I210" i="28"/>
  <c r="J210" i="28"/>
  <c r="D211" i="28"/>
  <c r="E211" i="28"/>
  <c r="F211" i="28"/>
  <c r="G211" i="28"/>
  <c r="H211" i="28"/>
  <c r="I211" i="28"/>
  <c r="J211" i="28"/>
  <c r="D212" i="28"/>
  <c r="E212" i="28"/>
  <c r="F212" i="28"/>
  <c r="G212" i="28"/>
  <c r="H212" i="28"/>
  <c r="I212" i="28"/>
  <c r="J212" i="28"/>
  <c r="D213" i="28"/>
  <c r="E213" i="28"/>
  <c r="F213" i="28"/>
  <c r="G213" i="28"/>
  <c r="H213" i="28"/>
  <c r="I213" i="28"/>
  <c r="J213" i="28"/>
  <c r="G30" i="57"/>
  <c r="H30" i="57"/>
  <c r="I30" i="57"/>
  <c r="J30" i="57"/>
  <c r="K30" i="57"/>
  <c r="L30" i="57"/>
  <c r="M30" i="57"/>
  <c r="G31" i="57"/>
  <c r="H31" i="57"/>
  <c r="I31" i="57"/>
  <c r="J31" i="57"/>
  <c r="K31" i="57"/>
  <c r="L31" i="57"/>
  <c r="M31" i="57"/>
  <c r="G32" i="57"/>
  <c r="H32" i="57"/>
  <c r="I32" i="57"/>
  <c r="J32" i="57"/>
  <c r="K32" i="57"/>
  <c r="L32" i="57"/>
  <c r="M32" i="57"/>
  <c r="G33" i="57"/>
  <c r="H33" i="57"/>
  <c r="I33" i="57"/>
  <c r="J33" i="57"/>
  <c r="K33" i="57"/>
  <c r="L33" i="57"/>
  <c r="M33" i="57"/>
  <c r="G34" i="57"/>
  <c r="H34" i="57"/>
  <c r="I34" i="57"/>
  <c r="J34" i="57"/>
  <c r="K34" i="57"/>
  <c r="L34" i="57"/>
  <c r="M34" i="57"/>
  <c r="G35" i="57"/>
  <c r="H35" i="57"/>
  <c r="I35" i="57"/>
  <c r="J35" i="57"/>
  <c r="K35" i="57"/>
  <c r="L35" i="57"/>
  <c r="M35" i="57"/>
  <c r="G36" i="57"/>
  <c r="H36" i="57"/>
  <c r="I36" i="57"/>
  <c r="J36" i="57"/>
  <c r="K36" i="57"/>
  <c r="L36" i="57"/>
  <c r="M36" i="57"/>
  <c r="G37" i="57"/>
  <c r="H37" i="57"/>
  <c r="I37" i="57"/>
  <c r="J37" i="57"/>
  <c r="K37" i="57"/>
  <c r="L37" i="57"/>
  <c r="M37" i="57"/>
  <c r="G38" i="57"/>
  <c r="H38" i="57"/>
  <c r="I38" i="57"/>
  <c r="J38" i="57"/>
  <c r="K38" i="57"/>
  <c r="L38" i="57"/>
  <c r="M38" i="57"/>
  <c r="G39" i="57"/>
  <c r="H39" i="57"/>
  <c r="I39" i="57"/>
  <c r="J39" i="57"/>
  <c r="K39" i="57"/>
  <c r="L39" i="57"/>
  <c r="M39" i="57"/>
  <c r="G40" i="57"/>
  <c r="H40" i="57"/>
  <c r="I40" i="57"/>
  <c r="J40" i="57"/>
  <c r="K40" i="57"/>
  <c r="L40" i="57"/>
  <c r="M40" i="57"/>
  <c r="G44" i="57"/>
  <c r="H44" i="57"/>
  <c r="I44" i="57"/>
  <c r="J44" i="57"/>
  <c r="K44" i="57"/>
  <c r="L44" i="57"/>
  <c r="M44" i="57"/>
  <c r="G45" i="57"/>
  <c r="H45" i="57"/>
  <c r="I45" i="57"/>
  <c r="J45" i="57"/>
  <c r="K45" i="57"/>
  <c r="L45" i="57"/>
  <c r="M45" i="57"/>
  <c r="G46" i="57"/>
  <c r="H46" i="57"/>
  <c r="I46" i="57"/>
  <c r="J46" i="57"/>
  <c r="K46" i="57"/>
  <c r="L46" i="57"/>
  <c r="M46" i="57"/>
  <c r="G47" i="57"/>
  <c r="H47" i="57"/>
  <c r="I47" i="57"/>
  <c r="J47" i="57"/>
  <c r="K47" i="57"/>
  <c r="L47" i="57"/>
  <c r="M47" i="57"/>
  <c r="G50" i="57"/>
  <c r="H50" i="57"/>
  <c r="I50" i="57"/>
  <c r="J50" i="57"/>
  <c r="K50" i="57"/>
  <c r="L50" i="57"/>
  <c r="M50" i="57"/>
  <c r="G51" i="57"/>
  <c r="H51" i="57"/>
  <c r="I51" i="57"/>
  <c r="J51" i="57"/>
  <c r="K51" i="57"/>
  <c r="L51" i="57"/>
  <c r="M51" i="57"/>
  <c r="G52" i="57"/>
  <c r="H52" i="57"/>
  <c r="I52" i="57"/>
  <c r="J52" i="57"/>
  <c r="K52" i="57"/>
  <c r="L52" i="57"/>
  <c r="M52" i="57"/>
  <c r="G53" i="57"/>
  <c r="H53" i="57"/>
  <c r="I53" i="57"/>
  <c r="J53" i="57"/>
  <c r="K53" i="57"/>
  <c r="L53" i="57"/>
  <c r="M53" i="57"/>
  <c r="G54" i="57"/>
  <c r="H54" i="57"/>
  <c r="I54" i="57"/>
  <c r="J54" i="57"/>
  <c r="K54" i="57"/>
  <c r="L54" i="57"/>
  <c r="M54" i="57"/>
  <c r="G56" i="57"/>
  <c r="H56" i="57"/>
  <c r="I56" i="57"/>
  <c r="J56" i="57"/>
  <c r="K56" i="57"/>
  <c r="L56" i="57"/>
  <c r="M56" i="57"/>
  <c r="G58" i="57"/>
  <c r="H58" i="57"/>
  <c r="I58" i="57"/>
  <c r="J58" i="57"/>
  <c r="K58" i="57"/>
  <c r="L58" i="57"/>
  <c r="M58" i="57"/>
  <c r="G61" i="57"/>
  <c r="H61" i="57"/>
  <c r="I61" i="57"/>
  <c r="J61" i="57"/>
  <c r="K61" i="57"/>
  <c r="L61" i="57"/>
  <c r="M61" i="57"/>
  <c r="G62" i="57"/>
  <c r="H62" i="57"/>
  <c r="I62" i="57"/>
  <c r="J62" i="57"/>
  <c r="K62" i="57"/>
  <c r="L62" i="57"/>
  <c r="M62" i="57"/>
  <c r="G65" i="57"/>
  <c r="H65" i="57"/>
  <c r="I65" i="57"/>
  <c r="J65" i="57"/>
  <c r="K65" i="57"/>
  <c r="L65" i="57"/>
  <c r="M65" i="57"/>
  <c r="G66" i="57"/>
  <c r="H66" i="57"/>
  <c r="I66" i="57"/>
  <c r="J66" i="57"/>
  <c r="K66" i="57"/>
  <c r="L66" i="57"/>
  <c r="M66" i="57"/>
  <c r="G67" i="57"/>
  <c r="H67" i="57"/>
  <c r="I67" i="57"/>
  <c r="J67" i="57"/>
  <c r="K67" i="57"/>
  <c r="L67" i="57"/>
  <c r="M67" i="57"/>
  <c r="G69" i="57"/>
  <c r="H69" i="57"/>
  <c r="I69" i="57"/>
  <c r="J69" i="57"/>
  <c r="K69" i="57"/>
  <c r="L69" i="57"/>
  <c r="M69" i="57"/>
  <c r="G70" i="57"/>
  <c r="H70" i="57"/>
  <c r="I70" i="57"/>
  <c r="J70" i="57"/>
  <c r="K70" i="57"/>
  <c r="L70" i="57"/>
  <c r="M70" i="57"/>
  <c r="G71" i="57"/>
  <c r="H71" i="57"/>
  <c r="I71" i="57"/>
  <c r="J71" i="57"/>
  <c r="K71" i="57"/>
  <c r="L71" i="57"/>
  <c r="M71" i="57"/>
  <c r="G72" i="57"/>
  <c r="H72" i="57"/>
  <c r="I72" i="57"/>
  <c r="J72" i="57"/>
  <c r="K72" i="57"/>
  <c r="L72" i="57"/>
  <c r="M72" i="57"/>
  <c r="G74" i="57"/>
  <c r="H74" i="57"/>
  <c r="I74" i="57"/>
  <c r="J74" i="57"/>
  <c r="K74" i="57"/>
  <c r="L74" i="57"/>
  <c r="M74" i="57"/>
  <c r="G77" i="57"/>
  <c r="H77" i="57"/>
  <c r="I77" i="57"/>
  <c r="J77" i="57"/>
  <c r="K77" i="57"/>
  <c r="L77" i="57"/>
  <c r="M77" i="57"/>
  <c r="G80" i="57"/>
  <c r="H80" i="57"/>
  <c r="I80" i="57"/>
  <c r="J80" i="57"/>
  <c r="K80" i="57"/>
  <c r="L80" i="57"/>
  <c r="M80" i="57"/>
  <c r="G81" i="57"/>
  <c r="H81" i="57"/>
  <c r="I81" i="57"/>
  <c r="J81" i="57"/>
  <c r="K81" i="57"/>
  <c r="L81" i="57"/>
  <c r="M81" i="57"/>
  <c r="G82" i="57"/>
  <c r="H82" i="57"/>
  <c r="I82" i="57"/>
  <c r="J82" i="57"/>
  <c r="K82" i="57"/>
  <c r="L82" i="57"/>
  <c r="M82" i="57"/>
  <c r="G83" i="57"/>
  <c r="H83" i="57"/>
  <c r="I83" i="57"/>
  <c r="J83" i="57"/>
  <c r="K83" i="57"/>
  <c r="L83" i="57"/>
  <c r="M83" i="57"/>
  <c r="G84" i="57"/>
  <c r="H84" i="57"/>
  <c r="I84" i="57"/>
  <c r="J84" i="57"/>
  <c r="K84" i="57"/>
  <c r="L84" i="57"/>
  <c r="M84" i="57"/>
  <c r="G85" i="57"/>
  <c r="H85" i="57"/>
  <c r="I85" i="57"/>
  <c r="J85" i="57"/>
  <c r="K85" i="57"/>
  <c r="L85" i="57"/>
  <c r="M85" i="57"/>
  <c r="G89" i="57"/>
  <c r="H89" i="57"/>
  <c r="I89" i="57"/>
  <c r="J89" i="57"/>
  <c r="K89" i="57"/>
  <c r="L89" i="57"/>
  <c r="M89" i="57"/>
  <c r="G90" i="57"/>
  <c r="H90" i="57"/>
  <c r="I90" i="57"/>
  <c r="J90" i="57"/>
  <c r="K90" i="57"/>
  <c r="L90" i="57"/>
  <c r="M90" i="57"/>
  <c r="G93" i="57"/>
  <c r="H93" i="57"/>
  <c r="I93" i="57"/>
  <c r="J93" i="57"/>
  <c r="K93" i="57"/>
  <c r="L93" i="57"/>
  <c r="M93" i="57"/>
  <c r="G94" i="57"/>
  <c r="H94" i="57"/>
  <c r="I94" i="57"/>
  <c r="J94" i="57"/>
  <c r="K94" i="57"/>
  <c r="L94" i="57"/>
  <c r="M94" i="57"/>
  <c r="G95" i="57"/>
  <c r="H95" i="57"/>
  <c r="I95" i="57"/>
  <c r="J95" i="57"/>
  <c r="K95" i="57"/>
  <c r="L95" i="57"/>
  <c r="M95" i="57"/>
  <c r="G97" i="57"/>
  <c r="H97" i="57"/>
  <c r="I97" i="57"/>
  <c r="J97" i="57"/>
  <c r="K97" i="57"/>
  <c r="L97" i="57"/>
  <c r="M97" i="57"/>
  <c r="G98" i="57"/>
  <c r="H98" i="57"/>
  <c r="I98" i="57"/>
  <c r="J98" i="57"/>
  <c r="K98" i="57"/>
  <c r="L98" i="57"/>
  <c r="M98" i="57"/>
  <c r="G105" i="57"/>
  <c r="H105" i="57"/>
  <c r="I105" i="57"/>
  <c r="J105" i="57"/>
  <c r="K105" i="57"/>
  <c r="L105" i="57"/>
  <c r="M105" i="57"/>
  <c r="G106" i="57"/>
  <c r="H106" i="57"/>
  <c r="I106" i="57"/>
  <c r="J106" i="57"/>
  <c r="K106" i="57"/>
  <c r="L106" i="57"/>
  <c r="M106" i="57"/>
  <c r="G107" i="57"/>
  <c r="H107" i="57"/>
  <c r="I107" i="57"/>
  <c r="J107" i="57"/>
  <c r="K107" i="57"/>
  <c r="L107" i="57"/>
  <c r="M107" i="57"/>
  <c r="G108" i="57"/>
  <c r="H108" i="57"/>
  <c r="I108" i="57"/>
  <c r="J108" i="57"/>
  <c r="K108" i="57"/>
  <c r="L108" i="57"/>
  <c r="M108" i="57"/>
  <c r="G109" i="57"/>
  <c r="H109" i="57"/>
  <c r="I109" i="57"/>
  <c r="J109" i="57"/>
  <c r="K109" i="57"/>
  <c r="L109" i="57"/>
  <c r="M109" i="57"/>
  <c r="G110" i="57"/>
  <c r="H110" i="57"/>
  <c r="I110" i="57"/>
  <c r="J110" i="57"/>
  <c r="K110" i="57"/>
  <c r="L110" i="57"/>
  <c r="M110" i="57"/>
  <c r="G111" i="57"/>
  <c r="H111" i="57"/>
  <c r="I111" i="57"/>
  <c r="J111" i="57"/>
  <c r="K111" i="57"/>
  <c r="L111" i="57"/>
  <c r="M111" i="57"/>
  <c r="G112" i="57"/>
  <c r="H112" i="57"/>
  <c r="I112" i="57"/>
  <c r="J112" i="57"/>
  <c r="K112" i="57"/>
  <c r="L112" i="57"/>
  <c r="M112" i="57"/>
  <c r="G113" i="57"/>
  <c r="H113" i="57"/>
  <c r="I113" i="57"/>
  <c r="J113" i="57"/>
  <c r="K113" i="57"/>
  <c r="L113" i="57"/>
  <c r="M113" i="57"/>
  <c r="G114" i="57"/>
  <c r="H114" i="57"/>
  <c r="I114" i="57"/>
  <c r="J114" i="57"/>
  <c r="K114" i="57"/>
  <c r="L114" i="57"/>
  <c r="M114" i="57"/>
  <c r="G115" i="57"/>
  <c r="H115" i="57"/>
  <c r="I115" i="57"/>
  <c r="J115" i="57"/>
  <c r="K115" i="57"/>
  <c r="L115" i="57"/>
  <c r="M115" i="57"/>
  <c r="G118" i="57"/>
  <c r="H118" i="57"/>
  <c r="I118" i="57"/>
  <c r="J118" i="57"/>
  <c r="K118" i="57"/>
  <c r="L118" i="57"/>
  <c r="M118" i="57"/>
  <c r="G119" i="57"/>
  <c r="H119" i="57"/>
  <c r="I119" i="57"/>
  <c r="J119" i="57"/>
  <c r="K119" i="57"/>
  <c r="L119" i="57"/>
  <c r="M119" i="57"/>
  <c r="G120" i="57"/>
  <c r="H120" i="57"/>
  <c r="I120" i="57"/>
  <c r="J120" i="57"/>
  <c r="K120" i="57"/>
  <c r="L120" i="57"/>
  <c r="M120" i="57"/>
  <c r="G121" i="57"/>
  <c r="H121" i="57"/>
  <c r="I121" i="57"/>
  <c r="J121" i="57"/>
  <c r="K121" i="57"/>
  <c r="L121" i="57"/>
  <c r="M121" i="57"/>
  <c r="G122" i="57"/>
  <c r="H122" i="57"/>
  <c r="I122" i="57"/>
  <c r="J122" i="57"/>
  <c r="K122" i="57"/>
  <c r="L122" i="57"/>
  <c r="M122" i="57"/>
  <c r="G125" i="57"/>
  <c r="H125" i="57"/>
  <c r="I125" i="57"/>
  <c r="J125" i="57"/>
  <c r="K125" i="57"/>
  <c r="L125" i="57"/>
  <c r="M125" i="57"/>
  <c r="G126" i="57"/>
  <c r="H126" i="57"/>
  <c r="I126" i="57"/>
  <c r="J126" i="57"/>
  <c r="K126" i="57"/>
  <c r="L126" i="57"/>
  <c r="M126" i="57"/>
  <c r="G127" i="57"/>
  <c r="H127" i="57"/>
  <c r="I127" i="57"/>
  <c r="J127" i="57"/>
  <c r="K127" i="57"/>
  <c r="L127" i="57"/>
  <c r="M127" i="57"/>
  <c r="G128" i="57"/>
  <c r="H128" i="57"/>
  <c r="I128" i="57"/>
  <c r="J128" i="57"/>
  <c r="K128" i="57"/>
  <c r="L128" i="57"/>
  <c r="M128" i="57"/>
  <c r="G129" i="57"/>
  <c r="H129" i="57"/>
  <c r="I129" i="57"/>
  <c r="J129" i="57"/>
  <c r="K129" i="57"/>
  <c r="L129" i="57"/>
  <c r="M129" i="57"/>
  <c r="G130" i="57"/>
  <c r="H130" i="57"/>
  <c r="I130" i="57"/>
  <c r="J130" i="57"/>
  <c r="K130" i="57"/>
  <c r="L130" i="57"/>
  <c r="M130" i="57"/>
  <c r="G131" i="57"/>
  <c r="H131" i="57"/>
  <c r="I131" i="57"/>
  <c r="J131" i="57"/>
  <c r="K131" i="57"/>
  <c r="L131" i="57"/>
  <c r="M131" i="57"/>
  <c r="G132" i="57"/>
  <c r="H132" i="57"/>
  <c r="I132" i="57"/>
  <c r="J132" i="57"/>
  <c r="K132" i="57"/>
  <c r="L132" i="57"/>
  <c r="M132" i="57"/>
  <c r="G133" i="57"/>
  <c r="H133" i="57"/>
  <c r="I133" i="57"/>
  <c r="J133" i="57"/>
  <c r="K133" i="57"/>
  <c r="L133" i="57"/>
  <c r="M133" i="57"/>
  <c r="G136" i="57"/>
  <c r="H136" i="57"/>
  <c r="I136" i="57"/>
  <c r="J136" i="57"/>
  <c r="K136" i="57"/>
  <c r="L136" i="57"/>
  <c r="M136" i="57"/>
  <c r="G137" i="57"/>
  <c r="H137" i="57"/>
  <c r="I137" i="57"/>
  <c r="J137" i="57"/>
  <c r="K137" i="57"/>
  <c r="L137" i="57"/>
  <c r="M137" i="57"/>
  <c r="G138" i="57"/>
  <c r="H138" i="57"/>
  <c r="I138" i="57"/>
  <c r="J138" i="57"/>
  <c r="K138" i="57"/>
  <c r="L138" i="57"/>
  <c r="M138" i="57"/>
  <c r="G139" i="57"/>
  <c r="H139" i="57"/>
  <c r="I139" i="57"/>
  <c r="J139" i="57"/>
  <c r="K139" i="57"/>
  <c r="L139" i="57"/>
  <c r="M139" i="57"/>
  <c r="G140" i="57"/>
  <c r="H140" i="57"/>
  <c r="I140" i="57"/>
  <c r="J140" i="57"/>
  <c r="K140" i="57"/>
  <c r="L140" i="57"/>
  <c r="M140" i="57"/>
  <c r="G141" i="57"/>
  <c r="H141" i="57"/>
  <c r="I141" i="57"/>
  <c r="J141" i="57"/>
  <c r="K141" i="57"/>
  <c r="L141" i="57"/>
  <c r="M141" i="57"/>
  <c r="G142" i="57"/>
  <c r="H142" i="57"/>
  <c r="I142" i="57"/>
  <c r="J142" i="57"/>
  <c r="K142" i="57"/>
  <c r="L142" i="57"/>
  <c r="M142" i="57"/>
  <c r="G143" i="57"/>
  <c r="H143" i="57"/>
  <c r="I143" i="57"/>
  <c r="J143" i="57"/>
  <c r="K143" i="57"/>
  <c r="L143" i="57"/>
  <c r="M143" i="57"/>
  <c r="G144" i="57"/>
  <c r="H144" i="57"/>
  <c r="I144" i="57"/>
  <c r="J144" i="57"/>
  <c r="K144" i="57"/>
  <c r="L144" i="57"/>
  <c r="M144" i="57"/>
  <c r="G145" i="57"/>
  <c r="H145" i="57"/>
  <c r="I145" i="57"/>
  <c r="J145" i="57"/>
  <c r="K145" i="57"/>
  <c r="L145" i="57"/>
  <c r="M145" i="57"/>
  <c r="G146" i="57"/>
  <c r="H146" i="57"/>
  <c r="I146" i="57"/>
  <c r="J146" i="57"/>
  <c r="K146" i="57"/>
  <c r="L146" i="57"/>
  <c r="M146" i="57"/>
  <c r="G147" i="57"/>
  <c r="H147" i="57"/>
  <c r="I147" i="57"/>
  <c r="J147" i="57"/>
  <c r="K147" i="57"/>
  <c r="L147" i="57"/>
  <c r="M147" i="57"/>
  <c r="G148" i="57"/>
  <c r="H148" i="57"/>
  <c r="I148" i="57"/>
  <c r="J148" i="57"/>
  <c r="K148" i="57"/>
  <c r="L148" i="57"/>
  <c r="M148" i="57"/>
  <c r="G149" i="57"/>
  <c r="H149" i="57"/>
  <c r="I149" i="57"/>
  <c r="J149" i="57"/>
  <c r="K149" i="57"/>
  <c r="L149" i="57"/>
  <c r="M149" i="57"/>
  <c r="G152" i="57"/>
  <c r="H152" i="57"/>
  <c r="I152" i="57"/>
  <c r="J152" i="57"/>
  <c r="K152" i="57"/>
  <c r="L152" i="57"/>
  <c r="M152" i="57"/>
  <c r="G155" i="57"/>
  <c r="H155" i="57"/>
  <c r="I155" i="57"/>
  <c r="J155" i="57"/>
  <c r="K155" i="57"/>
  <c r="L155" i="57"/>
  <c r="M155" i="57"/>
  <c r="G156" i="57"/>
  <c r="H156" i="57"/>
  <c r="I156" i="57"/>
  <c r="J156" i="57"/>
  <c r="K156" i="57"/>
  <c r="L156" i="57"/>
  <c r="M156" i="57"/>
  <c r="G157" i="57"/>
  <c r="H157" i="57"/>
  <c r="I157" i="57"/>
  <c r="J157" i="57"/>
  <c r="K157" i="57"/>
  <c r="L157" i="57"/>
  <c r="M157" i="57"/>
  <c r="G158" i="57"/>
  <c r="H158" i="57"/>
  <c r="I158" i="57"/>
  <c r="J158" i="57"/>
  <c r="K158" i="57"/>
  <c r="L158" i="57"/>
  <c r="M158" i="57"/>
  <c r="G159" i="57"/>
  <c r="H159" i="57"/>
  <c r="I159" i="57"/>
  <c r="J159" i="57"/>
  <c r="K159" i="57"/>
  <c r="L159" i="57"/>
  <c r="M159" i="57"/>
  <c r="G160" i="57"/>
  <c r="H160" i="57"/>
  <c r="I160" i="57"/>
  <c r="J160" i="57"/>
  <c r="K160" i="57"/>
  <c r="L160" i="57"/>
  <c r="M160" i="57"/>
  <c r="G163" i="57"/>
  <c r="H163" i="57"/>
  <c r="I163" i="57"/>
  <c r="J163" i="57"/>
  <c r="K163" i="57"/>
  <c r="L163" i="57"/>
  <c r="M163" i="57"/>
  <c r="G164" i="57"/>
  <c r="H164" i="57"/>
  <c r="I164" i="57"/>
  <c r="J164" i="57"/>
  <c r="K164" i="57"/>
  <c r="L164" i="57"/>
  <c r="M164" i="57"/>
  <c r="G165" i="57"/>
  <c r="H165" i="57"/>
  <c r="I165" i="57"/>
  <c r="J165" i="57"/>
  <c r="K165" i="57"/>
  <c r="L165" i="57"/>
  <c r="M165" i="57"/>
  <c r="G168" i="57"/>
  <c r="H168" i="57"/>
  <c r="I168" i="57"/>
  <c r="J168" i="57"/>
  <c r="K168" i="57"/>
  <c r="L168" i="57"/>
  <c r="M168" i="57"/>
  <c r="G169" i="57"/>
  <c r="H169" i="57"/>
  <c r="I169" i="57"/>
  <c r="J169" i="57"/>
  <c r="K169" i="57"/>
  <c r="L169" i="57"/>
  <c r="M169" i="57"/>
  <c r="G170" i="57"/>
  <c r="H170" i="57"/>
  <c r="I170" i="57"/>
  <c r="J170" i="57"/>
  <c r="K170" i="57"/>
  <c r="L170" i="57"/>
  <c r="M170" i="57"/>
  <c r="G171" i="57"/>
  <c r="H171" i="57"/>
  <c r="I171" i="57"/>
  <c r="J171" i="57"/>
  <c r="K171" i="57"/>
  <c r="L171" i="57"/>
  <c r="M171" i="57"/>
  <c r="G172" i="57"/>
  <c r="H172" i="57"/>
  <c r="I172" i="57"/>
  <c r="J172" i="57"/>
  <c r="K172" i="57"/>
  <c r="L172" i="57"/>
  <c r="M172" i="57"/>
  <c r="G173" i="57"/>
  <c r="H173" i="57"/>
  <c r="I173" i="57"/>
  <c r="J173" i="57"/>
  <c r="K173" i="57"/>
  <c r="L173" i="57"/>
  <c r="M173" i="57"/>
  <c r="G185" i="57"/>
  <c r="H185" i="57"/>
  <c r="I185" i="57"/>
  <c r="J185" i="57"/>
  <c r="K185" i="57"/>
  <c r="L185" i="57"/>
  <c r="M185" i="57"/>
  <c r="G186" i="57"/>
  <c r="H186" i="57"/>
  <c r="I186" i="57"/>
  <c r="J186" i="57"/>
  <c r="K186" i="57"/>
  <c r="L186" i="57"/>
  <c r="M186" i="57"/>
  <c r="G187" i="57"/>
  <c r="H187" i="57"/>
  <c r="I187" i="57"/>
  <c r="J187" i="57"/>
  <c r="K187" i="57"/>
  <c r="L187" i="57"/>
  <c r="M187" i="57"/>
  <c r="G188" i="57"/>
  <c r="H188" i="57"/>
  <c r="I188" i="57"/>
  <c r="J188" i="57"/>
  <c r="K188" i="57"/>
  <c r="L188" i="57"/>
  <c r="M188" i="57"/>
  <c r="G189" i="57"/>
  <c r="H189" i="57"/>
  <c r="I189" i="57"/>
  <c r="J189" i="57"/>
  <c r="K189" i="57"/>
  <c r="L189" i="57"/>
  <c r="M189" i="57"/>
  <c r="G190" i="57"/>
  <c r="H190" i="57"/>
  <c r="I190" i="57"/>
  <c r="J190" i="57"/>
  <c r="K190" i="57"/>
  <c r="L190" i="57"/>
  <c r="M190" i="57"/>
  <c r="G191" i="57"/>
  <c r="H191" i="57"/>
  <c r="I191" i="57"/>
  <c r="J191" i="57"/>
  <c r="K191" i="57"/>
  <c r="L191" i="57"/>
  <c r="M191" i="57"/>
  <c r="G192" i="57"/>
  <c r="H192" i="57"/>
  <c r="I192" i="57"/>
  <c r="J192" i="57"/>
  <c r="K192" i="57"/>
  <c r="L192" i="57"/>
  <c r="M192" i="57"/>
  <c r="G193" i="57"/>
  <c r="H193" i="57"/>
  <c r="I193" i="57"/>
  <c r="J193" i="57"/>
  <c r="K193" i="57"/>
  <c r="L193" i="57"/>
  <c r="M193" i="57"/>
  <c r="G194" i="57"/>
  <c r="H194" i="57"/>
  <c r="I194" i="57"/>
  <c r="J194" i="57"/>
  <c r="K194" i="57"/>
  <c r="L194" i="57"/>
  <c r="M194" i="57"/>
  <c r="G195" i="57"/>
  <c r="H195" i="57"/>
  <c r="I195" i="57"/>
  <c r="J195" i="57"/>
  <c r="K195" i="57"/>
  <c r="L195" i="57"/>
  <c r="M195" i="57"/>
  <c r="G199" i="57"/>
  <c r="H199" i="57"/>
  <c r="I199" i="57"/>
  <c r="J199" i="57"/>
  <c r="K199" i="57"/>
  <c r="L199" i="57"/>
  <c r="M199" i="57"/>
  <c r="G200" i="57"/>
  <c r="H200" i="57"/>
  <c r="I200" i="57"/>
  <c r="J200" i="57"/>
  <c r="K200" i="57"/>
  <c r="L200" i="57"/>
  <c r="M200" i="57"/>
  <c r="G201" i="57"/>
  <c r="H201" i="57"/>
  <c r="I201" i="57"/>
  <c r="J201" i="57"/>
  <c r="K201" i="57"/>
  <c r="L201" i="57"/>
  <c r="M201" i="57"/>
  <c r="G202" i="57"/>
  <c r="H202" i="57"/>
  <c r="I202" i="57"/>
  <c r="J202" i="57"/>
  <c r="K202" i="57"/>
  <c r="L202" i="57"/>
  <c r="M202" i="57"/>
  <c r="G205" i="57"/>
  <c r="H205" i="57"/>
  <c r="I205" i="57"/>
  <c r="J205" i="57"/>
  <c r="K205" i="57"/>
  <c r="L205" i="57"/>
  <c r="M205" i="57"/>
  <c r="G206" i="57"/>
  <c r="H206" i="57"/>
  <c r="I206" i="57"/>
  <c r="J206" i="57"/>
  <c r="K206" i="57"/>
  <c r="L206" i="57"/>
  <c r="M206" i="57"/>
  <c r="G207" i="57"/>
  <c r="H207" i="57"/>
  <c r="I207" i="57"/>
  <c r="J207" i="57"/>
  <c r="K207" i="57"/>
  <c r="L207" i="57"/>
  <c r="M207" i="57"/>
  <c r="G208" i="57"/>
  <c r="H208" i="57"/>
  <c r="I208" i="57"/>
  <c r="J208" i="57"/>
  <c r="K208" i="57"/>
  <c r="L208" i="57"/>
  <c r="M208" i="57"/>
  <c r="G209" i="57"/>
  <c r="H209" i="57"/>
  <c r="I209" i="57"/>
  <c r="J209" i="57"/>
  <c r="K209" i="57"/>
  <c r="L209" i="57"/>
  <c r="M209" i="57"/>
  <c r="G211" i="57"/>
  <c r="H211" i="57"/>
  <c r="I211" i="57"/>
  <c r="J211" i="57"/>
  <c r="K211" i="57"/>
  <c r="L211" i="57"/>
  <c r="M211" i="57"/>
  <c r="G213" i="57"/>
  <c r="H213" i="57"/>
  <c r="I213" i="57"/>
  <c r="J213" i="57"/>
  <c r="K213" i="57"/>
  <c r="L213" i="57"/>
  <c r="M213" i="57"/>
  <c r="G216" i="57"/>
  <c r="H216" i="57"/>
  <c r="I216" i="57"/>
  <c r="J216" i="57"/>
  <c r="K216" i="57"/>
  <c r="L216" i="57"/>
  <c r="M216" i="57"/>
  <c r="G217" i="57"/>
  <c r="H217" i="57"/>
  <c r="I217" i="57"/>
  <c r="J217" i="57"/>
  <c r="K217" i="57"/>
  <c r="L217" i="57"/>
  <c r="M217" i="57"/>
  <c r="G220" i="57"/>
  <c r="H220" i="57"/>
  <c r="I220" i="57"/>
  <c r="J220" i="57"/>
  <c r="K220" i="57"/>
  <c r="L220" i="57"/>
  <c r="M220" i="57"/>
  <c r="G221" i="57"/>
  <c r="H221" i="57"/>
  <c r="I221" i="57"/>
  <c r="J221" i="57"/>
  <c r="K221" i="57"/>
  <c r="L221" i="57"/>
  <c r="M221" i="57"/>
  <c r="G222" i="57"/>
  <c r="H222" i="57"/>
  <c r="I222" i="57"/>
  <c r="J222" i="57"/>
  <c r="K222" i="57"/>
  <c r="L222" i="57"/>
  <c r="M222" i="57"/>
  <c r="G224" i="57"/>
  <c r="H224" i="57"/>
  <c r="I224" i="57"/>
  <c r="J224" i="57"/>
  <c r="K224" i="57"/>
  <c r="L224" i="57"/>
  <c r="M224" i="57"/>
  <c r="G225" i="57"/>
  <c r="H225" i="57"/>
  <c r="I225" i="57"/>
  <c r="J225" i="57"/>
  <c r="K225" i="57"/>
  <c r="L225" i="57"/>
  <c r="M225" i="57"/>
  <c r="G226" i="57"/>
  <c r="H226" i="57"/>
  <c r="I226" i="57"/>
  <c r="J226" i="57"/>
  <c r="K226" i="57"/>
  <c r="L226" i="57"/>
  <c r="M226" i="57"/>
  <c r="G227" i="57"/>
  <c r="H227" i="57"/>
  <c r="I227" i="57"/>
  <c r="J227" i="57"/>
  <c r="K227" i="57"/>
  <c r="L227" i="57"/>
  <c r="M227" i="57"/>
  <c r="G229" i="57"/>
  <c r="H229" i="57"/>
  <c r="I229" i="57"/>
  <c r="J229" i="57"/>
  <c r="K229" i="57"/>
  <c r="L229" i="57"/>
  <c r="M229" i="57"/>
  <c r="G232" i="57"/>
  <c r="H232" i="57"/>
  <c r="I232" i="57"/>
  <c r="J232" i="57"/>
  <c r="K232" i="57"/>
  <c r="L232" i="57"/>
  <c r="M232" i="57"/>
  <c r="G235" i="57"/>
  <c r="H235" i="57"/>
  <c r="I235" i="57"/>
  <c r="J235" i="57"/>
  <c r="K235" i="57"/>
  <c r="L235" i="57"/>
  <c r="M235" i="57"/>
  <c r="G243" i="57"/>
  <c r="H243" i="57"/>
  <c r="I243" i="57"/>
  <c r="J243" i="57"/>
  <c r="K243" i="57"/>
  <c r="L243" i="57"/>
  <c r="M243" i="57"/>
  <c r="G244" i="57"/>
  <c r="H244" i="57"/>
  <c r="I244" i="57"/>
  <c r="J244" i="57"/>
  <c r="K244" i="57"/>
  <c r="L244" i="57"/>
  <c r="M244" i="57"/>
  <c r="G245" i="57"/>
  <c r="H245" i="57"/>
  <c r="I245" i="57"/>
  <c r="J245" i="57"/>
  <c r="K245" i="57"/>
  <c r="L245" i="57"/>
  <c r="M245" i="57"/>
  <c r="G246" i="57"/>
  <c r="H246" i="57"/>
  <c r="I246" i="57"/>
  <c r="J246" i="57"/>
  <c r="K246" i="57"/>
  <c r="L246" i="57"/>
  <c r="M246" i="57"/>
  <c r="G249" i="57"/>
  <c r="H249" i="57"/>
  <c r="I249" i="57"/>
  <c r="J249" i="57"/>
  <c r="K249" i="57"/>
  <c r="L249" i="57"/>
  <c r="M249" i="57"/>
  <c r="G250" i="57"/>
  <c r="H250" i="57"/>
  <c r="I250" i="57"/>
  <c r="J250" i="57"/>
  <c r="K250" i="57"/>
  <c r="L250" i="57"/>
  <c r="M250" i="57"/>
  <c r="G251" i="57"/>
  <c r="H251" i="57"/>
  <c r="I251" i="57"/>
  <c r="J251" i="57"/>
  <c r="K251" i="57"/>
  <c r="L251" i="57"/>
  <c r="M251" i="57"/>
  <c r="G252" i="57"/>
  <c r="H252" i="57"/>
  <c r="I252" i="57"/>
  <c r="J252" i="57"/>
  <c r="K252" i="57"/>
  <c r="L252" i="57"/>
  <c r="M252" i="57"/>
  <c r="G255" i="57"/>
  <c r="H255" i="57"/>
  <c r="I255" i="57"/>
  <c r="J255" i="57"/>
  <c r="K255" i="57"/>
  <c r="L255" i="57"/>
  <c r="M255" i="57"/>
  <c r="G256" i="57"/>
  <c r="H256" i="57"/>
  <c r="I256" i="57"/>
  <c r="J256" i="57"/>
  <c r="K256" i="57"/>
  <c r="L256" i="57"/>
  <c r="M256" i="57"/>
  <c r="G257" i="57"/>
  <c r="H257" i="57"/>
  <c r="I257" i="57"/>
  <c r="J257" i="57"/>
  <c r="K257" i="57"/>
  <c r="L257" i="57"/>
  <c r="M257" i="57"/>
  <c r="G258" i="57"/>
  <c r="H258" i="57"/>
  <c r="I258" i="57"/>
  <c r="J258" i="57"/>
  <c r="K258" i="57"/>
  <c r="L258" i="57"/>
  <c r="M258" i="57"/>
  <c r="G262" i="57"/>
  <c r="H262" i="57"/>
  <c r="I262" i="57"/>
  <c r="J262" i="57"/>
  <c r="K262" i="57"/>
  <c r="L262" i="57"/>
  <c r="M262" i="57"/>
  <c r="G263" i="57"/>
  <c r="H263" i="57"/>
  <c r="I263" i="57"/>
  <c r="J263" i="57"/>
  <c r="K263" i="57"/>
  <c r="L263" i="57"/>
  <c r="M263" i="57"/>
  <c r="G264" i="57"/>
  <c r="H264" i="57"/>
  <c r="I264" i="57"/>
  <c r="J264" i="57"/>
  <c r="K264" i="57"/>
  <c r="L264" i="57"/>
  <c r="M264" i="57"/>
  <c r="G265" i="57"/>
  <c r="H265" i="57"/>
  <c r="I265" i="57"/>
  <c r="J265" i="57"/>
  <c r="K265" i="57"/>
  <c r="L265" i="57"/>
  <c r="M265" i="57"/>
  <c r="G268" i="57"/>
  <c r="H268" i="57"/>
  <c r="I268" i="57"/>
  <c r="J268" i="57"/>
  <c r="K268" i="57"/>
  <c r="L268" i="57"/>
  <c r="M268" i="57"/>
  <c r="G269" i="57"/>
  <c r="H269" i="57"/>
  <c r="I269" i="57"/>
  <c r="J269" i="57"/>
  <c r="K269" i="57"/>
  <c r="L269" i="57"/>
  <c r="M269" i="57"/>
  <c r="G270" i="57"/>
  <c r="H270" i="57"/>
  <c r="I270" i="57"/>
  <c r="J270" i="57"/>
  <c r="K270" i="57"/>
  <c r="L270" i="57"/>
  <c r="M270" i="57"/>
  <c r="G271" i="57"/>
  <c r="H271" i="57"/>
  <c r="I271" i="57"/>
  <c r="J271" i="57"/>
  <c r="K271" i="57"/>
  <c r="L271" i="57"/>
  <c r="M271" i="57"/>
  <c r="G274" i="57"/>
  <c r="H274" i="57"/>
  <c r="I274" i="57"/>
  <c r="J274" i="57"/>
  <c r="K274" i="57"/>
  <c r="L274" i="57"/>
  <c r="M274" i="57"/>
  <c r="G275" i="57"/>
  <c r="H275" i="57"/>
  <c r="I275" i="57"/>
  <c r="J275" i="57"/>
  <c r="K275" i="57"/>
  <c r="L275" i="57"/>
  <c r="M275" i="57"/>
  <c r="G276" i="57"/>
  <c r="H276" i="57"/>
  <c r="I276" i="57"/>
  <c r="J276" i="57"/>
  <c r="K276" i="57"/>
  <c r="L276" i="57"/>
  <c r="M276" i="57"/>
  <c r="G277" i="57"/>
  <c r="H277" i="57"/>
  <c r="I277" i="57"/>
  <c r="J277" i="57"/>
  <c r="K277" i="57"/>
  <c r="L277" i="57"/>
  <c r="M277" i="57"/>
  <c r="G281" i="57"/>
  <c r="H281" i="57"/>
  <c r="I281" i="57"/>
  <c r="J281" i="57"/>
  <c r="K281" i="57"/>
  <c r="L281" i="57"/>
  <c r="M281" i="57"/>
  <c r="G282" i="57"/>
  <c r="H282" i="57"/>
  <c r="I282" i="57"/>
  <c r="J282" i="57"/>
  <c r="K282" i="57"/>
  <c r="L282" i="57"/>
  <c r="M282" i="57"/>
  <c r="G283" i="57"/>
  <c r="H283" i="57"/>
  <c r="I283" i="57"/>
  <c r="J283" i="57"/>
  <c r="K283" i="57"/>
  <c r="L283" i="57"/>
  <c r="M283" i="57"/>
  <c r="G284" i="57"/>
  <c r="H284" i="57"/>
  <c r="I284" i="57"/>
  <c r="J284" i="57"/>
  <c r="K284" i="57"/>
  <c r="L284" i="57"/>
  <c r="M284" i="57"/>
  <c r="G287" i="57"/>
  <c r="H287" i="57"/>
  <c r="I287" i="57"/>
  <c r="J287" i="57"/>
  <c r="K287" i="57"/>
  <c r="L287" i="57"/>
  <c r="M287" i="57"/>
  <c r="G288" i="57"/>
  <c r="H288" i="57"/>
  <c r="I288" i="57"/>
  <c r="J288" i="57"/>
  <c r="K288" i="57"/>
  <c r="L288" i="57"/>
  <c r="M288" i="57"/>
  <c r="G289" i="57"/>
  <c r="H289" i="57"/>
  <c r="I289" i="57"/>
  <c r="J289" i="57"/>
  <c r="K289" i="57"/>
  <c r="L289" i="57"/>
  <c r="M289" i="57"/>
  <c r="G290" i="57"/>
  <c r="H290" i="57"/>
  <c r="I290" i="57"/>
  <c r="J290" i="57"/>
  <c r="K290" i="57"/>
  <c r="L290" i="57"/>
  <c r="M290" i="57"/>
  <c r="G293" i="57"/>
  <c r="H293" i="57"/>
  <c r="I293" i="57"/>
  <c r="J293" i="57"/>
  <c r="K293" i="57"/>
  <c r="L293" i="57"/>
  <c r="M293" i="57"/>
  <c r="G294" i="57"/>
  <c r="H294" i="57"/>
  <c r="I294" i="57"/>
  <c r="J294" i="57"/>
  <c r="K294" i="57"/>
  <c r="L294" i="57"/>
  <c r="M294" i="57"/>
  <c r="G295" i="57"/>
  <c r="H295" i="57"/>
  <c r="I295" i="57"/>
  <c r="J295" i="57"/>
  <c r="K295" i="57"/>
  <c r="L295" i="57"/>
  <c r="M295" i="57"/>
  <c r="G296" i="57"/>
  <c r="H296" i="57"/>
  <c r="I296" i="57"/>
  <c r="J296" i="57"/>
  <c r="K296" i="57"/>
  <c r="L296" i="57"/>
  <c r="M296" i="57"/>
  <c r="G300" i="57"/>
  <c r="H300" i="57"/>
  <c r="I300" i="57"/>
  <c r="J300" i="57"/>
  <c r="K300" i="57"/>
  <c r="L300" i="57"/>
  <c r="M300" i="57"/>
  <c r="G301" i="57"/>
  <c r="H301" i="57"/>
  <c r="I301" i="57"/>
  <c r="J301" i="57"/>
  <c r="K301" i="57"/>
  <c r="L301" i="57"/>
  <c r="M301" i="57"/>
  <c r="G302" i="57"/>
  <c r="H302" i="57"/>
  <c r="I302" i="57"/>
  <c r="J302" i="57"/>
  <c r="K302" i="57"/>
  <c r="L302" i="57"/>
  <c r="M302" i="57"/>
  <c r="G303" i="57"/>
  <c r="H303" i="57"/>
  <c r="I303" i="57"/>
  <c r="J303" i="57"/>
  <c r="K303" i="57"/>
  <c r="L303" i="57"/>
  <c r="M303" i="57"/>
  <c r="G306" i="57"/>
  <c r="H306" i="57"/>
  <c r="I306" i="57"/>
  <c r="J306" i="57"/>
  <c r="K306" i="57"/>
  <c r="L306" i="57"/>
  <c r="M306" i="57"/>
  <c r="G307" i="57"/>
  <c r="H307" i="57"/>
  <c r="I307" i="57"/>
  <c r="J307" i="57"/>
  <c r="K307" i="57"/>
  <c r="L307" i="57"/>
  <c r="M307" i="57"/>
  <c r="G308" i="57"/>
  <c r="H308" i="57"/>
  <c r="I308" i="57"/>
  <c r="J308" i="57"/>
  <c r="K308" i="57"/>
  <c r="L308" i="57"/>
  <c r="M308" i="57"/>
  <c r="G309" i="57"/>
  <c r="H309" i="57"/>
  <c r="I309" i="57"/>
  <c r="J309" i="57"/>
  <c r="K309" i="57"/>
  <c r="L309" i="57"/>
  <c r="M309" i="57"/>
  <c r="G312" i="57"/>
  <c r="H312" i="57"/>
  <c r="I312" i="57"/>
  <c r="J312" i="57"/>
  <c r="K312" i="57"/>
  <c r="L312" i="57"/>
  <c r="M312" i="57"/>
  <c r="G313" i="57"/>
  <c r="H313" i="57"/>
  <c r="I313" i="57"/>
  <c r="J313" i="57"/>
  <c r="K313" i="57"/>
  <c r="L313" i="57"/>
  <c r="M313" i="57"/>
  <c r="G314" i="57"/>
  <c r="H314" i="57"/>
  <c r="I314" i="57"/>
  <c r="J314" i="57"/>
  <c r="K314" i="57"/>
  <c r="L314" i="57"/>
  <c r="M314" i="57"/>
  <c r="G315" i="57"/>
  <c r="H315" i="57"/>
  <c r="I315" i="57"/>
  <c r="J315" i="57"/>
  <c r="K315" i="57"/>
  <c r="L315" i="57"/>
  <c r="M315" i="57"/>
  <c r="G319" i="57"/>
  <c r="H319" i="57"/>
  <c r="I319" i="57"/>
  <c r="J319" i="57"/>
  <c r="K319" i="57"/>
  <c r="L319" i="57"/>
  <c r="M319" i="57"/>
  <c r="G320" i="57"/>
  <c r="H320" i="57"/>
  <c r="I320" i="57"/>
  <c r="J320" i="57"/>
  <c r="K320" i="57"/>
  <c r="L320" i="57"/>
  <c r="M320" i="57"/>
  <c r="G321" i="57"/>
  <c r="H321" i="57"/>
  <c r="I321" i="57"/>
  <c r="J321" i="57"/>
  <c r="K321" i="57"/>
  <c r="L321" i="57"/>
  <c r="M321" i="57"/>
  <c r="G322" i="57"/>
  <c r="H322" i="57"/>
  <c r="I322" i="57"/>
  <c r="J322" i="57"/>
  <c r="K322" i="57"/>
  <c r="L322" i="57"/>
  <c r="M322" i="57"/>
  <c r="G325" i="57"/>
  <c r="H325" i="57"/>
  <c r="I325" i="57"/>
  <c r="J325" i="57"/>
  <c r="K325" i="57"/>
  <c r="L325" i="57"/>
  <c r="M325" i="57"/>
  <c r="G326" i="57"/>
  <c r="H326" i="57"/>
  <c r="I326" i="57"/>
  <c r="J326" i="57"/>
  <c r="K326" i="57"/>
  <c r="L326" i="57"/>
  <c r="M326" i="57"/>
  <c r="G327" i="57"/>
  <c r="H327" i="57"/>
  <c r="I327" i="57"/>
  <c r="J327" i="57"/>
  <c r="K327" i="57"/>
  <c r="L327" i="57"/>
  <c r="M327" i="57"/>
  <c r="G328" i="57"/>
  <c r="H328" i="57"/>
  <c r="I328" i="57"/>
  <c r="J328" i="57"/>
  <c r="K328" i="57"/>
  <c r="L328" i="57"/>
  <c r="M328" i="57"/>
  <c r="G331" i="57"/>
  <c r="H331" i="57"/>
  <c r="I331" i="57"/>
  <c r="J331" i="57"/>
  <c r="K331" i="57"/>
  <c r="L331" i="57"/>
  <c r="M331" i="57"/>
  <c r="G332" i="57"/>
  <c r="H332" i="57"/>
  <c r="I332" i="57"/>
  <c r="J332" i="57"/>
  <c r="K332" i="57"/>
  <c r="L332" i="57"/>
  <c r="M332" i="57"/>
  <c r="G333" i="57"/>
  <c r="H333" i="57"/>
  <c r="I333" i="57"/>
  <c r="J333" i="57"/>
  <c r="K333" i="57"/>
  <c r="L333" i="57"/>
  <c r="M333" i="57"/>
  <c r="G334" i="57"/>
  <c r="H334" i="57"/>
  <c r="I334" i="57"/>
  <c r="J334" i="57"/>
  <c r="K334" i="57"/>
  <c r="L334" i="57"/>
  <c r="M334" i="57"/>
  <c r="G337" i="57"/>
  <c r="H337" i="57"/>
  <c r="I337" i="57"/>
  <c r="J337" i="57"/>
  <c r="K337" i="57"/>
  <c r="L337" i="57"/>
  <c r="M337" i="57"/>
  <c r="G338" i="57"/>
  <c r="H338" i="57"/>
  <c r="I338" i="57"/>
  <c r="J338" i="57"/>
  <c r="K338" i="57"/>
  <c r="L338" i="57"/>
  <c r="M338" i="57"/>
  <c r="G339" i="57"/>
  <c r="H339" i="57"/>
  <c r="I339" i="57"/>
  <c r="J339" i="57"/>
  <c r="K339" i="57"/>
  <c r="L339" i="57"/>
  <c r="M339" i="57"/>
  <c r="G340" i="57"/>
  <c r="H340" i="57"/>
  <c r="I340" i="57"/>
  <c r="J340" i="57"/>
  <c r="K340" i="57"/>
  <c r="L340" i="57"/>
  <c r="M340" i="57"/>
  <c r="G344" i="57"/>
  <c r="H344" i="57"/>
  <c r="I344" i="57"/>
  <c r="J344" i="57"/>
  <c r="K344" i="57"/>
  <c r="L344" i="57"/>
  <c r="M344" i="57"/>
  <c r="G345" i="57"/>
  <c r="H345" i="57"/>
  <c r="I345" i="57"/>
  <c r="J345" i="57"/>
  <c r="K345" i="57"/>
  <c r="L345" i="57"/>
  <c r="M345" i="57"/>
  <c r="G346" i="57"/>
  <c r="H346" i="57"/>
  <c r="I346" i="57"/>
  <c r="J346" i="57"/>
  <c r="K346" i="57"/>
  <c r="L346" i="57"/>
  <c r="M346" i="57"/>
  <c r="G347" i="57"/>
  <c r="H347" i="57"/>
  <c r="I347" i="57"/>
  <c r="J347" i="57"/>
  <c r="K347" i="57"/>
  <c r="L347" i="57"/>
  <c r="M347" i="57"/>
  <c r="G350" i="57"/>
  <c r="H350" i="57"/>
  <c r="I350" i="57"/>
  <c r="J350" i="57"/>
  <c r="K350" i="57"/>
  <c r="L350" i="57"/>
  <c r="M350" i="57"/>
  <c r="G351" i="57"/>
  <c r="H351" i="57"/>
  <c r="I351" i="57"/>
  <c r="J351" i="57"/>
  <c r="K351" i="57"/>
  <c r="L351" i="57"/>
  <c r="M351" i="57"/>
  <c r="G352" i="57"/>
  <c r="H352" i="57"/>
  <c r="I352" i="57"/>
  <c r="J352" i="57"/>
  <c r="K352" i="57"/>
  <c r="L352" i="57"/>
  <c r="M352" i="57"/>
  <c r="G353" i="57"/>
  <c r="H353" i="57"/>
  <c r="I353" i="57"/>
  <c r="J353" i="57"/>
  <c r="K353" i="57"/>
  <c r="L353" i="57"/>
  <c r="M353" i="57"/>
  <c r="G380" i="57"/>
  <c r="H380" i="57"/>
  <c r="I380" i="57"/>
  <c r="J380" i="57"/>
  <c r="K380" i="57"/>
  <c r="L380" i="57"/>
  <c r="M380" i="57"/>
  <c r="G381" i="57"/>
  <c r="H381" i="57"/>
  <c r="I381" i="57"/>
  <c r="J381" i="57"/>
  <c r="K381" i="57"/>
  <c r="L381" i="57"/>
  <c r="M381" i="57"/>
  <c r="G382" i="57"/>
  <c r="H382" i="57"/>
  <c r="I382" i="57"/>
  <c r="J382" i="57"/>
  <c r="K382" i="57"/>
  <c r="L382" i="57"/>
  <c r="M382" i="57"/>
  <c r="G383" i="57"/>
  <c r="H383" i="57"/>
  <c r="I383" i="57"/>
  <c r="J383" i="57"/>
  <c r="K383" i="57"/>
  <c r="L383" i="57"/>
  <c r="M383" i="57"/>
  <c r="G386" i="57"/>
  <c r="H386" i="57"/>
  <c r="I386" i="57"/>
  <c r="J386" i="57"/>
  <c r="K386" i="57"/>
  <c r="L386" i="57"/>
  <c r="M386" i="57"/>
  <c r="G387" i="57"/>
  <c r="H387" i="57"/>
  <c r="I387" i="57"/>
  <c r="J387" i="57"/>
  <c r="K387" i="57"/>
  <c r="L387" i="57"/>
  <c r="M387" i="57"/>
  <c r="G388" i="57"/>
  <c r="H388" i="57"/>
  <c r="I388" i="57"/>
  <c r="J388" i="57"/>
  <c r="K388" i="57"/>
  <c r="L388" i="57"/>
  <c r="M388" i="57"/>
  <c r="G389" i="57"/>
  <c r="H389" i="57"/>
  <c r="I389" i="57"/>
  <c r="J389" i="57"/>
  <c r="K389" i="57"/>
  <c r="L389" i="57"/>
  <c r="M389" i="57"/>
  <c r="G393" i="57"/>
  <c r="H393" i="57"/>
  <c r="I393" i="57"/>
  <c r="J393" i="57"/>
  <c r="K393" i="57"/>
  <c r="L393" i="57"/>
  <c r="M393" i="57"/>
  <c r="G394" i="57"/>
  <c r="H394" i="57"/>
  <c r="I394" i="57"/>
  <c r="J394" i="57"/>
  <c r="K394" i="57"/>
  <c r="L394" i="57"/>
  <c r="M394" i="57"/>
  <c r="G395" i="57"/>
  <c r="H395" i="57"/>
  <c r="I395" i="57"/>
  <c r="J395" i="57"/>
  <c r="K395" i="57"/>
  <c r="L395" i="57"/>
  <c r="M395" i="57"/>
  <c r="G396" i="57"/>
  <c r="H396" i="57"/>
  <c r="I396" i="57"/>
  <c r="J396" i="57"/>
  <c r="K396" i="57"/>
  <c r="L396" i="57"/>
  <c r="M396" i="57"/>
  <c r="G414" i="57"/>
  <c r="H414" i="57"/>
  <c r="I414" i="57"/>
  <c r="J414" i="57"/>
  <c r="K414" i="57"/>
  <c r="L414" i="57"/>
  <c r="M414" i="57"/>
  <c r="G415" i="57"/>
  <c r="H415" i="57"/>
  <c r="I415" i="57"/>
  <c r="J415" i="57"/>
  <c r="K415" i="57"/>
  <c r="L415" i="57"/>
  <c r="M415" i="57"/>
  <c r="G416" i="57"/>
  <c r="H416" i="57"/>
  <c r="I416" i="57"/>
  <c r="J416" i="57"/>
  <c r="K416" i="57"/>
  <c r="L416" i="57"/>
  <c r="M416" i="57"/>
  <c r="G417" i="57"/>
  <c r="H417" i="57"/>
  <c r="I417" i="57"/>
  <c r="J417" i="57"/>
  <c r="K417" i="57"/>
  <c r="L417" i="57"/>
  <c r="M417" i="57"/>
  <c r="G421" i="57"/>
  <c r="H421" i="57"/>
  <c r="I421" i="57"/>
  <c r="J421" i="57"/>
  <c r="K421" i="57"/>
  <c r="L421" i="57"/>
  <c r="M421" i="57"/>
  <c r="G422" i="57"/>
  <c r="H422" i="57"/>
  <c r="I422" i="57"/>
  <c r="J422" i="57"/>
  <c r="K422" i="57"/>
  <c r="L422" i="57"/>
  <c r="M422" i="57"/>
  <c r="G423" i="57"/>
  <c r="H423" i="57"/>
  <c r="I423" i="57"/>
  <c r="J423" i="57"/>
  <c r="K423" i="57"/>
  <c r="L423" i="57"/>
  <c r="M423" i="57"/>
  <c r="G424" i="57"/>
  <c r="H424" i="57"/>
  <c r="I424" i="57"/>
  <c r="J424" i="57"/>
  <c r="K424" i="57"/>
  <c r="L424" i="57"/>
  <c r="M424" i="57"/>
  <c r="G427" i="57"/>
  <c r="H427" i="57"/>
  <c r="I427" i="57"/>
  <c r="J427" i="57"/>
  <c r="K427" i="57"/>
  <c r="L427" i="57"/>
  <c r="M427" i="57"/>
  <c r="G428" i="57"/>
  <c r="H428" i="57"/>
  <c r="I428" i="57"/>
  <c r="J428" i="57"/>
  <c r="K428" i="57"/>
  <c r="L428" i="57"/>
  <c r="M428" i="57"/>
  <c r="G429" i="57"/>
  <c r="H429" i="57"/>
  <c r="I429" i="57"/>
  <c r="J429" i="57"/>
  <c r="K429" i="57"/>
  <c r="L429" i="57"/>
  <c r="M429" i="57"/>
  <c r="G430" i="57"/>
  <c r="H430" i="57"/>
  <c r="I430" i="57"/>
  <c r="J430" i="57"/>
  <c r="K430" i="57"/>
  <c r="L430" i="57"/>
  <c r="M430" i="57"/>
  <c r="G439" i="57"/>
  <c r="H439" i="57"/>
  <c r="I439" i="57"/>
  <c r="J439" i="57"/>
  <c r="K439" i="57"/>
  <c r="L439" i="57"/>
  <c r="M439" i="57"/>
  <c r="G440" i="57"/>
  <c r="H440" i="57"/>
  <c r="I440" i="57"/>
  <c r="J440" i="57"/>
  <c r="K440" i="57"/>
  <c r="L440" i="57"/>
  <c r="M440" i="57"/>
  <c r="G441" i="57"/>
  <c r="H441" i="57"/>
  <c r="I441" i="57"/>
  <c r="J441" i="57"/>
  <c r="K441" i="57"/>
  <c r="L441" i="57"/>
  <c r="M441" i="57"/>
  <c r="G442" i="57"/>
  <c r="H442" i="57"/>
  <c r="I442" i="57"/>
  <c r="J442" i="57"/>
  <c r="K442" i="57"/>
  <c r="L442" i="57"/>
  <c r="M442" i="57"/>
  <c r="G445" i="57"/>
  <c r="H445" i="57"/>
  <c r="I445" i="57"/>
  <c r="J445" i="57"/>
  <c r="K445" i="57"/>
  <c r="L445" i="57"/>
  <c r="M445" i="57"/>
  <c r="G446" i="57"/>
  <c r="H446" i="57"/>
  <c r="I446" i="57"/>
  <c r="J446" i="57"/>
  <c r="K446" i="57"/>
  <c r="L446" i="57"/>
  <c r="M446" i="57"/>
  <c r="G447" i="57"/>
  <c r="H447" i="57"/>
  <c r="I447" i="57"/>
  <c r="J447" i="57"/>
  <c r="K447" i="57"/>
  <c r="L447" i="57"/>
  <c r="M447" i="57"/>
  <c r="G448" i="57"/>
  <c r="H448" i="57"/>
  <c r="I448" i="57"/>
  <c r="J448" i="57"/>
  <c r="K448" i="57"/>
  <c r="L448" i="57"/>
  <c r="M448" i="57"/>
  <c r="G452" i="57"/>
  <c r="H452" i="57"/>
  <c r="I452" i="57"/>
  <c r="J452" i="57"/>
  <c r="K452" i="57"/>
  <c r="L452" i="57"/>
  <c r="M452" i="57"/>
  <c r="G453" i="57"/>
  <c r="H453" i="57"/>
  <c r="I453" i="57"/>
  <c r="J453" i="57"/>
  <c r="K453" i="57"/>
  <c r="L453" i="57"/>
  <c r="M453" i="57"/>
  <c r="G454" i="57"/>
  <c r="H454" i="57"/>
  <c r="I454" i="57"/>
  <c r="J454" i="57"/>
  <c r="K454" i="57"/>
  <c r="L454" i="57"/>
  <c r="M454" i="57"/>
  <c r="G457" i="57"/>
  <c r="H457" i="57"/>
  <c r="I457" i="57"/>
  <c r="J457" i="57"/>
  <c r="K457" i="57"/>
  <c r="L457" i="57"/>
  <c r="M457" i="57"/>
  <c r="G458" i="57"/>
  <c r="H458" i="57"/>
  <c r="I458" i="57"/>
  <c r="J458" i="57"/>
  <c r="K458" i="57"/>
  <c r="L458" i="57"/>
  <c r="M458" i="57"/>
  <c r="G459" i="57"/>
  <c r="H459" i="57"/>
  <c r="I459" i="57"/>
  <c r="J459" i="57"/>
  <c r="K459" i="57"/>
  <c r="L459" i="57"/>
  <c r="M459" i="57"/>
  <c r="G462" i="57"/>
  <c r="H462" i="57"/>
  <c r="I462" i="57"/>
  <c r="J462" i="57"/>
  <c r="K462" i="57"/>
  <c r="L462" i="57"/>
  <c r="M462" i="57"/>
  <c r="G463" i="57"/>
  <c r="H463" i="57"/>
  <c r="I463" i="57"/>
  <c r="J463" i="57"/>
  <c r="K463" i="57"/>
  <c r="L463" i="57"/>
  <c r="M463" i="57"/>
  <c r="G464" i="57"/>
  <c r="H464" i="57"/>
  <c r="I464" i="57"/>
  <c r="J464" i="57"/>
  <c r="K464" i="57"/>
  <c r="L464" i="57"/>
  <c r="M464" i="57"/>
  <c r="G465" i="57"/>
  <c r="H465" i="57"/>
  <c r="I465" i="57"/>
  <c r="J465" i="57"/>
  <c r="K465" i="57"/>
  <c r="L465" i="57"/>
  <c r="M465" i="57"/>
  <c r="G468" i="57"/>
  <c r="H468" i="57"/>
  <c r="I468" i="57"/>
  <c r="J468" i="57"/>
  <c r="K468" i="57"/>
  <c r="L468" i="57"/>
  <c r="M468" i="57"/>
  <c r="G469" i="57"/>
  <c r="H469" i="57"/>
  <c r="I469" i="57"/>
  <c r="J469" i="57"/>
  <c r="K469" i="57"/>
  <c r="L469" i="57"/>
  <c r="M469" i="57"/>
  <c r="G471" i="57"/>
  <c r="H471" i="57"/>
  <c r="I471" i="57"/>
  <c r="J471" i="57"/>
  <c r="K471" i="57"/>
  <c r="L471" i="57"/>
  <c r="M471" i="57"/>
  <c r="G472" i="57"/>
  <c r="H472" i="57"/>
  <c r="I472" i="57"/>
  <c r="J472" i="57"/>
  <c r="K472" i="57"/>
  <c r="L472" i="57"/>
  <c r="M472" i="57"/>
  <c r="G478" i="57"/>
  <c r="H478" i="57"/>
  <c r="I478" i="57"/>
  <c r="J478" i="57"/>
  <c r="K478" i="57"/>
  <c r="L478" i="57"/>
  <c r="M478" i="57"/>
  <c r="G479" i="57"/>
  <c r="H479" i="57"/>
  <c r="I479" i="57"/>
  <c r="J479" i="57"/>
  <c r="K479" i="57"/>
  <c r="L479" i="57"/>
  <c r="M479" i="57"/>
  <c r="G480" i="57"/>
  <c r="H480" i="57"/>
  <c r="I480" i="57"/>
  <c r="J480" i="57"/>
  <c r="K480" i="57"/>
  <c r="L480" i="57"/>
  <c r="M480" i="57"/>
  <c r="G481" i="57"/>
  <c r="H481" i="57"/>
  <c r="I481" i="57"/>
  <c r="J481" i="57"/>
  <c r="K481" i="57"/>
  <c r="L481" i="57"/>
  <c r="M481" i="57"/>
  <c r="G482" i="57"/>
  <c r="H482" i="57"/>
  <c r="I482" i="57"/>
  <c r="J482" i="57"/>
  <c r="K482" i="57"/>
  <c r="L482" i="57"/>
  <c r="M482" i="57"/>
  <c r="G483" i="57"/>
  <c r="H483" i="57"/>
  <c r="I483" i="57"/>
  <c r="J483" i="57"/>
  <c r="K483" i="57"/>
  <c r="L483" i="57"/>
  <c r="M483" i="57"/>
  <c r="G484" i="57"/>
  <c r="H484" i="57"/>
  <c r="I484" i="57"/>
  <c r="J484" i="57"/>
  <c r="K484" i="57"/>
  <c r="L484" i="57"/>
  <c r="M484" i="57"/>
  <c r="G485" i="57"/>
  <c r="H485" i="57"/>
  <c r="I485" i="57"/>
  <c r="J485" i="57"/>
  <c r="K485" i="57"/>
  <c r="L485" i="57"/>
  <c r="M485" i="57"/>
  <c r="G486" i="57"/>
  <c r="H486" i="57"/>
  <c r="I486" i="57"/>
  <c r="J486" i="57"/>
  <c r="K486" i="57"/>
  <c r="L486" i="57"/>
  <c r="M486" i="57"/>
  <c r="G487" i="57"/>
  <c r="H487" i="57"/>
  <c r="I487" i="57"/>
  <c r="J487" i="57"/>
  <c r="K487" i="57"/>
  <c r="L487" i="57"/>
  <c r="M487" i="57"/>
  <c r="G488" i="57"/>
  <c r="H488" i="57"/>
  <c r="I488" i="57"/>
  <c r="J488" i="57"/>
  <c r="K488" i="57"/>
  <c r="L488" i="57"/>
  <c r="M488" i="57"/>
  <c r="G492" i="57"/>
  <c r="H492" i="57"/>
  <c r="I492" i="57"/>
  <c r="J492" i="57"/>
  <c r="K492" i="57"/>
  <c r="L492" i="57"/>
  <c r="M492" i="57"/>
  <c r="G493" i="57"/>
  <c r="H493" i="57"/>
  <c r="I493" i="57"/>
  <c r="J493" i="57"/>
  <c r="K493" i="57"/>
  <c r="L493" i="57"/>
  <c r="M493" i="57"/>
  <c r="G494" i="57"/>
  <c r="H494" i="57"/>
  <c r="I494" i="57"/>
  <c r="J494" i="57"/>
  <c r="K494" i="57"/>
  <c r="L494" i="57"/>
  <c r="M494" i="57"/>
  <c r="G495" i="57"/>
  <c r="H495" i="57"/>
  <c r="I495" i="57"/>
  <c r="J495" i="57"/>
  <c r="K495" i="57"/>
  <c r="L495" i="57"/>
  <c r="M495" i="57"/>
  <c r="G498" i="57"/>
  <c r="H498" i="57"/>
  <c r="I498" i="57"/>
  <c r="J498" i="57"/>
  <c r="K498" i="57"/>
  <c r="L498" i="57"/>
  <c r="M498" i="57"/>
  <c r="G499" i="57"/>
  <c r="H499" i="57"/>
  <c r="I499" i="57"/>
  <c r="J499" i="57"/>
  <c r="K499" i="57"/>
  <c r="L499" i="57"/>
  <c r="M499" i="57"/>
  <c r="G500" i="57"/>
  <c r="H500" i="57"/>
  <c r="I500" i="57"/>
  <c r="J500" i="57"/>
  <c r="K500" i="57"/>
  <c r="L500" i="57"/>
  <c r="M500" i="57"/>
  <c r="G501" i="57"/>
  <c r="H501" i="57"/>
  <c r="I501" i="57"/>
  <c r="J501" i="57"/>
  <c r="K501" i="57"/>
  <c r="L501" i="57"/>
  <c r="M501" i="57"/>
  <c r="G502" i="57"/>
  <c r="H502" i="57"/>
  <c r="I502" i="57"/>
  <c r="J502" i="57"/>
  <c r="K502" i="57"/>
  <c r="L502" i="57"/>
  <c r="M502" i="57"/>
  <c r="G503" i="57"/>
  <c r="H503" i="57"/>
  <c r="I503" i="57"/>
  <c r="J503" i="57"/>
  <c r="K503" i="57"/>
  <c r="L503" i="57"/>
  <c r="M503" i="57"/>
  <c r="G504" i="57"/>
  <c r="H504" i="57"/>
  <c r="I504" i="57"/>
  <c r="J504" i="57"/>
  <c r="K504" i="57"/>
  <c r="L504" i="57"/>
  <c r="M504" i="57"/>
  <c r="G505" i="57"/>
  <c r="H505" i="57"/>
  <c r="I505" i="57"/>
  <c r="J505" i="57"/>
  <c r="K505" i="57"/>
  <c r="L505" i="57"/>
  <c r="M505" i="57"/>
  <c r="G506" i="57"/>
  <c r="H506" i="57"/>
  <c r="I506" i="57"/>
  <c r="J506" i="57"/>
  <c r="K506" i="57"/>
  <c r="L506" i="57"/>
  <c r="M506" i="57"/>
  <c r="G509" i="57"/>
  <c r="H509" i="57"/>
  <c r="I509" i="57"/>
  <c r="J509" i="57"/>
  <c r="K509" i="57"/>
  <c r="L509" i="57"/>
  <c r="M509" i="57"/>
  <c r="G510" i="57"/>
  <c r="H510" i="57"/>
  <c r="I510" i="57"/>
  <c r="J510" i="57"/>
  <c r="K510" i="57"/>
  <c r="L510" i="57"/>
  <c r="M510" i="57"/>
  <c r="G511" i="57"/>
  <c r="H511" i="57"/>
  <c r="I511" i="57"/>
  <c r="J511" i="57"/>
  <c r="K511" i="57"/>
  <c r="L511" i="57"/>
  <c r="M511" i="57"/>
  <c r="G512" i="57"/>
  <c r="H512" i="57"/>
  <c r="I512" i="57"/>
  <c r="J512" i="57"/>
  <c r="K512" i="57"/>
  <c r="L512" i="57"/>
  <c r="M512" i="57"/>
  <c r="G513" i="57"/>
  <c r="H513" i="57"/>
  <c r="I513" i="57"/>
  <c r="J513" i="57"/>
  <c r="K513" i="57"/>
  <c r="L513" i="57"/>
  <c r="M513" i="57"/>
  <c r="G514" i="57"/>
  <c r="H514" i="57"/>
  <c r="I514" i="57"/>
  <c r="J514" i="57"/>
  <c r="K514" i="57"/>
  <c r="L514" i="57"/>
  <c r="M514" i="57"/>
  <c r="G515" i="57"/>
  <c r="H515" i="57"/>
  <c r="I515" i="57"/>
  <c r="J515" i="57"/>
  <c r="K515" i="57"/>
  <c r="L515" i="57"/>
  <c r="M515" i="57"/>
  <c r="G516" i="57"/>
  <c r="H516" i="57"/>
  <c r="I516" i="57"/>
  <c r="J516" i="57"/>
  <c r="K516" i="57"/>
  <c r="L516" i="57"/>
  <c r="M516" i="57"/>
  <c r="G517" i="57"/>
  <c r="H517" i="57"/>
  <c r="I517" i="57"/>
  <c r="J517" i="57"/>
  <c r="K517" i="57"/>
  <c r="L517" i="57"/>
  <c r="M517" i="57"/>
  <c r="G518" i="57"/>
  <c r="H518" i="57"/>
  <c r="I518" i="57"/>
  <c r="J518" i="57"/>
  <c r="K518" i="57"/>
  <c r="L518" i="57"/>
  <c r="M518" i="57"/>
  <c r="G519" i="57"/>
  <c r="H519" i="57"/>
  <c r="I519" i="57"/>
  <c r="J519" i="57"/>
  <c r="K519" i="57"/>
  <c r="L519" i="57"/>
  <c r="M519" i="57"/>
  <c r="G520" i="57"/>
  <c r="H520" i="57"/>
  <c r="I520" i="57"/>
  <c r="J520" i="57"/>
  <c r="K520" i="57"/>
  <c r="L520" i="57"/>
  <c r="M520" i="57"/>
  <c r="G521" i="57"/>
  <c r="H521" i="57"/>
  <c r="I521" i="57"/>
  <c r="J521" i="57"/>
  <c r="K521" i="57"/>
  <c r="L521" i="57"/>
  <c r="M521" i="57"/>
  <c r="G522" i="57"/>
  <c r="H522" i="57"/>
  <c r="I522" i="57"/>
  <c r="J522" i="57"/>
  <c r="K522" i="57"/>
  <c r="L522" i="57"/>
  <c r="M522" i="57"/>
  <c r="G525" i="57"/>
  <c r="H525" i="57"/>
  <c r="I525" i="57"/>
  <c r="J525" i="57"/>
  <c r="K525" i="57"/>
  <c r="L525" i="57"/>
  <c r="M525" i="57"/>
  <c r="G528" i="57"/>
  <c r="H528" i="57"/>
  <c r="I528" i="57"/>
  <c r="J528" i="57"/>
  <c r="K528" i="57"/>
  <c r="L528" i="57"/>
  <c r="M528" i="57"/>
  <c r="G531" i="57"/>
  <c r="H531" i="57"/>
  <c r="I531" i="57"/>
  <c r="J531" i="57"/>
  <c r="K531" i="57"/>
  <c r="L531" i="57"/>
  <c r="M531" i="57"/>
  <c r="G536" i="57"/>
  <c r="H536" i="57"/>
  <c r="I536" i="57"/>
  <c r="J536" i="57"/>
  <c r="K536" i="57"/>
  <c r="L536" i="57"/>
  <c r="M536" i="57"/>
  <c r="G537" i="57"/>
  <c r="H537" i="57"/>
  <c r="I537" i="57"/>
  <c r="J537" i="57"/>
  <c r="K537" i="57"/>
  <c r="L537" i="57"/>
  <c r="M537" i="57"/>
  <c r="G538" i="57"/>
  <c r="H538" i="57"/>
  <c r="I538" i="57"/>
  <c r="J538" i="57"/>
  <c r="K538" i="57"/>
  <c r="L538" i="57"/>
  <c r="M538" i="57"/>
  <c r="G539" i="57"/>
  <c r="H539" i="57"/>
  <c r="I539" i="57"/>
  <c r="J539" i="57"/>
  <c r="K539" i="57"/>
  <c r="L539" i="57"/>
  <c r="M539" i="57"/>
  <c r="G542" i="57"/>
  <c r="H542" i="57"/>
  <c r="I542" i="57"/>
  <c r="J542" i="57"/>
  <c r="K542" i="57"/>
  <c r="L542" i="57"/>
  <c r="M542" i="57"/>
  <c r="G543" i="57"/>
  <c r="H543" i="57"/>
  <c r="I543" i="57"/>
  <c r="J543" i="57"/>
  <c r="K543" i="57"/>
  <c r="L543" i="57"/>
  <c r="M543" i="57"/>
  <c r="G544" i="57"/>
  <c r="H544" i="57"/>
  <c r="I544" i="57"/>
  <c r="J544" i="57"/>
  <c r="K544" i="57"/>
  <c r="L544" i="57"/>
  <c r="M544" i="57"/>
  <c r="G545" i="57"/>
  <c r="H545" i="57"/>
  <c r="I545" i="57"/>
  <c r="J545" i="57"/>
  <c r="K545" i="57"/>
  <c r="L545" i="57"/>
  <c r="M545" i="57"/>
  <c r="G548" i="57"/>
  <c r="H548" i="57"/>
  <c r="I548" i="57"/>
  <c r="J548" i="57"/>
  <c r="K548" i="57"/>
  <c r="L548" i="57"/>
  <c r="M548" i="57"/>
  <c r="G549" i="57"/>
  <c r="H549" i="57"/>
  <c r="I549" i="57"/>
  <c r="J549" i="57"/>
  <c r="K549" i="57"/>
  <c r="L549" i="57"/>
  <c r="M549" i="57"/>
  <c r="G550" i="57"/>
  <c r="H550" i="57"/>
  <c r="I550" i="57"/>
  <c r="J550" i="57"/>
  <c r="K550" i="57"/>
  <c r="L550" i="57"/>
  <c r="M550" i="57"/>
  <c r="G551" i="57"/>
  <c r="H551" i="57"/>
  <c r="I551" i="57"/>
  <c r="J551" i="57"/>
  <c r="K551" i="57"/>
  <c r="L551" i="57"/>
  <c r="M551" i="57"/>
  <c r="G555" i="57"/>
  <c r="H555" i="57"/>
  <c r="I555" i="57"/>
  <c r="J555" i="57"/>
  <c r="K555" i="57"/>
  <c r="L555" i="57"/>
  <c r="M555" i="57"/>
  <c r="G556" i="57"/>
  <c r="H556" i="57"/>
  <c r="I556" i="57"/>
  <c r="J556" i="57"/>
  <c r="K556" i="57"/>
  <c r="L556" i="57"/>
  <c r="M556" i="57"/>
  <c r="G557" i="57"/>
  <c r="H557" i="57"/>
  <c r="I557" i="57"/>
  <c r="J557" i="57"/>
  <c r="K557" i="57"/>
  <c r="L557" i="57"/>
  <c r="M557" i="57"/>
  <c r="G558" i="57"/>
  <c r="H558" i="57"/>
  <c r="I558" i="57"/>
  <c r="J558" i="57"/>
  <c r="K558" i="57"/>
  <c r="L558" i="57"/>
  <c r="M558" i="57"/>
  <c r="G561" i="57"/>
  <c r="H561" i="57"/>
  <c r="I561" i="57"/>
  <c r="J561" i="57"/>
  <c r="K561" i="57"/>
  <c r="L561" i="57"/>
  <c r="M561" i="57"/>
  <c r="G562" i="57"/>
  <c r="H562" i="57"/>
  <c r="I562" i="57"/>
  <c r="J562" i="57"/>
  <c r="K562" i="57"/>
  <c r="L562" i="57"/>
  <c r="M562" i="57"/>
  <c r="G563" i="57"/>
  <c r="H563" i="57"/>
  <c r="I563" i="57"/>
  <c r="J563" i="57"/>
  <c r="K563" i="57"/>
  <c r="L563" i="57"/>
  <c r="M563" i="57"/>
  <c r="G564" i="57"/>
  <c r="H564" i="57"/>
  <c r="I564" i="57"/>
  <c r="J564" i="57"/>
  <c r="K564" i="57"/>
  <c r="L564" i="57"/>
  <c r="M564" i="57"/>
  <c r="G567" i="57"/>
  <c r="H567" i="57"/>
  <c r="I567" i="57"/>
  <c r="J567" i="57"/>
  <c r="K567" i="57"/>
  <c r="L567" i="57"/>
  <c r="M567" i="57"/>
  <c r="G568" i="57"/>
  <c r="H568" i="57"/>
  <c r="I568" i="57"/>
  <c r="J568" i="57"/>
  <c r="K568" i="57"/>
  <c r="L568" i="57"/>
  <c r="M568" i="57"/>
  <c r="G569" i="57"/>
  <c r="H569" i="57"/>
  <c r="I569" i="57"/>
  <c r="J569" i="57"/>
  <c r="K569" i="57"/>
  <c r="L569" i="57"/>
  <c r="M569" i="57"/>
  <c r="G570" i="57"/>
  <c r="H570" i="57"/>
  <c r="I570" i="57"/>
  <c r="J570" i="57"/>
  <c r="K570" i="57"/>
  <c r="L570" i="57"/>
  <c r="M570" i="57"/>
  <c r="G574" i="57"/>
  <c r="H574" i="57"/>
  <c r="I574" i="57"/>
  <c r="J574" i="57"/>
  <c r="K574" i="57"/>
  <c r="L574" i="57"/>
  <c r="M574" i="57"/>
  <c r="G575" i="57"/>
  <c r="H575" i="57"/>
  <c r="I575" i="57"/>
  <c r="J575" i="57"/>
  <c r="K575" i="57"/>
  <c r="L575" i="57"/>
  <c r="M575" i="57"/>
  <c r="G576" i="57"/>
  <c r="H576" i="57"/>
  <c r="I576" i="57"/>
  <c r="J576" i="57"/>
  <c r="K576" i="57"/>
  <c r="L576" i="57"/>
  <c r="M576" i="57"/>
  <c r="G577" i="57"/>
  <c r="H577" i="57"/>
  <c r="I577" i="57"/>
  <c r="J577" i="57"/>
  <c r="K577" i="57"/>
  <c r="L577" i="57"/>
  <c r="M577" i="57"/>
  <c r="G580" i="57"/>
  <c r="H580" i="57"/>
  <c r="I580" i="57"/>
  <c r="J580" i="57"/>
  <c r="K580" i="57"/>
  <c r="L580" i="57"/>
  <c r="M580" i="57"/>
  <c r="G581" i="57"/>
  <c r="H581" i="57"/>
  <c r="I581" i="57"/>
  <c r="J581" i="57"/>
  <c r="K581" i="57"/>
  <c r="L581" i="57"/>
  <c r="M581" i="57"/>
  <c r="G582" i="57"/>
  <c r="H582" i="57"/>
  <c r="I582" i="57"/>
  <c r="J582" i="57"/>
  <c r="K582" i="57"/>
  <c r="L582" i="57"/>
  <c r="M582" i="57"/>
  <c r="G583" i="57"/>
  <c r="H583" i="57"/>
  <c r="I583" i="57"/>
  <c r="J583" i="57"/>
  <c r="K583" i="57"/>
  <c r="L583" i="57"/>
  <c r="M583" i="57"/>
  <c r="G586" i="57"/>
  <c r="H586" i="57"/>
  <c r="I586" i="57"/>
  <c r="J586" i="57"/>
  <c r="K586" i="57"/>
  <c r="L586" i="57"/>
  <c r="M586" i="57"/>
  <c r="G587" i="57"/>
  <c r="H587" i="57"/>
  <c r="I587" i="57"/>
  <c r="J587" i="57"/>
  <c r="K587" i="57"/>
  <c r="L587" i="57"/>
  <c r="M587" i="57"/>
  <c r="G588" i="57"/>
  <c r="H588" i="57"/>
  <c r="I588" i="57"/>
  <c r="J588" i="57"/>
  <c r="K588" i="57"/>
  <c r="L588" i="57"/>
  <c r="M588" i="57"/>
  <c r="G589" i="57"/>
  <c r="H589" i="57"/>
  <c r="I589" i="57"/>
  <c r="J589" i="57"/>
  <c r="K589" i="57"/>
  <c r="L589" i="57"/>
  <c r="M589" i="57"/>
  <c r="G593" i="57"/>
  <c r="H593" i="57"/>
  <c r="I593" i="57"/>
  <c r="J593" i="57"/>
  <c r="K593" i="57"/>
  <c r="L593" i="57"/>
  <c r="M593" i="57"/>
  <c r="G594" i="57"/>
  <c r="H594" i="57"/>
  <c r="I594" i="57"/>
  <c r="J594" i="57"/>
  <c r="K594" i="57"/>
  <c r="L594" i="57"/>
  <c r="M594" i="57"/>
  <c r="G595" i="57"/>
  <c r="H595" i="57"/>
  <c r="I595" i="57"/>
  <c r="J595" i="57"/>
  <c r="K595" i="57"/>
  <c r="L595" i="57"/>
  <c r="M595" i="57"/>
  <c r="G596" i="57"/>
  <c r="H596" i="57"/>
  <c r="I596" i="57"/>
  <c r="J596" i="57"/>
  <c r="K596" i="57"/>
  <c r="L596" i="57"/>
  <c r="M596" i="57"/>
  <c r="G599" i="57"/>
  <c r="H599" i="57"/>
  <c r="I599" i="57"/>
  <c r="J599" i="57"/>
  <c r="K599" i="57"/>
  <c r="L599" i="57"/>
  <c r="M599" i="57"/>
  <c r="G600" i="57"/>
  <c r="H600" i="57"/>
  <c r="I600" i="57"/>
  <c r="J600" i="57"/>
  <c r="K600" i="57"/>
  <c r="L600" i="57"/>
  <c r="M600" i="57"/>
  <c r="G601" i="57"/>
  <c r="H601" i="57"/>
  <c r="I601" i="57"/>
  <c r="J601" i="57"/>
  <c r="K601" i="57"/>
  <c r="L601" i="57"/>
  <c r="M601" i="57"/>
  <c r="G602" i="57"/>
  <c r="H602" i="57"/>
  <c r="I602" i="57"/>
  <c r="J602" i="57"/>
  <c r="K602" i="57"/>
  <c r="L602" i="57"/>
  <c r="M602" i="57"/>
  <c r="G605" i="57"/>
  <c r="H605" i="57"/>
  <c r="I605" i="57"/>
  <c r="J605" i="57"/>
  <c r="K605" i="57"/>
  <c r="L605" i="57"/>
  <c r="M605" i="57"/>
  <c r="G606" i="57"/>
  <c r="H606" i="57"/>
  <c r="I606" i="57"/>
  <c r="J606" i="57"/>
  <c r="K606" i="57"/>
  <c r="L606" i="57"/>
  <c r="M606" i="57"/>
  <c r="G607" i="57"/>
  <c r="H607" i="57"/>
  <c r="I607" i="57"/>
  <c r="J607" i="57"/>
  <c r="K607" i="57"/>
  <c r="L607" i="57"/>
  <c r="M607" i="57"/>
  <c r="G608" i="57"/>
  <c r="H608" i="57"/>
  <c r="I608" i="57"/>
  <c r="J608" i="57"/>
  <c r="K608" i="57"/>
  <c r="L608" i="57"/>
  <c r="M608" i="57"/>
  <c r="G612" i="57"/>
  <c r="H612" i="57"/>
  <c r="I612" i="57"/>
  <c r="J612" i="57"/>
  <c r="K612" i="57"/>
  <c r="L612" i="57"/>
  <c r="M612" i="57"/>
  <c r="G613" i="57"/>
  <c r="H613" i="57"/>
  <c r="I613" i="57"/>
  <c r="J613" i="57"/>
  <c r="K613" i="57"/>
  <c r="L613" i="57"/>
  <c r="M613" i="57"/>
  <c r="G614" i="57"/>
  <c r="H614" i="57"/>
  <c r="I614" i="57"/>
  <c r="J614" i="57"/>
  <c r="K614" i="57"/>
  <c r="L614" i="57"/>
  <c r="M614" i="57"/>
  <c r="G615" i="57"/>
  <c r="H615" i="57"/>
  <c r="I615" i="57"/>
  <c r="J615" i="57"/>
  <c r="K615" i="57"/>
  <c r="L615" i="57"/>
  <c r="M615" i="57"/>
  <c r="G618" i="57"/>
  <c r="H618" i="57"/>
  <c r="I618" i="57"/>
  <c r="J618" i="57"/>
  <c r="K618" i="57"/>
  <c r="L618" i="57"/>
  <c r="M618" i="57"/>
  <c r="G619" i="57"/>
  <c r="H619" i="57"/>
  <c r="I619" i="57"/>
  <c r="J619" i="57"/>
  <c r="K619" i="57"/>
  <c r="L619" i="57"/>
  <c r="M619" i="57"/>
  <c r="G620" i="57"/>
  <c r="H620" i="57"/>
  <c r="I620" i="57"/>
  <c r="J620" i="57"/>
  <c r="K620" i="57"/>
  <c r="L620" i="57"/>
  <c r="M620" i="57"/>
  <c r="G621" i="57"/>
  <c r="H621" i="57"/>
  <c r="I621" i="57"/>
  <c r="J621" i="57"/>
  <c r="K621" i="57"/>
  <c r="L621" i="57"/>
  <c r="M621" i="57"/>
  <c r="G624" i="57"/>
  <c r="H624" i="57"/>
  <c r="I624" i="57"/>
  <c r="J624" i="57"/>
  <c r="K624" i="57"/>
  <c r="L624" i="57"/>
  <c r="M624" i="57"/>
  <c r="G625" i="57"/>
  <c r="H625" i="57"/>
  <c r="I625" i="57"/>
  <c r="J625" i="57"/>
  <c r="K625" i="57"/>
  <c r="L625" i="57"/>
  <c r="M625" i="57"/>
  <c r="G626" i="57"/>
  <c r="H626" i="57"/>
  <c r="I626" i="57"/>
  <c r="J626" i="57"/>
  <c r="K626" i="57"/>
  <c r="L626" i="57"/>
  <c r="M626" i="57"/>
  <c r="G627" i="57"/>
  <c r="H627" i="57"/>
  <c r="I627" i="57"/>
  <c r="J627" i="57"/>
  <c r="K627" i="57"/>
  <c r="L627" i="57"/>
  <c r="M627" i="57"/>
  <c r="G630" i="57"/>
  <c r="H630" i="57"/>
  <c r="I630" i="57"/>
  <c r="J630" i="57"/>
  <c r="K630" i="57"/>
  <c r="L630" i="57"/>
  <c r="M630" i="57"/>
  <c r="G631" i="57"/>
  <c r="H631" i="57"/>
  <c r="I631" i="57"/>
  <c r="J631" i="57"/>
  <c r="K631" i="57"/>
  <c r="L631" i="57"/>
  <c r="M631" i="57"/>
  <c r="G632" i="57"/>
  <c r="H632" i="57"/>
  <c r="I632" i="57"/>
  <c r="J632" i="57"/>
  <c r="K632" i="57"/>
  <c r="L632" i="57"/>
  <c r="M632" i="57"/>
  <c r="G633" i="57"/>
  <c r="H633" i="57"/>
  <c r="I633" i="57"/>
  <c r="J633" i="57"/>
  <c r="K633" i="57"/>
  <c r="L633" i="57"/>
  <c r="M633" i="57"/>
  <c r="G637" i="57"/>
  <c r="H637" i="57"/>
  <c r="I637" i="57"/>
  <c r="J637" i="57"/>
  <c r="K637" i="57"/>
  <c r="L637" i="57"/>
  <c r="M637" i="57"/>
  <c r="G638" i="57"/>
  <c r="H638" i="57"/>
  <c r="I638" i="57"/>
  <c r="J638" i="57"/>
  <c r="K638" i="57"/>
  <c r="L638" i="57"/>
  <c r="M638" i="57"/>
  <c r="G639" i="57"/>
  <c r="H639" i="57"/>
  <c r="I639" i="57"/>
  <c r="J639" i="57"/>
  <c r="K639" i="57"/>
  <c r="L639" i="57"/>
  <c r="M639" i="57"/>
  <c r="G640" i="57"/>
  <c r="H640" i="57"/>
  <c r="I640" i="57"/>
  <c r="J640" i="57"/>
  <c r="K640" i="57"/>
  <c r="L640" i="57"/>
  <c r="M640" i="57"/>
  <c r="G643" i="57"/>
  <c r="H643" i="57"/>
  <c r="I643" i="57"/>
  <c r="J643" i="57"/>
  <c r="K643" i="57"/>
  <c r="L643" i="57"/>
  <c r="M643" i="57"/>
  <c r="G644" i="57"/>
  <c r="H644" i="57"/>
  <c r="I644" i="57"/>
  <c r="J644" i="57"/>
  <c r="K644" i="57"/>
  <c r="L644" i="57"/>
  <c r="M644" i="57"/>
  <c r="G645" i="57"/>
  <c r="H645" i="57"/>
  <c r="I645" i="57"/>
  <c r="J645" i="57"/>
  <c r="K645" i="57"/>
  <c r="L645" i="57"/>
  <c r="M645" i="57"/>
  <c r="G646" i="57"/>
  <c r="H646" i="57"/>
  <c r="I646" i="57"/>
  <c r="J646" i="57"/>
  <c r="K646" i="57"/>
  <c r="L646" i="57"/>
  <c r="M646" i="57"/>
  <c r="G649" i="57"/>
  <c r="H649" i="57"/>
  <c r="I649" i="57"/>
  <c r="J649" i="57"/>
  <c r="K649" i="57"/>
  <c r="L649" i="57"/>
  <c r="M649" i="57"/>
  <c r="G650" i="57"/>
  <c r="H650" i="57"/>
  <c r="I650" i="57"/>
  <c r="J650" i="57"/>
  <c r="K650" i="57"/>
  <c r="L650" i="57"/>
  <c r="M650" i="57"/>
  <c r="G651" i="57"/>
  <c r="H651" i="57"/>
  <c r="I651" i="57"/>
  <c r="J651" i="57"/>
  <c r="K651" i="57"/>
  <c r="L651" i="57"/>
  <c r="M651" i="57"/>
  <c r="G652" i="57"/>
  <c r="H652" i="57"/>
  <c r="I652" i="57"/>
  <c r="J652" i="57"/>
  <c r="K652" i="57"/>
  <c r="L652" i="57"/>
  <c r="M652" i="57"/>
  <c r="G655" i="57"/>
  <c r="H655" i="57"/>
  <c r="I655" i="57"/>
  <c r="J655" i="57"/>
  <c r="K655" i="57"/>
  <c r="L655" i="57"/>
  <c r="M655" i="57"/>
  <c r="G656" i="57"/>
  <c r="H656" i="57"/>
  <c r="I656" i="57"/>
  <c r="J656" i="57"/>
  <c r="K656" i="57"/>
  <c r="L656" i="57"/>
  <c r="M656" i="57"/>
  <c r="G657" i="57"/>
  <c r="H657" i="57"/>
  <c r="I657" i="57"/>
  <c r="J657" i="57"/>
  <c r="K657" i="57"/>
  <c r="L657" i="57"/>
  <c r="M657" i="57"/>
  <c r="G658" i="57"/>
  <c r="H658" i="57"/>
  <c r="I658" i="57"/>
  <c r="J658" i="57"/>
  <c r="K658" i="57"/>
  <c r="L658" i="57"/>
  <c r="M658" i="57"/>
  <c r="G661" i="57"/>
  <c r="H661" i="57"/>
  <c r="I661" i="57"/>
  <c r="J661" i="57"/>
  <c r="K661" i="57"/>
  <c r="L661" i="57"/>
  <c r="M661" i="57"/>
  <c r="G662" i="57"/>
  <c r="H662" i="57"/>
  <c r="I662" i="57"/>
  <c r="J662" i="57"/>
  <c r="K662" i="57"/>
  <c r="L662" i="57"/>
  <c r="M662" i="57"/>
  <c r="G663" i="57"/>
  <c r="H663" i="57"/>
  <c r="I663" i="57"/>
  <c r="J663" i="57"/>
  <c r="K663" i="57"/>
  <c r="L663" i="57"/>
  <c r="M663" i="57"/>
  <c r="G664" i="57"/>
  <c r="H664" i="57"/>
  <c r="I664" i="57"/>
  <c r="J664" i="57"/>
  <c r="K664" i="57"/>
  <c r="L664" i="57"/>
  <c r="M664" i="57"/>
  <c r="G667" i="57"/>
  <c r="H667" i="57"/>
  <c r="I667" i="57"/>
  <c r="J667" i="57"/>
  <c r="K667" i="57"/>
  <c r="L667" i="57"/>
  <c r="M667" i="57"/>
  <c r="G668" i="57"/>
  <c r="H668" i="57"/>
  <c r="I668" i="57"/>
  <c r="J668" i="57"/>
  <c r="K668" i="57"/>
  <c r="L668" i="57"/>
  <c r="M668" i="57"/>
  <c r="G669" i="57"/>
  <c r="H669" i="57"/>
  <c r="I669" i="57"/>
  <c r="J669" i="57"/>
  <c r="K669" i="57"/>
  <c r="L669" i="57"/>
  <c r="M669" i="57"/>
  <c r="G670" i="57"/>
  <c r="H670" i="57"/>
  <c r="I670" i="57"/>
  <c r="J670" i="57"/>
  <c r="K670" i="57"/>
  <c r="L670" i="57"/>
  <c r="M670" i="57"/>
  <c r="G673" i="57"/>
  <c r="H673" i="57"/>
  <c r="I673" i="57"/>
  <c r="J673" i="57"/>
  <c r="K673" i="57"/>
  <c r="L673" i="57"/>
  <c r="M673" i="57"/>
  <c r="G674" i="57"/>
  <c r="H674" i="57"/>
  <c r="I674" i="57"/>
  <c r="J674" i="57"/>
  <c r="K674" i="57"/>
  <c r="L674" i="57"/>
  <c r="M674" i="57"/>
  <c r="G675" i="57"/>
  <c r="H675" i="57"/>
  <c r="I675" i="57"/>
  <c r="J675" i="57"/>
  <c r="K675" i="57"/>
  <c r="L675" i="57"/>
  <c r="M675" i="57"/>
  <c r="G676" i="57"/>
  <c r="H676" i="57"/>
  <c r="I676" i="57"/>
  <c r="J676" i="57"/>
  <c r="K676" i="57"/>
  <c r="L676" i="57"/>
  <c r="M676" i="57"/>
  <c r="G679" i="57"/>
  <c r="H679" i="57"/>
  <c r="I679" i="57"/>
  <c r="J679" i="57"/>
  <c r="K679" i="57"/>
  <c r="L679" i="57"/>
  <c r="M679" i="57"/>
  <c r="G680" i="57"/>
  <c r="H680" i="57"/>
  <c r="I680" i="57"/>
  <c r="J680" i="57"/>
  <c r="K680" i="57"/>
  <c r="L680" i="57"/>
  <c r="M680" i="57"/>
  <c r="G681" i="57"/>
  <c r="H681" i="57"/>
  <c r="I681" i="57"/>
  <c r="J681" i="57"/>
  <c r="K681" i="57"/>
  <c r="L681" i="57"/>
  <c r="M681" i="57"/>
  <c r="G682" i="57"/>
  <c r="H682" i="57"/>
  <c r="I682" i="57"/>
  <c r="J682" i="57"/>
  <c r="K682" i="57"/>
  <c r="L682" i="57"/>
  <c r="M682" i="57"/>
  <c r="G686" i="57"/>
  <c r="H686" i="57"/>
  <c r="I686" i="57"/>
  <c r="J686" i="57"/>
  <c r="K686" i="57"/>
  <c r="L686" i="57"/>
  <c r="M686" i="57"/>
  <c r="G687" i="57"/>
  <c r="H687" i="57"/>
  <c r="I687" i="57"/>
  <c r="J687" i="57"/>
  <c r="K687" i="57"/>
  <c r="L687" i="57"/>
  <c r="M687" i="57"/>
  <c r="G688" i="57"/>
  <c r="H688" i="57"/>
  <c r="I688" i="57"/>
  <c r="J688" i="57"/>
  <c r="K688" i="57"/>
  <c r="L688" i="57"/>
  <c r="M688" i="57"/>
  <c r="G689" i="57"/>
  <c r="H689" i="57"/>
  <c r="I689" i="57"/>
  <c r="J689" i="57"/>
  <c r="K689" i="57"/>
  <c r="L689" i="57"/>
  <c r="M689" i="57"/>
  <c r="G693" i="57"/>
  <c r="H693" i="57"/>
  <c r="I693" i="57"/>
  <c r="J693" i="57"/>
  <c r="K693" i="57"/>
  <c r="L693" i="57"/>
  <c r="M693" i="57"/>
  <c r="G694" i="57"/>
  <c r="H694" i="57"/>
  <c r="I694" i="57"/>
  <c r="J694" i="57"/>
  <c r="K694" i="57"/>
  <c r="L694" i="57"/>
  <c r="M694" i="57"/>
  <c r="G695" i="57"/>
  <c r="H695" i="57"/>
  <c r="I695" i="57"/>
  <c r="J695" i="57"/>
  <c r="K695" i="57"/>
  <c r="L695" i="57"/>
  <c r="M695" i="57"/>
  <c r="G696" i="57"/>
  <c r="H696" i="57"/>
  <c r="I696" i="57"/>
  <c r="J696" i="57"/>
  <c r="K696" i="57"/>
  <c r="L696" i="57"/>
  <c r="M696" i="57"/>
  <c r="G700" i="57"/>
  <c r="H700" i="57"/>
  <c r="I700" i="57"/>
  <c r="J700" i="57"/>
  <c r="K700" i="57"/>
  <c r="L700" i="57"/>
  <c r="M700" i="57"/>
  <c r="G701" i="57"/>
  <c r="H701" i="57"/>
  <c r="I701" i="57"/>
  <c r="J701" i="57"/>
  <c r="K701" i="57"/>
  <c r="L701" i="57"/>
  <c r="M701" i="57"/>
  <c r="G702" i="57"/>
  <c r="H702" i="57"/>
  <c r="I702" i="57"/>
  <c r="J702" i="57"/>
  <c r="K702" i="57"/>
  <c r="L702" i="57"/>
  <c r="M702" i="57"/>
  <c r="G703" i="57"/>
  <c r="H703" i="57"/>
  <c r="I703" i="57"/>
  <c r="J703" i="57"/>
  <c r="K703" i="57"/>
  <c r="L703" i="57"/>
  <c r="M703" i="57"/>
  <c r="G707" i="57"/>
  <c r="H707" i="57"/>
  <c r="I707" i="57"/>
  <c r="J707" i="57"/>
  <c r="K707" i="57"/>
  <c r="L707" i="57"/>
  <c r="M707" i="57"/>
  <c r="G708" i="57"/>
  <c r="H708" i="57"/>
  <c r="I708" i="57"/>
  <c r="J708" i="57"/>
  <c r="K708" i="57"/>
  <c r="L708" i="57"/>
  <c r="M708" i="57"/>
  <c r="G709" i="57"/>
  <c r="H709" i="57"/>
  <c r="I709" i="57"/>
  <c r="J709" i="57"/>
  <c r="K709" i="57"/>
  <c r="L709" i="57"/>
  <c r="M709" i="57"/>
  <c r="G710" i="57"/>
  <c r="H710" i="57"/>
  <c r="I710" i="57"/>
  <c r="J710" i="57"/>
  <c r="K710" i="57"/>
  <c r="L710" i="57"/>
  <c r="M710" i="57"/>
  <c r="G714" i="57"/>
  <c r="H714" i="57"/>
  <c r="I714" i="57"/>
  <c r="J714" i="57"/>
  <c r="K714" i="57"/>
  <c r="L714" i="57"/>
  <c r="M714" i="57"/>
  <c r="G715" i="57"/>
  <c r="H715" i="57"/>
  <c r="I715" i="57"/>
  <c r="J715" i="57"/>
  <c r="K715" i="57"/>
  <c r="L715" i="57"/>
  <c r="M715" i="57"/>
  <c r="G716" i="57"/>
  <c r="H716" i="57"/>
  <c r="I716" i="57"/>
  <c r="J716" i="57"/>
  <c r="K716" i="57"/>
  <c r="L716" i="57"/>
  <c r="M716" i="57"/>
  <c r="G717" i="57"/>
  <c r="H717" i="57"/>
  <c r="I717" i="57"/>
  <c r="J717" i="57"/>
  <c r="K717" i="57"/>
  <c r="L717" i="57"/>
  <c r="M717" i="57"/>
  <c r="G720" i="57"/>
  <c r="H720" i="57"/>
  <c r="I720" i="57"/>
  <c r="J720" i="57"/>
  <c r="K720" i="57"/>
  <c r="L720" i="57"/>
  <c r="M720" i="57"/>
  <c r="G721" i="57"/>
  <c r="H721" i="57"/>
  <c r="I721" i="57"/>
  <c r="J721" i="57"/>
  <c r="K721" i="57"/>
  <c r="L721" i="57"/>
  <c r="M721" i="57"/>
  <c r="G722" i="57"/>
  <c r="H722" i="57"/>
  <c r="I722" i="57"/>
  <c r="J722" i="57"/>
  <c r="K722" i="57"/>
  <c r="L722" i="57"/>
  <c r="M722" i="57"/>
  <c r="G723" i="57"/>
  <c r="H723" i="57"/>
  <c r="I723" i="57"/>
  <c r="J723" i="57"/>
  <c r="K723" i="57"/>
  <c r="L723" i="57"/>
  <c r="M723" i="57"/>
  <c r="G726" i="57"/>
  <c r="H726" i="57"/>
  <c r="I726" i="57"/>
  <c r="J726" i="57"/>
  <c r="K726" i="57"/>
  <c r="L726" i="57"/>
  <c r="M726" i="57"/>
  <c r="G727" i="57"/>
  <c r="H727" i="57"/>
  <c r="I727" i="57"/>
  <c r="J727" i="57"/>
  <c r="K727" i="57"/>
  <c r="L727" i="57"/>
  <c r="M727" i="57"/>
  <c r="G728" i="57"/>
  <c r="H728" i="57"/>
  <c r="I728" i="57"/>
  <c r="J728" i="57"/>
  <c r="K728" i="57"/>
  <c r="L728" i="57"/>
  <c r="M728" i="57"/>
  <c r="G729" i="57"/>
  <c r="H729" i="57"/>
  <c r="I729" i="57"/>
  <c r="J729" i="57"/>
  <c r="K729" i="57"/>
  <c r="L729" i="57"/>
  <c r="M729" i="57"/>
  <c r="G732" i="57"/>
  <c r="H732" i="57"/>
  <c r="I732" i="57"/>
  <c r="J732" i="57"/>
  <c r="K732" i="57"/>
  <c r="L732" i="57"/>
  <c r="M732" i="57"/>
  <c r="G733" i="57"/>
  <c r="H733" i="57"/>
  <c r="I733" i="57"/>
  <c r="J733" i="57"/>
  <c r="K733" i="57"/>
  <c r="L733" i="57"/>
  <c r="M733" i="57"/>
  <c r="G734" i="57"/>
  <c r="H734" i="57"/>
  <c r="I734" i="57"/>
  <c r="J734" i="57"/>
  <c r="K734" i="57"/>
  <c r="L734" i="57"/>
  <c r="M734" i="57"/>
  <c r="G735" i="57"/>
  <c r="H735" i="57"/>
  <c r="I735" i="57"/>
  <c r="J735" i="57"/>
  <c r="K735" i="57"/>
  <c r="L735" i="57"/>
  <c r="M735" i="57"/>
  <c r="G738" i="57"/>
  <c r="H738" i="57"/>
  <c r="I738" i="57"/>
  <c r="J738" i="57"/>
  <c r="K738" i="57"/>
  <c r="L738" i="57"/>
  <c r="M738" i="57"/>
  <c r="G739" i="57"/>
  <c r="H739" i="57"/>
  <c r="I739" i="57"/>
  <c r="J739" i="57"/>
  <c r="K739" i="57"/>
  <c r="L739" i="57"/>
  <c r="M739" i="57"/>
  <c r="G740" i="57"/>
  <c r="H740" i="57"/>
  <c r="I740" i="57"/>
  <c r="J740" i="57"/>
  <c r="K740" i="57"/>
  <c r="L740" i="57"/>
  <c r="M740" i="57"/>
  <c r="G741" i="57"/>
  <c r="H741" i="57"/>
  <c r="I741" i="57"/>
  <c r="J741" i="57"/>
  <c r="K741" i="57"/>
  <c r="L741" i="57"/>
  <c r="M741" i="57"/>
  <c r="G745" i="57"/>
  <c r="H745" i="57"/>
  <c r="I745" i="57"/>
  <c r="J745" i="57"/>
  <c r="K745" i="57"/>
  <c r="L745" i="57"/>
  <c r="M745" i="57"/>
  <c r="G746" i="57"/>
  <c r="H746" i="57"/>
  <c r="I746" i="57"/>
  <c r="J746" i="57"/>
  <c r="K746" i="57"/>
  <c r="L746" i="57"/>
  <c r="M746" i="57"/>
  <c r="G747" i="57"/>
  <c r="H747" i="57"/>
  <c r="I747" i="57"/>
  <c r="J747" i="57"/>
  <c r="K747" i="57"/>
  <c r="L747" i="57"/>
  <c r="M747" i="57"/>
  <c r="G748" i="57"/>
  <c r="H748" i="57"/>
  <c r="I748" i="57"/>
  <c r="J748" i="57"/>
  <c r="K748" i="57"/>
  <c r="L748" i="57"/>
  <c r="M748" i="57"/>
  <c r="G749" i="57"/>
  <c r="H749" i="57"/>
  <c r="I749" i="57"/>
  <c r="J749" i="57"/>
  <c r="K749" i="57"/>
  <c r="L749" i="57"/>
  <c r="M749" i="57"/>
  <c r="G750" i="57"/>
  <c r="H750" i="57"/>
  <c r="I750" i="57"/>
  <c r="J750" i="57"/>
  <c r="K750" i="57"/>
  <c r="L750" i="57"/>
  <c r="M750" i="57"/>
  <c r="G751" i="57"/>
  <c r="H751" i="57"/>
  <c r="I751" i="57"/>
  <c r="J751" i="57"/>
  <c r="K751" i="57"/>
  <c r="L751" i="57"/>
  <c r="M751" i="57"/>
  <c r="G752" i="57"/>
  <c r="H752" i="57"/>
  <c r="I752" i="57"/>
  <c r="J752" i="57"/>
  <c r="K752" i="57"/>
  <c r="L752" i="57"/>
  <c r="M752" i="57"/>
  <c r="G755" i="57"/>
  <c r="H755" i="57"/>
  <c r="I755" i="57"/>
  <c r="J755" i="57"/>
  <c r="K755" i="57"/>
  <c r="L755" i="57"/>
  <c r="M755" i="57"/>
  <c r="G756" i="57"/>
  <c r="H756" i="57"/>
  <c r="I756" i="57"/>
  <c r="J756" i="57"/>
  <c r="K756" i="57"/>
  <c r="L756" i="57"/>
  <c r="M756" i="57"/>
  <c r="G757" i="57"/>
  <c r="H757" i="57"/>
  <c r="I757" i="57"/>
  <c r="J757" i="57"/>
  <c r="K757" i="57"/>
  <c r="L757" i="57"/>
  <c r="M757" i="57"/>
  <c r="G758" i="57"/>
  <c r="H758" i="57"/>
  <c r="I758" i="57"/>
  <c r="J758" i="57"/>
  <c r="K758" i="57"/>
  <c r="L758" i="57"/>
  <c r="M758" i="57"/>
  <c r="G761" i="57"/>
  <c r="H761" i="57"/>
  <c r="I761" i="57"/>
  <c r="J761" i="57"/>
  <c r="K761" i="57"/>
  <c r="L761" i="57"/>
  <c r="M761" i="57"/>
  <c r="G762" i="57"/>
  <c r="H762" i="57"/>
  <c r="I762" i="57"/>
  <c r="J762" i="57"/>
  <c r="K762" i="57"/>
  <c r="L762" i="57"/>
  <c r="M762" i="57"/>
  <c r="G763" i="57"/>
  <c r="H763" i="57"/>
  <c r="I763" i="57"/>
  <c r="J763" i="57"/>
  <c r="K763" i="57"/>
  <c r="L763" i="57"/>
  <c r="M763" i="57"/>
  <c r="G764" i="57"/>
  <c r="H764" i="57"/>
  <c r="I764" i="57"/>
  <c r="J764" i="57"/>
  <c r="K764" i="57"/>
  <c r="L764" i="57"/>
  <c r="M764" i="57"/>
  <c r="G765" i="57"/>
  <c r="H765" i="57"/>
  <c r="I765" i="57"/>
  <c r="J765" i="57"/>
  <c r="K765" i="57"/>
  <c r="L765" i="57"/>
  <c r="M765" i="57"/>
  <c r="C76" i="27"/>
  <c r="D76" i="27"/>
  <c r="E76" i="27"/>
  <c r="F76" i="27"/>
  <c r="G76" i="27"/>
  <c r="H76" i="27"/>
  <c r="I76" i="27"/>
  <c r="C77" i="27"/>
  <c r="D77" i="27"/>
  <c r="E77" i="27"/>
  <c r="F77" i="27"/>
  <c r="G77" i="27"/>
  <c r="H77" i="27"/>
  <c r="I77" i="27"/>
  <c r="C78" i="27"/>
  <c r="D78" i="27"/>
  <c r="E78" i="27"/>
  <c r="F78" i="27"/>
  <c r="G78" i="27"/>
  <c r="H78" i="27"/>
  <c r="I78" i="27"/>
  <c r="C79" i="27"/>
  <c r="D79" i="27"/>
  <c r="E79" i="27"/>
  <c r="F79" i="27"/>
  <c r="G79" i="27"/>
  <c r="H79" i="27"/>
  <c r="I79"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AZ83" i="27"/>
  <c r="C84" i="27"/>
  <c r="D84" i="27"/>
  <c r="E84" i="27"/>
  <c r="F84" i="27"/>
  <c r="G84" i="27"/>
  <c r="H84" i="27"/>
  <c r="I84" i="27"/>
  <c r="AZ84" i="27"/>
  <c r="AZ85" i="27"/>
  <c r="AZ86" i="27"/>
  <c r="C87" i="27"/>
  <c r="D87" i="27"/>
  <c r="E87" i="27"/>
  <c r="F87" i="27"/>
  <c r="G87" i="27"/>
  <c r="H87" i="27"/>
  <c r="I87"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3" i="27"/>
  <c r="D93" i="27"/>
  <c r="E93" i="27"/>
  <c r="F93" i="27"/>
  <c r="G93" i="27"/>
  <c r="H93" i="27"/>
  <c r="I93" i="27"/>
  <c r="C94" i="27"/>
  <c r="D94" i="27"/>
  <c r="E94" i="27"/>
  <c r="F94" i="27"/>
  <c r="G94" i="27"/>
  <c r="H94" i="27"/>
  <c r="I94" i="27"/>
  <c r="AZ94" i="27"/>
  <c r="C95" i="27"/>
  <c r="D95" i="27"/>
  <c r="E95" i="27"/>
  <c r="F95" i="27"/>
  <c r="G95" i="27"/>
  <c r="H95" i="27"/>
  <c r="I95" i="27"/>
  <c r="C96" i="27"/>
  <c r="D96" i="27"/>
  <c r="E96" i="27"/>
  <c r="F96" i="27"/>
  <c r="G96" i="27"/>
  <c r="H96" i="27"/>
  <c r="I96" i="27"/>
  <c r="AZ96" i="27"/>
  <c r="C97" i="27"/>
  <c r="D97" i="27"/>
  <c r="E97" i="27"/>
  <c r="F97" i="27"/>
  <c r="G97" i="27"/>
  <c r="H97" i="27"/>
  <c r="I97" i="27"/>
  <c r="C98" i="27"/>
  <c r="D98" i="27"/>
  <c r="E98" i="27"/>
  <c r="F98" i="27"/>
  <c r="G98" i="27"/>
  <c r="H98" i="27"/>
  <c r="I98" i="27"/>
  <c r="C99" i="27"/>
  <c r="D99" i="27"/>
  <c r="E99" i="27"/>
  <c r="F99" i="27"/>
  <c r="G99" i="27"/>
  <c r="H99" i="27"/>
  <c r="I99" i="27"/>
  <c r="AZ99" i="27"/>
  <c r="C100" i="27"/>
  <c r="D100" i="27"/>
  <c r="E100" i="27"/>
  <c r="F100" i="27"/>
  <c r="G100" i="27"/>
  <c r="H100" i="27"/>
  <c r="I100" i="27"/>
  <c r="C101" i="27"/>
  <c r="D101" i="27"/>
  <c r="E101" i="27"/>
  <c r="F101" i="27"/>
  <c r="G101" i="27"/>
  <c r="H101" i="27"/>
  <c r="I101" i="27"/>
  <c r="AZ102" i="27"/>
  <c r="AZ103" i="27"/>
  <c r="AZ104" i="27"/>
  <c r="AZ106" i="27"/>
  <c r="AZ107" i="27"/>
  <c r="AZ108" i="27"/>
  <c r="AZ109" i="27"/>
  <c r="G8" i="56"/>
  <c r="H8" i="56"/>
  <c r="I8" i="56"/>
  <c r="J8" i="56"/>
  <c r="K8" i="56"/>
  <c r="L8" i="56"/>
  <c r="M8" i="56"/>
  <c r="G15" i="56"/>
  <c r="H15" i="56"/>
  <c r="I15" i="56"/>
  <c r="J15" i="56"/>
  <c r="K15" i="56"/>
  <c r="L15" i="56"/>
  <c r="M15" i="56"/>
  <c r="G16" i="56"/>
  <c r="H16" i="56"/>
  <c r="I16" i="56"/>
  <c r="J16" i="56"/>
  <c r="K16" i="56"/>
  <c r="L16" i="56"/>
  <c r="M16" i="56"/>
  <c r="G17" i="56"/>
  <c r="H17" i="56"/>
  <c r="I17" i="56"/>
  <c r="J17" i="56"/>
  <c r="K17" i="56"/>
  <c r="L17" i="56"/>
  <c r="M17" i="56"/>
  <c r="G18" i="56"/>
  <c r="H18" i="56"/>
  <c r="I18" i="56"/>
  <c r="J18" i="56"/>
  <c r="K18" i="56"/>
  <c r="L18" i="56"/>
  <c r="M18" i="56"/>
  <c r="G19" i="56"/>
  <c r="H19" i="56"/>
  <c r="I19" i="56"/>
  <c r="J19" i="56"/>
  <c r="K19" i="56"/>
  <c r="L19" i="56"/>
  <c r="M19" i="56"/>
  <c r="G20" i="56"/>
  <c r="H20" i="56"/>
  <c r="I20" i="56"/>
  <c r="J20" i="56"/>
  <c r="K20" i="56"/>
  <c r="L20" i="56"/>
  <c r="M20" i="56"/>
  <c r="G21" i="56"/>
  <c r="H21" i="56"/>
  <c r="I21" i="56"/>
  <c r="J21" i="56"/>
  <c r="K21" i="56"/>
  <c r="L21" i="56"/>
  <c r="M21" i="56"/>
  <c r="G37" i="56"/>
  <c r="H37" i="56"/>
  <c r="I37" i="56"/>
  <c r="J37" i="56"/>
  <c r="K37" i="56"/>
  <c r="L37" i="56"/>
  <c r="M37" i="56"/>
  <c r="G38" i="56"/>
  <c r="H38" i="56"/>
  <c r="I38" i="56"/>
  <c r="J38" i="56"/>
  <c r="K38" i="56"/>
  <c r="L38" i="56"/>
  <c r="M38" i="56"/>
  <c r="G39" i="56"/>
  <c r="H39" i="56"/>
  <c r="I39" i="56"/>
  <c r="J39" i="56"/>
  <c r="K39" i="56"/>
  <c r="L39" i="56"/>
  <c r="M39" i="56"/>
  <c r="G40" i="56"/>
  <c r="H40" i="56"/>
  <c r="I40" i="56"/>
  <c r="J40" i="56"/>
  <c r="K40" i="56"/>
  <c r="L40" i="56"/>
  <c r="M40" i="56"/>
  <c r="G41" i="56"/>
  <c r="H41" i="56"/>
  <c r="I41" i="56"/>
  <c r="J41" i="56"/>
  <c r="K41" i="56"/>
  <c r="L41" i="56"/>
  <c r="M41" i="56"/>
  <c r="G44" i="56"/>
  <c r="H44" i="56"/>
  <c r="I44" i="56"/>
  <c r="J44" i="56"/>
  <c r="K44" i="56"/>
  <c r="L44" i="56"/>
  <c r="M44" i="56"/>
  <c r="G45" i="56"/>
  <c r="H45" i="56"/>
  <c r="I45" i="56"/>
  <c r="J45" i="56"/>
  <c r="K45" i="56"/>
  <c r="L45" i="56"/>
  <c r="M45" i="56"/>
  <c r="G46" i="56"/>
  <c r="H46" i="56"/>
  <c r="I46" i="56"/>
  <c r="J46" i="56"/>
  <c r="K46" i="56"/>
  <c r="L46" i="56"/>
  <c r="M46" i="56"/>
  <c r="G47" i="56"/>
  <c r="H47" i="56"/>
  <c r="I47" i="56"/>
  <c r="J47" i="56"/>
  <c r="K47" i="56"/>
  <c r="L47" i="56"/>
  <c r="M47" i="56"/>
  <c r="G48" i="56"/>
  <c r="H48" i="56"/>
  <c r="I48" i="56"/>
  <c r="J48" i="56"/>
  <c r="K48" i="56"/>
  <c r="L48" i="56"/>
  <c r="M48" i="56"/>
  <c r="G51" i="56"/>
  <c r="H51" i="56"/>
  <c r="I51" i="56"/>
  <c r="J51" i="56"/>
  <c r="K51" i="56"/>
  <c r="L51" i="56"/>
  <c r="M51" i="56"/>
  <c r="G52" i="56"/>
  <c r="H52" i="56"/>
  <c r="I52" i="56"/>
  <c r="J52" i="56"/>
  <c r="K52" i="56"/>
  <c r="L52" i="56"/>
  <c r="M52" i="56"/>
  <c r="G53" i="56"/>
  <c r="H53" i="56"/>
  <c r="I53" i="56"/>
  <c r="J53" i="56"/>
  <c r="K53" i="56"/>
  <c r="L53" i="56"/>
  <c r="M53" i="56"/>
  <c r="G56" i="56"/>
  <c r="H56" i="56"/>
  <c r="I56" i="56"/>
  <c r="J56" i="56"/>
  <c r="K56" i="56"/>
  <c r="L56" i="56"/>
  <c r="M56" i="56"/>
  <c r="G57" i="56"/>
  <c r="H57" i="56"/>
  <c r="I57" i="56"/>
  <c r="J57" i="56"/>
  <c r="K57" i="56"/>
  <c r="L57" i="56"/>
  <c r="M57" i="56"/>
  <c r="G58" i="56"/>
  <c r="H58" i="56"/>
  <c r="I58" i="56"/>
  <c r="J58" i="56"/>
  <c r="K58" i="56"/>
  <c r="L58" i="56"/>
  <c r="M58" i="56"/>
  <c r="G59" i="56"/>
  <c r="H59" i="56"/>
  <c r="I59" i="56"/>
  <c r="J59" i="56"/>
  <c r="K59" i="56"/>
  <c r="L59" i="56"/>
  <c r="M59" i="56"/>
  <c r="G63" i="56"/>
  <c r="H63" i="56"/>
  <c r="I63" i="56"/>
  <c r="J63" i="56"/>
  <c r="K63" i="56"/>
  <c r="L63" i="56"/>
  <c r="M63" i="56"/>
  <c r="G64" i="56"/>
  <c r="H64" i="56"/>
  <c r="I64" i="56"/>
  <c r="J64" i="56"/>
  <c r="K64" i="56"/>
  <c r="L64" i="56"/>
  <c r="M64" i="56"/>
  <c r="G65" i="56"/>
  <c r="H65" i="56"/>
  <c r="I65" i="56"/>
  <c r="J65" i="56"/>
  <c r="K65" i="56"/>
  <c r="L65" i="56"/>
  <c r="M65" i="56"/>
  <c r="G66" i="56"/>
  <c r="H66" i="56"/>
  <c r="I66" i="56"/>
  <c r="J66" i="56"/>
  <c r="K66" i="56"/>
  <c r="L66" i="56"/>
  <c r="M66" i="56"/>
  <c r="G69" i="56"/>
  <c r="H69" i="56"/>
  <c r="I69" i="56"/>
  <c r="J69" i="56"/>
  <c r="K69" i="56"/>
  <c r="L69" i="56"/>
  <c r="M69" i="56"/>
  <c r="G70" i="56"/>
  <c r="H70" i="56"/>
  <c r="I70" i="56"/>
  <c r="J70" i="56"/>
  <c r="K70" i="56"/>
  <c r="L70" i="56"/>
  <c r="M70" i="56"/>
  <c r="G71" i="56"/>
  <c r="H71" i="56"/>
  <c r="I71" i="56"/>
  <c r="J71" i="56"/>
  <c r="K71" i="56"/>
  <c r="L71" i="56"/>
  <c r="M71" i="56"/>
  <c r="G72" i="56"/>
  <c r="H72" i="56"/>
  <c r="I72" i="56"/>
  <c r="J72" i="56"/>
  <c r="K72" i="56"/>
  <c r="L72" i="56"/>
  <c r="M72" i="56"/>
  <c r="G75" i="56"/>
  <c r="H75" i="56"/>
  <c r="I75" i="56"/>
  <c r="J75" i="56"/>
  <c r="K75" i="56"/>
  <c r="L75" i="56"/>
  <c r="M75" i="56"/>
  <c r="G76" i="56"/>
  <c r="H76" i="56"/>
  <c r="I76" i="56"/>
  <c r="J76" i="56"/>
  <c r="K76" i="56"/>
  <c r="L76" i="56"/>
  <c r="M76" i="56"/>
  <c r="G77" i="56"/>
  <c r="H77" i="56"/>
  <c r="I77" i="56"/>
  <c r="J77" i="56"/>
  <c r="K77" i="56"/>
  <c r="L77" i="56"/>
  <c r="M77" i="56"/>
  <c r="G80" i="56"/>
  <c r="H80" i="56"/>
  <c r="I80" i="56"/>
  <c r="J80" i="56"/>
  <c r="K80" i="56"/>
  <c r="L80" i="56"/>
  <c r="M80" i="56"/>
  <c r="G81" i="56"/>
  <c r="H81" i="56"/>
  <c r="I81" i="56"/>
  <c r="J81" i="56"/>
  <c r="K81" i="56"/>
  <c r="L81" i="56"/>
  <c r="M81" i="56"/>
  <c r="G82" i="56"/>
  <c r="H82" i="56"/>
  <c r="I82" i="56"/>
  <c r="J82" i="56"/>
  <c r="K82" i="56"/>
  <c r="L82" i="56"/>
  <c r="M82" i="56"/>
  <c r="G83" i="56"/>
  <c r="H83" i="56"/>
  <c r="I83" i="56"/>
  <c r="J83" i="56"/>
  <c r="K83" i="56"/>
  <c r="L83" i="56"/>
  <c r="M83" i="56"/>
  <c r="G88" i="56"/>
  <c r="H88" i="56"/>
  <c r="I88" i="56"/>
  <c r="J88" i="56"/>
  <c r="K88" i="56"/>
  <c r="L88" i="56"/>
  <c r="M88" i="56"/>
  <c r="G89" i="56"/>
  <c r="H89" i="56"/>
  <c r="I89" i="56"/>
  <c r="J89" i="56"/>
  <c r="K89" i="56"/>
  <c r="L89" i="56"/>
  <c r="M89" i="56"/>
  <c r="G90" i="56"/>
  <c r="H90" i="56"/>
  <c r="I90" i="56"/>
  <c r="J90" i="56"/>
  <c r="K90" i="56"/>
  <c r="L90" i="56"/>
  <c r="M90" i="56"/>
  <c r="G94" i="56"/>
  <c r="H94" i="56"/>
  <c r="I94" i="56"/>
  <c r="J94" i="56"/>
  <c r="K94" i="56"/>
  <c r="L94" i="56"/>
  <c r="M94" i="56"/>
  <c r="G95" i="56"/>
  <c r="H95" i="56"/>
  <c r="I95" i="56"/>
  <c r="J95" i="56"/>
  <c r="K95" i="56"/>
  <c r="L95" i="56"/>
  <c r="M95" i="56"/>
  <c r="G96" i="56"/>
  <c r="H96" i="56"/>
  <c r="I96" i="56"/>
  <c r="J96" i="56"/>
  <c r="K96" i="56"/>
  <c r="L96" i="56"/>
  <c r="M96" i="56"/>
  <c r="G97" i="56"/>
  <c r="H97" i="56"/>
  <c r="I97" i="56"/>
  <c r="J97" i="56"/>
  <c r="K97" i="56"/>
  <c r="L97" i="56"/>
  <c r="M97" i="56"/>
  <c r="G100" i="56"/>
  <c r="H100" i="56"/>
  <c r="I100" i="56"/>
  <c r="J100" i="56"/>
  <c r="K100" i="56"/>
  <c r="L100" i="56"/>
  <c r="M100" i="56"/>
  <c r="G101" i="56"/>
  <c r="H101" i="56"/>
  <c r="I101" i="56"/>
  <c r="J101" i="56"/>
  <c r="K101" i="56"/>
  <c r="L101" i="56"/>
  <c r="M101" i="56"/>
  <c r="G102" i="56"/>
  <c r="H102" i="56"/>
  <c r="I102" i="56"/>
  <c r="J102" i="56"/>
  <c r="K102" i="56"/>
  <c r="L102" i="56"/>
  <c r="M102" i="56"/>
  <c r="G103" i="56"/>
  <c r="H103" i="56"/>
  <c r="I103" i="56"/>
  <c r="J103" i="56"/>
  <c r="K103" i="56"/>
  <c r="L103" i="56"/>
  <c r="M103" i="56"/>
  <c r="G106" i="56"/>
  <c r="H106" i="56"/>
  <c r="I106" i="56"/>
  <c r="J106" i="56"/>
  <c r="K106" i="56"/>
  <c r="L106" i="56"/>
  <c r="M106" i="56"/>
  <c r="G107" i="56"/>
  <c r="H107" i="56"/>
  <c r="I107" i="56"/>
  <c r="J107" i="56"/>
  <c r="K107" i="56"/>
  <c r="L107" i="56"/>
  <c r="M107" i="56"/>
  <c r="G108" i="56"/>
  <c r="H108" i="56"/>
  <c r="I108" i="56"/>
  <c r="J108" i="56"/>
  <c r="K108" i="56"/>
  <c r="L108" i="56"/>
  <c r="M108" i="56"/>
  <c r="G112" i="56"/>
  <c r="H112" i="56"/>
  <c r="I112" i="56"/>
  <c r="J112" i="56"/>
  <c r="K112" i="56"/>
  <c r="L112" i="56"/>
  <c r="M112" i="56"/>
  <c r="G113" i="56"/>
  <c r="H113" i="56"/>
  <c r="I113" i="56"/>
  <c r="J113" i="56"/>
  <c r="K113" i="56"/>
  <c r="L113" i="56"/>
  <c r="M113" i="56"/>
  <c r="G114" i="56"/>
  <c r="H114" i="56"/>
  <c r="I114" i="56"/>
  <c r="J114" i="56"/>
  <c r="K114" i="56"/>
  <c r="L114" i="56"/>
  <c r="M114" i="56"/>
  <c r="G118" i="56"/>
  <c r="H118" i="56"/>
  <c r="I118" i="56"/>
  <c r="J118" i="56"/>
  <c r="K118" i="56"/>
  <c r="L118" i="56"/>
  <c r="M118" i="56"/>
  <c r="G119" i="56"/>
  <c r="H119" i="56"/>
  <c r="I119" i="56"/>
  <c r="J119" i="56"/>
  <c r="K119" i="56"/>
  <c r="L119" i="56"/>
  <c r="M119" i="56"/>
  <c r="G120" i="56"/>
  <c r="H120" i="56"/>
  <c r="I120" i="56"/>
  <c r="J120" i="56"/>
  <c r="K120" i="56"/>
  <c r="L120" i="56"/>
  <c r="M120" i="56"/>
  <c r="G121" i="56"/>
  <c r="H121" i="56"/>
  <c r="I121" i="56"/>
  <c r="J121" i="56"/>
  <c r="K121" i="56"/>
  <c r="L121" i="56"/>
  <c r="M121" i="56"/>
  <c r="G124" i="56"/>
  <c r="H124" i="56"/>
  <c r="I124" i="56"/>
  <c r="J124" i="56"/>
  <c r="K124" i="56"/>
  <c r="L124" i="56"/>
  <c r="M124" i="56"/>
  <c r="G125" i="56"/>
  <c r="H125" i="56"/>
  <c r="I125" i="56"/>
  <c r="J125" i="56"/>
  <c r="K125" i="56"/>
  <c r="L125" i="56"/>
  <c r="M125" i="56"/>
  <c r="G126" i="56"/>
  <c r="H126" i="56"/>
  <c r="I126" i="56"/>
  <c r="J126" i="56"/>
  <c r="K126" i="56"/>
  <c r="L126" i="56"/>
  <c r="M126" i="56"/>
  <c r="G127" i="56"/>
  <c r="H127" i="56"/>
  <c r="I127" i="56"/>
  <c r="J127" i="56"/>
  <c r="K127" i="56"/>
  <c r="L127" i="56"/>
  <c r="M127" i="56"/>
  <c r="G130" i="56"/>
  <c r="H130" i="56"/>
  <c r="I130" i="56"/>
  <c r="J130" i="56"/>
  <c r="K130" i="56"/>
  <c r="L130" i="56"/>
  <c r="M130" i="56"/>
  <c r="G131" i="56"/>
  <c r="H131" i="56"/>
  <c r="I131" i="56"/>
  <c r="J131" i="56"/>
  <c r="K131" i="56"/>
  <c r="L131" i="56"/>
  <c r="M131" i="56"/>
  <c r="G132" i="56"/>
  <c r="H132" i="56"/>
  <c r="I132" i="56"/>
  <c r="J132" i="56"/>
  <c r="K132" i="56"/>
  <c r="L132" i="56"/>
  <c r="M132" i="56"/>
  <c r="G135" i="56"/>
  <c r="H135" i="56"/>
  <c r="I135" i="56"/>
  <c r="J135" i="56"/>
  <c r="K135" i="56"/>
  <c r="L135" i="56"/>
  <c r="M135" i="56"/>
  <c r="G136" i="56"/>
  <c r="H136" i="56"/>
  <c r="I136" i="56"/>
  <c r="J136" i="56"/>
  <c r="K136" i="56"/>
  <c r="L136" i="56"/>
  <c r="M136" i="56"/>
  <c r="G137" i="56"/>
  <c r="H137" i="56"/>
  <c r="I137" i="56"/>
  <c r="J137" i="56"/>
  <c r="K137" i="56"/>
  <c r="L137" i="56"/>
  <c r="M137" i="56"/>
  <c r="G138" i="56"/>
  <c r="H138" i="56"/>
  <c r="I138" i="56"/>
  <c r="J138" i="56"/>
  <c r="K138" i="56"/>
  <c r="L138" i="56"/>
  <c r="M138" i="56"/>
  <c r="G139" i="56"/>
  <c r="H139" i="56"/>
  <c r="I139" i="56"/>
  <c r="J139" i="56"/>
  <c r="K139" i="56"/>
  <c r="L139" i="56"/>
  <c r="M139" i="56"/>
  <c r="G140" i="56"/>
  <c r="H140" i="56"/>
  <c r="I140" i="56"/>
  <c r="J140" i="56"/>
  <c r="K140" i="56"/>
  <c r="L140" i="56"/>
  <c r="M140" i="56"/>
  <c r="G141" i="56"/>
  <c r="H141" i="56"/>
  <c r="I141" i="56"/>
  <c r="J141" i="56"/>
  <c r="K141" i="56"/>
  <c r="L141" i="56"/>
  <c r="M141" i="56"/>
  <c r="G143" i="56"/>
  <c r="H143" i="56"/>
  <c r="I143" i="56"/>
  <c r="J143" i="56"/>
  <c r="K143" i="56"/>
  <c r="L143" i="56"/>
  <c r="M143" i="56"/>
  <c r="G146" i="56"/>
  <c r="H146" i="56"/>
  <c r="I146" i="56"/>
  <c r="J146" i="56"/>
  <c r="K146" i="56"/>
  <c r="L146" i="56"/>
  <c r="M146" i="56"/>
  <c r="G147" i="56"/>
  <c r="H147" i="56"/>
  <c r="I147" i="56"/>
  <c r="J147" i="56"/>
  <c r="K147" i="56"/>
  <c r="L147" i="56"/>
  <c r="M147" i="56"/>
  <c r="G148" i="56"/>
  <c r="H148" i="56"/>
  <c r="I148" i="56"/>
  <c r="J148" i="56"/>
  <c r="K148" i="56"/>
  <c r="L148" i="56"/>
  <c r="M148" i="56"/>
  <c r="G149" i="56"/>
  <c r="H149" i="56"/>
  <c r="I149" i="56"/>
  <c r="J149" i="56"/>
  <c r="K149" i="56"/>
  <c r="L149" i="56"/>
  <c r="M149" i="56"/>
  <c r="G151" i="56"/>
  <c r="H151" i="56"/>
  <c r="I151" i="56"/>
  <c r="J151" i="56"/>
  <c r="K151" i="56"/>
  <c r="L151" i="56"/>
  <c r="M151" i="56"/>
  <c r="G153" i="56"/>
  <c r="H153" i="56"/>
  <c r="I153" i="56"/>
  <c r="J153" i="56"/>
  <c r="K153" i="56"/>
  <c r="L153" i="56"/>
  <c r="M153" i="56"/>
  <c r="G156" i="56"/>
  <c r="H156" i="56"/>
  <c r="I156" i="56"/>
  <c r="J156" i="56"/>
  <c r="K156" i="56"/>
  <c r="L156" i="56"/>
  <c r="M156" i="56"/>
  <c r="G159" i="56"/>
  <c r="H159" i="56"/>
  <c r="I159" i="56"/>
  <c r="J159" i="56"/>
  <c r="K159" i="56"/>
  <c r="L159" i="56"/>
  <c r="M159" i="56"/>
  <c r="G160" i="56"/>
  <c r="H160" i="56"/>
  <c r="I160" i="56"/>
  <c r="J160" i="56"/>
  <c r="K160" i="56"/>
  <c r="L160" i="56"/>
  <c r="M160" i="56"/>
  <c r="G161" i="56"/>
  <c r="H161" i="56"/>
  <c r="I161" i="56"/>
  <c r="J161" i="56"/>
  <c r="K161" i="56"/>
  <c r="L161" i="56"/>
  <c r="M161" i="56"/>
  <c r="G163" i="56"/>
  <c r="H163" i="56"/>
  <c r="I163" i="56"/>
  <c r="J163" i="56"/>
  <c r="K163" i="56"/>
  <c r="L163" i="56"/>
  <c r="M163" i="56"/>
  <c r="G164" i="56"/>
  <c r="H164" i="56"/>
  <c r="I164" i="56"/>
  <c r="J164" i="56"/>
  <c r="K164" i="56"/>
  <c r="L164" i="56"/>
  <c r="M164" i="56"/>
  <c r="G165" i="56"/>
  <c r="H165" i="56"/>
  <c r="I165" i="56"/>
  <c r="J165" i="56"/>
  <c r="K165" i="56"/>
  <c r="L165" i="56"/>
  <c r="M165" i="56"/>
  <c r="G166" i="56"/>
  <c r="H166" i="56"/>
  <c r="I166" i="56"/>
  <c r="J166" i="56"/>
  <c r="K166" i="56"/>
  <c r="L166" i="56"/>
  <c r="M166" i="56"/>
  <c r="G168" i="56"/>
  <c r="H168" i="56"/>
  <c r="I168" i="56"/>
  <c r="J168" i="56"/>
  <c r="K168" i="56"/>
  <c r="L168" i="56"/>
  <c r="M168" i="56"/>
  <c r="G172" i="56"/>
  <c r="H172" i="56"/>
  <c r="I172" i="56"/>
  <c r="J172" i="56"/>
  <c r="K172" i="56"/>
  <c r="L172" i="56"/>
  <c r="M172" i="56"/>
  <c r="G174" i="56"/>
  <c r="H174" i="56"/>
  <c r="I174" i="56"/>
  <c r="J174" i="56"/>
  <c r="K174" i="56"/>
  <c r="L174" i="56"/>
  <c r="M174" i="56"/>
  <c r="G185" i="56"/>
  <c r="H185" i="56"/>
  <c r="I185" i="56"/>
  <c r="J185" i="56"/>
  <c r="K185" i="56"/>
  <c r="L185" i="56"/>
  <c r="M185" i="56"/>
  <c r="G186" i="56"/>
  <c r="H186" i="56"/>
  <c r="I186" i="56"/>
  <c r="J186" i="56"/>
  <c r="K186" i="56"/>
  <c r="L186" i="56"/>
  <c r="M186" i="56"/>
  <c r="G187" i="56" a="1"/>
  <c r="G187" i="56"/>
  <c r="H187" i="56" a="1"/>
  <c r="H187" i="56"/>
  <c r="I187" i="56" a="1"/>
  <c r="I187" i="56"/>
  <c r="J187" i="56" a="1"/>
  <c r="J187" i="56"/>
  <c r="K187" i="56" a="1"/>
  <c r="K187" i="56"/>
  <c r="L187" i="56" a="1"/>
  <c r="L187" i="56"/>
  <c r="M187" i="56" a="1"/>
  <c r="M187" i="56"/>
  <c r="G188" i="56" a="1"/>
  <c r="G188" i="56"/>
  <c r="H188" i="56" a="1"/>
  <c r="H188" i="56"/>
  <c r="I188" i="56" a="1"/>
  <c r="I188" i="56"/>
  <c r="J188" i="56" a="1"/>
  <c r="J188" i="56"/>
  <c r="K188" i="56" a="1"/>
  <c r="K188" i="56"/>
  <c r="L188" i="56" a="1"/>
  <c r="L188" i="56"/>
  <c r="M188" i="56" a="1"/>
  <c r="M188" i="56"/>
  <c r="G191" i="56"/>
  <c r="H191" i="56"/>
  <c r="I191" i="56"/>
  <c r="J191" i="56"/>
  <c r="K191" i="56"/>
  <c r="L191" i="56"/>
  <c r="M191" i="56"/>
  <c r="G192" i="56"/>
  <c r="H192" i="56"/>
  <c r="I192" i="56"/>
  <c r="J192" i="56"/>
  <c r="K192" i="56"/>
  <c r="L192" i="56"/>
  <c r="M192" i="56"/>
  <c r="G193" i="56" a="1"/>
  <c r="G193" i="56"/>
  <c r="H193" i="56" a="1"/>
  <c r="H193" i="56"/>
  <c r="I193" i="56" a="1"/>
  <c r="I193" i="56"/>
  <c r="J193" i="56" a="1"/>
  <c r="J193" i="56"/>
  <c r="K193" i="56" a="1"/>
  <c r="K193" i="56"/>
  <c r="L193" i="56" a="1"/>
  <c r="L193" i="56"/>
  <c r="M193" i="56" a="1"/>
  <c r="M193" i="56"/>
  <c r="G194" i="56" a="1"/>
  <c r="G194" i="56"/>
  <c r="H194" i="56" a="1"/>
  <c r="H194" i="56"/>
  <c r="I194" i="56" a="1"/>
  <c r="I194" i="56"/>
  <c r="J194" i="56" a="1"/>
  <c r="J194" i="56"/>
  <c r="K194" i="56" a="1"/>
  <c r="K194" i="56"/>
  <c r="L194" i="56" a="1"/>
  <c r="L194" i="56"/>
  <c r="M194" i="56" a="1"/>
  <c r="M194" i="56"/>
  <c r="G198" i="56"/>
  <c r="H198" i="56"/>
  <c r="I198" i="56"/>
  <c r="J198" i="56"/>
  <c r="K198" i="56"/>
  <c r="L198" i="56"/>
  <c r="M198" i="56"/>
  <c r="G199" i="56"/>
  <c r="H199" i="56"/>
  <c r="I199" i="56"/>
  <c r="J199" i="56"/>
  <c r="K199" i="56"/>
  <c r="L199" i="56"/>
  <c r="M199" i="56"/>
  <c r="G200" i="56"/>
  <c r="H200" i="56"/>
  <c r="I200" i="56"/>
  <c r="J200" i="56"/>
  <c r="K200" i="56"/>
  <c r="L200" i="56"/>
  <c r="M200" i="56"/>
  <c r="G201" i="56" a="1"/>
  <c r="G201" i="56"/>
  <c r="H201" i="56" a="1"/>
  <c r="H201" i="56"/>
  <c r="I201" i="56" a="1"/>
  <c r="I201" i="56"/>
  <c r="J201" i="56" a="1"/>
  <c r="J201" i="56"/>
  <c r="K201" i="56" a="1"/>
  <c r="K201" i="56"/>
  <c r="L201" i="56" a="1"/>
  <c r="L201" i="56"/>
  <c r="M201" i="56" a="1"/>
  <c r="M201" i="56"/>
  <c r="G202" i="56" a="1"/>
  <c r="G202" i="56"/>
  <c r="H202" i="56" a="1"/>
  <c r="H202" i="56"/>
  <c r="I202" i="56" a="1"/>
  <c r="I202" i="56"/>
  <c r="J202" i="56" a="1"/>
  <c r="J202" i="56"/>
  <c r="K202" i="56" a="1"/>
  <c r="K202" i="56"/>
  <c r="L202" i="56" a="1"/>
  <c r="L202" i="56"/>
  <c r="M202" i="56" a="1"/>
  <c r="M202" i="56"/>
  <c r="G205" i="56"/>
  <c r="H205" i="56"/>
  <c r="I205" i="56"/>
  <c r="J205" i="56"/>
  <c r="K205" i="56"/>
  <c r="L205" i="56"/>
  <c r="M205" i="56"/>
  <c r="G206" i="56"/>
  <c r="H206" i="56"/>
  <c r="I206" i="56"/>
  <c r="J206" i="56"/>
  <c r="K206" i="56"/>
  <c r="L206" i="56"/>
  <c r="M206" i="56"/>
  <c r="G207" i="56"/>
  <c r="H207" i="56"/>
  <c r="I207" i="56"/>
  <c r="J207" i="56"/>
  <c r="K207" i="56"/>
  <c r="L207" i="56"/>
  <c r="M207" i="56"/>
  <c r="G208" i="56" a="1"/>
  <c r="G208" i="56"/>
  <c r="H208" i="56" a="1"/>
  <c r="H208" i="56"/>
  <c r="I208" i="56" a="1"/>
  <c r="I208" i="56"/>
  <c r="J208" i="56" a="1"/>
  <c r="J208" i="56"/>
  <c r="K208" i="56" a="1"/>
  <c r="K208" i="56"/>
  <c r="L208" i="56" a="1"/>
  <c r="L208" i="56"/>
  <c r="M208" i="56" a="1"/>
  <c r="M208" i="56"/>
  <c r="G209" i="56" a="1"/>
  <c r="G209" i="56"/>
  <c r="H209" i="56" a="1"/>
  <c r="H209" i="56"/>
  <c r="I209" i="56" a="1"/>
  <c r="I209" i="56"/>
  <c r="J209" i="56" a="1"/>
  <c r="J209" i="56"/>
  <c r="K209" i="56" a="1"/>
  <c r="K209" i="56"/>
  <c r="L209" i="56" a="1"/>
  <c r="L209" i="56"/>
  <c r="M209" i="56" a="1"/>
  <c r="M209" i="56"/>
  <c r="G213" i="56"/>
  <c r="H213" i="56"/>
  <c r="I213" i="56"/>
  <c r="J213" i="56"/>
  <c r="K213" i="56"/>
  <c r="L213" i="56"/>
  <c r="M213" i="56"/>
  <c r="G214" i="56"/>
  <c r="H214" i="56"/>
  <c r="I214" i="56"/>
  <c r="J214" i="56"/>
  <c r="K214" i="56"/>
  <c r="L214" i="56"/>
  <c r="M214" i="56"/>
  <c r="G215" i="56" a="1"/>
  <c r="G215" i="56"/>
  <c r="H215" i="56" a="1"/>
  <c r="H215" i="56"/>
  <c r="I215" i="56" a="1"/>
  <c r="I215" i="56"/>
  <c r="J215" i="56" a="1"/>
  <c r="J215" i="56"/>
  <c r="K215" i="56" a="1"/>
  <c r="K215" i="56"/>
  <c r="L215" i="56" a="1"/>
  <c r="L215" i="56"/>
  <c r="M215" i="56" a="1"/>
  <c r="M215" i="56"/>
  <c r="G216" i="56" a="1"/>
  <c r="G216" i="56"/>
  <c r="H216" i="56" a="1"/>
  <c r="H216" i="56"/>
  <c r="I216" i="56" a="1"/>
  <c r="I216" i="56"/>
  <c r="J216" i="56" a="1"/>
  <c r="J216" i="56"/>
  <c r="K216" i="56" a="1"/>
  <c r="K216" i="56"/>
  <c r="L216" i="56" a="1"/>
  <c r="L216" i="56"/>
  <c r="M216" i="56" a="1"/>
  <c r="M216" i="56"/>
  <c r="G219" i="56"/>
  <c r="H219" i="56"/>
  <c r="I219" i="56"/>
  <c r="J219" i="56"/>
  <c r="K219" i="56"/>
  <c r="L219" i="56"/>
  <c r="M219" i="56"/>
  <c r="G220" i="56"/>
  <c r="H220" i="56"/>
  <c r="I220" i="56"/>
  <c r="J220" i="56"/>
  <c r="K220" i="56"/>
  <c r="L220" i="56"/>
  <c r="M220" i="56"/>
  <c r="G221" i="56" a="1"/>
  <c r="G221" i="56"/>
  <c r="H221" i="56" a="1"/>
  <c r="H221" i="56"/>
  <c r="I221" i="56" a="1"/>
  <c r="I221" i="56"/>
  <c r="J221" i="56" a="1"/>
  <c r="J221" i="56"/>
  <c r="K221" i="56" a="1"/>
  <c r="K221" i="56"/>
  <c r="L221" i="56" a="1"/>
  <c r="L221" i="56"/>
  <c r="M221" i="56" a="1"/>
  <c r="M221" i="56"/>
  <c r="G222" i="56" a="1"/>
  <c r="G222" i="56"/>
  <c r="H222" i="56" a="1"/>
  <c r="H222" i="56"/>
  <c r="I222" i="56" a="1"/>
  <c r="I222" i="56"/>
  <c r="J222" i="56" a="1"/>
  <c r="J222" i="56"/>
  <c r="K222" i="56" a="1"/>
  <c r="K222" i="56"/>
  <c r="L222" i="56" a="1"/>
  <c r="L222" i="56"/>
  <c r="M222" i="56" a="1"/>
  <c r="M222" i="56"/>
  <c r="G226" i="56"/>
  <c r="H226" i="56"/>
  <c r="I226" i="56"/>
  <c r="J226" i="56"/>
  <c r="K226" i="56"/>
  <c r="L226" i="56"/>
  <c r="M226" i="56"/>
  <c r="G227" i="56"/>
  <c r="H227" i="56"/>
  <c r="I227" i="56"/>
  <c r="J227" i="56"/>
  <c r="K227" i="56"/>
  <c r="L227" i="56"/>
  <c r="M227" i="56"/>
  <c r="G228" i="56" a="1"/>
  <c r="G228" i="56"/>
  <c r="H228" i="56" a="1"/>
  <c r="H228" i="56"/>
  <c r="I228" i="56" a="1"/>
  <c r="I228" i="56"/>
  <c r="J228" i="56" a="1"/>
  <c r="J228" i="56"/>
  <c r="K228" i="56" a="1"/>
  <c r="K228" i="56"/>
  <c r="L228" i="56" a="1"/>
  <c r="L228" i="56"/>
  <c r="M228" i="56" a="1"/>
  <c r="M228" i="56"/>
  <c r="G229" i="56" a="1"/>
  <c r="G229" i="56"/>
  <c r="H229" i="56" a="1"/>
  <c r="H229" i="56"/>
  <c r="I229" i="56" a="1"/>
  <c r="I229" i="56"/>
  <c r="J229" i="56" a="1"/>
  <c r="J229" i="56"/>
  <c r="K229" i="56" a="1"/>
  <c r="K229" i="56"/>
  <c r="L229" i="56" a="1"/>
  <c r="L229" i="56"/>
  <c r="M229" i="56" a="1"/>
  <c r="M229" i="56"/>
  <c r="G232" i="56"/>
  <c r="H232" i="56"/>
  <c r="I232" i="56"/>
  <c r="J232" i="56"/>
  <c r="K232" i="56"/>
  <c r="L232" i="56"/>
  <c r="M232" i="56"/>
  <c r="G233" i="56"/>
  <c r="H233" i="56"/>
  <c r="I233" i="56"/>
  <c r="J233" i="56"/>
  <c r="K233" i="56"/>
  <c r="L233" i="56"/>
  <c r="M233" i="56"/>
  <c r="G234" i="56" a="1"/>
  <c r="G234" i="56"/>
  <c r="H234" i="56" a="1"/>
  <c r="H234" i="56"/>
  <c r="I234" i="56" a="1"/>
  <c r="I234" i="56"/>
  <c r="J234" i="56" a="1"/>
  <c r="J234" i="56"/>
  <c r="K234" i="56" a="1"/>
  <c r="K234" i="56"/>
  <c r="L234" i="56" a="1"/>
  <c r="L234" i="56"/>
  <c r="M234" i="56" a="1"/>
  <c r="M234" i="56"/>
  <c r="G235" i="56" a="1"/>
  <c r="G235" i="56"/>
  <c r="H235" i="56" a="1"/>
  <c r="H235" i="56"/>
  <c r="I235" i="56" a="1"/>
  <c r="I235" i="56"/>
  <c r="J235" i="56" a="1"/>
  <c r="J235" i="56"/>
  <c r="K235" i="56" a="1"/>
  <c r="K235" i="56"/>
  <c r="L235" i="56" a="1"/>
  <c r="L235" i="56"/>
  <c r="M235" i="56" a="1"/>
  <c r="M235" i="56"/>
  <c r="G239" i="56"/>
  <c r="H239" i="56"/>
  <c r="I239" i="56"/>
  <c r="J239" i="56"/>
  <c r="K239" i="56"/>
  <c r="L239" i="56"/>
  <c r="M239" i="56"/>
  <c r="G240" i="56"/>
  <c r="H240" i="56"/>
  <c r="I240" i="56"/>
  <c r="J240" i="56"/>
  <c r="K240" i="56"/>
  <c r="L240" i="56"/>
  <c r="M240" i="56"/>
  <c r="G241" i="56" a="1"/>
  <c r="G241" i="56"/>
  <c r="H241" i="56" a="1"/>
  <c r="H241" i="56"/>
  <c r="I241" i="56" a="1"/>
  <c r="I241" i="56"/>
  <c r="J241" i="56" a="1"/>
  <c r="J241" i="56"/>
  <c r="K241" i="56" a="1"/>
  <c r="K241" i="56"/>
  <c r="L241" i="56" a="1"/>
  <c r="L241" i="56"/>
  <c r="M241" i="56" a="1"/>
  <c r="M241" i="56"/>
  <c r="G242" i="56" a="1"/>
  <c r="G242" i="56"/>
  <c r="H242" i="56" a="1"/>
  <c r="H242" i="56"/>
  <c r="I242" i="56" a="1"/>
  <c r="I242" i="56"/>
  <c r="J242" i="56" a="1"/>
  <c r="J242" i="56"/>
  <c r="K242" i="56" a="1"/>
  <c r="K242" i="56"/>
  <c r="L242" i="56" a="1"/>
  <c r="L242" i="56"/>
  <c r="M242" i="56" a="1"/>
  <c r="M242" i="56"/>
  <c r="G245" i="56"/>
  <c r="H245" i="56"/>
  <c r="I245" i="56"/>
  <c r="J245" i="56"/>
  <c r="K245" i="56"/>
  <c r="L245" i="56"/>
  <c r="M245" i="56"/>
  <c r="G246" i="56"/>
  <c r="H246" i="56"/>
  <c r="I246" i="56"/>
  <c r="J246" i="56"/>
  <c r="K246" i="56"/>
  <c r="L246" i="56"/>
  <c r="M246" i="56"/>
  <c r="G247" i="56" a="1"/>
  <c r="G247" i="56"/>
  <c r="H247" i="56" a="1"/>
  <c r="H247" i="56"/>
  <c r="I247" i="56" a="1"/>
  <c r="I247" i="56"/>
  <c r="J247" i="56" a="1"/>
  <c r="J247" i="56"/>
  <c r="K247" i="56" a="1"/>
  <c r="K247" i="56"/>
  <c r="L247" i="56" a="1"/>
  <c r="L247" i="56"/>
  <c r="M247" i="56" a="1"/>
  <c r="M247" i="56"/>
  <c r="G248" i="56" a="1"/>
  <c r="G248" i="56"/>
  <c r="H248" i="56" a="1"/>
  <c r="H248" i="56"/>
  <c r="I248" i="56" a="1"/>
  <c r="I248" i="56"/>
  <c r="J248" i="56" a="1"/>
  <c r="J248" i="56"/>
  <c r="K248" i="56" a="1"/>
  <c r="K248" i="56"/>
  <c r="L248" i="56" a="1"/>
  <c r="L248" i="56"/>
  <c r="M248" i="56" a="1"/>
  <c r="M248" i="56"/>
  <c r="G252" i="56"/>
  <c r="H252" i="56"/>
  <c r="I252" i="56"/>
  <c r="J252" i="56"/>
  <c r="K252" i="56"/>
  <c r="L252" i="56"/>
  <c r="M252" i="56"/>
  <c r="G253" i="56"/>
  <c r="H253" i="56"/>
  <c r="I253" i="56"/>
  <c r="J253" i="56"/>
  <c r="K253" i="56"/>
  <c r="L253" i="56"/>
  <c r="M253" i="56"/>
  <c r="G254" i="56" a="1"/>
  <c r="G254" i="56"/>
  <c r="H254" i="56" a="1"/>
  <c r="H254" i="56"/>
  <c r="I254" i="56" a="1"/>
  <c r="I254" i="56"/>
  <c r="J254" i="56" a="1"/>
  <c r="J254" i="56"/>
  <c r="K254" i="56" a="1"/>
  <c r="K254" i="56"/>
  <c r="L254" i="56" a="1"/>
  <c r="L254" i="56"/>
  <c r="M254" i="56" a="1"/>
  <c r="M254" i="56"/>
  <c r="G255" i="56" a="1"/>
  <c r="G255" i="56"/>
  <c r="H255" i="56" a="1"/>
  <c r="H255" i="56"/>
  <c r="I255" i="56" a="1"/>
  <c r="I255" i="56"/>
  <c r="J255" i="56" a="1"/>
  <c r="J255" i="56"/>
  <c r="K255" i="56" a="1"/>
  <c r="K255" i="56"/>
  <c r="L255" i="56" a="1"/>
  <c r="L255" i="56"/>
  <c r="M255" i="56" a="1"/>
  <c r="M255" i="56"/>
  <c r="G259" i="56"/>
  <c r="H259" i="56"/>
  <c r="I259" i="56"/>
  <c r="J259" i="56"/>
  <c r="K259" i="56"/>
  <c r="L259" i="56"/>
  <c r="M259" i="56"/>
  <c r="G260" i="56"/>
  <c r="H260" i="56"/>
  <c r="I260" i="56"/>
  <c r="J260" i="56"/>
  <c r="K260" i="56"/>
  <c r="L260" i="56"/>
  <c r="M260" i="56"/>
  <c r="G261" i="56" a="1"/>
  <c r="G261" i="56"/>
  <c r="H261" i="56" a="1"/>
  <c r="H261" i="56"/>
  <c r="I261" i="56" a="1"/>
  <c r="I261" i="56"/>
  <c r="J261" i="56" a="1"/>
  <c r="J261" i="56"/>
  <c r="K261" i="56" a="1"/>
  <c r="K261" i="56"/>
  <c r="L261" i="56" a="1"/>
  <c r="L261" i="56"/>
  <c r="M261" i="56" a="1"/>
  <c r="M261" i="56"/>
  <c r="G262" i="56" a="1"/>
  <c r="G262" i="56"/>
  <c r="H262" i="56" a="1"/>
  <c r="H262" i="56"/>
  <c r="I262" i="56" a="1"/>
  <c r="I262" i="56"/>
  <c r="J262" i="56" a="1"/>
  <c r="J262" i="56"/>
  <c r="K262" i="56" a="1"/>
  <c r="K262" i="56"/>
  <c r="L262" i="56" a="1"/>
  <c r="L262" i="56"/>
  <c r="M262" i="56" a="1"/>
  <c r="M262" i="56"/>
  <c r="G289" i="56"/>
  <c r="H289" i="56"/>
  <c r="I289" i="56"/>
  <c r="J289" i="56"/>
  <c r="K289" i="56"/>
  <c r="L289" i="56"/>
  <c r="M289" i="56"/>
  <c r="G290" i="56"/>
  <c r="H290" i="56"/>
  <c r="I290" i="56"/>
  <c r="J290" i="56"/>
  <c r="K290" i="56"/>
  <c r="L290" i="56"/>
  <c r="M290" i="56"/>
  <c r="G291" i="56"/>
  <c r="H291" i="56"/>
  <c r="I291" i="56"/>
  <c r="J291" i="56"/>
  <c r="K291" i="56"/>
  <c r="L291" i="56"/>
  <c r="M291" i="56"/>
  <c r="G292" i="56"/>
  <c r="H292" i="56"/>
  <c r="I292" i="56"/>
  <c r="J292" i="56"/>
  <c r="K292" i="56"/>
  <c r="L292" i="56"/>
  <c r="M292" i="56"/>
  <c r="G297" i="56"/>
  <c r="H297" i="56"/>
  <c r="I297" i="56"/>
  <c r="J297" i="56"/>
  <c r="K297" i="56"/>
  <c r="L297" i="56"/>
  <c r="M297" i="56"/>
  <c r="G298" i="56"/>
  <c r="H298" i="56"/>
  <c r="I298" i="56"/>
  <c r="J298" i="56"/>
  <c r="K298" i="56"/>
  <c r="L298" i="56"/>
  <c r="M298" i="56"/>
  <c r="G299" i="56"/>
  <c r="H299" i="56"/>
  <c r="I299" i="56"/>
  <c r="J299" i="56"/>
  <c r="K299" i="56"/>
  <c r="L299" i="56"/>
  <c r="M299" i="56"/>
  <c r="G300" i="56"/>
  <c r="H300" i="56"/>
  <c r="I300" i="56"/>
  <c r="J300" i="56"/>
  <c r="K300" i="56"/>
  <c r="L300" i="56"/>
  <c r="M300" i="56"/>
  <c r="G319" i="56"/>
  <c r="H319" i="56"/>
  <c r="I319" i="56"/>
  <c r="J319" i="56"/>
  <c r="K319" i="56"/>
  <c r="L319" i="56"/>
  <c r="M319" i="56"/>
  <c r="G320" i="56"/>
  <c r="H320" i="56"/>
  <c r="I320" i="56"/>
  <c r="J320" i="56"/>
  <c r="K320" i="56"/>
  <c r="L320" i="56"/>
  <c r="M320" i="56"/>
  <c r="G321" i="56" a="1"/>
  <c r="G321" i="56"/>
  <c r="H321" i="56" a="1"/>
  <c r="H321" i="56"/>
  <c r="I321" i="56" a="1"/>
  <c r="I321" i="56"/>
  <c r="J321" i="56" a="1"/>
  <c r="J321" i="56"/>
  <c r="K321" i="56" a="1"/>
  <c r="K321" i="56"/>
  <c r="L321" i="56" a="1"/>
  <c r="L321" i="56"/>
  <c r="M321" i="56" a="1"/>
  <c r="M321" i="56"/>
  <c r="G322" i="56" a="1"/>
  <c r="G322" i="56"/>
  <c r="H322" i="56" a="1"/>
  <c r="H322" i="56"/>
  <c r="I322" i="56" a="1"/>
  <c r="I322" i="56"/>
  <c r="J322" i="56" a="1"/>
  <c r="J322" i="56"/>
  <c r="K322" i="56" a="1"/>
  <c r="K322" i="56"/>
  <c r="L322" i="56" a="1"/>
  <c r="L322" i="56"/>
  <c r="M322" i="56" a="1"/>
  <c r="M322" i="56"/>
  <c r="G326" i="56"/>
  <c r="H326" i="56"/>
  <c r="I326" i="56"/>
  <c r="J326" i="56"/>
  <c r="K326" i="56"/>
  <c r="L326" i="56"/>
  <c r="M326" i="56"/>
  <c r="G327" i="56"/>
  <c r="H327" i="56"/>
  <c r="I327" i="56"/>
  <c r="J327" i="56"/>
  <c r="K327" i="56"/>
  <c r="L327" i="56"/>
  <c r="M327" i="56"/>
  <c r="G328" i="56"/>
  <c r="H328" i="56"/>
  <c r="I328" i="56"/>
  <c r="J328" i="56"/>
  <c r="K328" i="56"/>
  <c r="L328" i="56"/>
  <c r="M328" i="56"/>
  <c r="G329" i="56"/>
  <c r="H329" i="56"/>
  <c r="I329" i="56"/>
  <c r="J329" i="56"/>
  <c r="K329" i="56"/>
  <c r="L329" i="56"/>
  <c r="M329" i="56"/>
  <c r="G332" i="56"/>
  <c r="H332" i="56"/>
  <c r="I332" i="56"/>
  <c r="J332" i="56"/>
  <c r="K332" i="56"/>
  <c r="L332" i="56"/>
  <c r="M332" i="56"/>
  <c r="G333" i="56"/>
  <c r="H333" i="56"/>
  <c r="I333" i="56"/>
  <c r="J333" i="56"/>
  <c r="K333" i="56"/>
  <c r="L333" i="56"/>
  <c r="M333" i="56"/>
  <c r="G334" i="56" a="1"/>
  <c r="G334" i="56"/>
  <c r="H334" i="56" a="1"/>
  <c r="H334" i="56"/>
  <c r="I334" i="56" a="1"/>
  <c r="I334" i="56"/>
  <c r="J334" i="56" a="1"/>
  <c r="J334" i="56"/>
  <c r="K334" i="56" a="1"/>
  <c r="K334" i="56"/>
  <c r="L334" i="56" a="1"/>
  <c r="L334" i="56"/>
  <c r="M334" i="56" a="1"/>
  <c r="M334" i="56"/>
  <c r="G335" i="56" a="1"/>
  <c r="G335" i="56"/>
  <c r="H335" i="56" a="1"/>
  <c r="H335" i="56"/>
  <c r="I335" i="56" a="1"/>
  <c r="I335" i="56"/>
  <c r="J335" i="56" a="1"/>
  <c r="J335" i="56"/>
  <c r="K335" i="56" a="1"/>
  <c r="K335" i="56"/>
  <c r="L335" i="56" a="1"/>
  <c r="L335" i="56"/>
  <c r="M335" i="56" a="1"/>
  <c r="M335" i="56"/>
  <c r="G344" i="56"/>
  <c r="H344" i="56"/>
  <c r="I344" i="56"/>
  <c r="J344" i="56"/>
  <c r="K344" i="56"/>
  <c r="L344" i="56"/>
  <c r="M344" i="56"/>
  <c r="G345" i="56"/>
  <c r="H345" i="56"/>
  <c r="I345" i="56"/>
  <c r="J345" i="56"/>
  <c r="K345" i="56"/>
  <c r="L345" i="56"/>
  <c r="M345" i="56"/>
  <c r="G346" i="56"/>
  <c r="H346" i="56"/>
  <c r="I346" i="56"/>
  <c r="J346" i="56"/>
  <c r="K346" i="56"/>
  <c r="L346" i="56"/>
  <c r="M346" i="56"/>
  <c r="G347" i="56"/>
  <c r="H347" i="56"/>
  <c r="I347" i="56"/>
  <c r="J347" i="56"/>
  <c r="K347" i="56"/>
  <c r="L347" i="56"/>
  <c r="M347" i="56"/>
  <c r="G352" i="56"/>
  <c r="H352" i="56"/>
  <c r="I352" i="56"/>
  <c r="J352" i="56"/>
  <c r="K352" i="56"/>
  <c r="L352" i="56"/>
  <c r="M352" i="56"/>
  <c r="G353" i="56"/>
  <c r="H353" i="56"/>
  <c r="I353" i="56"/>
  <c r="J353" i="56"/>
  <c r="K353" i="56"/>
  <c r="L353" i="56"/>
  <c r="M353" i="56"/>
  <c r="G354" i="56"/>
  <c r="H354" i="56"/>
  <c r="I354" i="56"/>
  <c r="J354" i="56"/>
  <c r="K354" i="56"/>
  <c r="L354" i="56"/>
  <c r="M354" i="56"/>
  <c r="G357" i="56"/>
  <c r="H357" i="56"/>
  <c r="I357" i="56"/>
  <c r="J357" i="56"/>
  <c r="K357" i="56"/>
  <c r="L357" i="56"/>
  <c r="M357" i="56"/>
  <c r="G358" i="56"/>
  <c r="H358" i="56"/>
  <c r="I358" i="56"/>
  <c r="J358" i="56"/>
  <c r="K358" i="56"/>
  <c r="L358" i="56"/>
  <c r="M358" i="56"/>
  <c r="G359" i="56"/>
  <c r="H359" i="56"/>
  <c r="I359" i="56"/>
  <c r="J359" i="56"/>
  <c r="K359" i="56"/>
  <c r="L359" i="56"/>
  <c r="M359" i="56"/>
  <c r="G362" i="56"/>
  <c r="H362" i="56"/>
  <c r="I362" i="56"/>
  <c r="J362" i="56"/>
  <c r="K362" i="56"/>
  <c r="L362" i="56"/>
  <c r="M362" i="56"/>
  <c r="G363" i="56"/>
  <c r="H363" i="56"/>
  <c r="I363" i="56"/>
  <c r="J363" i="56"/>
  <c r="K363" i="56"/>
  <c r="L363" i="56"/>
  <c r="M363" i="56"/>
  <c r="G364" i="56"/>
  <c r="H364" i="56"/>
  <c r="I364" i="56"/>
  <c r="J364" i="56"/>
  <c r="K364" i="56"/>
  <c r="L364" i="56"/>
  <c r="M364" i="56"/>
  <c r="G367" i="56"/>
  <c r="H367" i="56"/>
  <c r="I367" i="56"/>
  <c r="J367" i="56"/>
  <c r="K367" i="56"/>
  <c r="L367" i="56"/>
  <c r="M367" i="56"/>
  <c r="G368" i="56"/>
  <c r="H368" i="56"/>
  <c r="I368" i="56"/>
  <c r="J368" i="56"/>
  <c r="K368" i="56"/>
  <c r="L368" i="56"/>
  <c r="M368" i="56"/>
  <c r="G369" i="56"/>
  <c r="H369" i="56"/>
  <c r="I369" i="56"/>
  <c r="J369" i="56"/>
  <c r="K369" i="56"/>
  <c r="L369" i="56"/>
  <c r="M369" i="56"/>
  <c r="G372" i="56"/>
  <c r="H372" i="56"/>
  <c r="I372" i="56"/>
  <c r="J372" i="56"/>
  <c r="K372" i="56"/>
  <c r="L372" i="56"/>
  <c r="M372" i="56"/>
  <c r="G373" i="56"/>
  <c r="H373" i="56"/>
  <c r="I373" i="56"/>
  <c r="J373" i="56"/>
  <c r="K373" i="56"/>
  <c r="L373" i="56"/>
  <c r="M373" i="56"/>
  <c r="G374" i="56"/>
  <c r="H374" i="56"/>
  <c r="I374" i="56"/>
  <c r="J374" i="56"/>
  <c r="K374" i="56"/>
  <c r="L374" i="56"/>
  <c r="M374" i="56"/>
  <c r="G377" i="56"/>
  <c r="H377" i="56"/>
  <c r="I377" i="56"/>
  <c r="J377" i="56"/>
  <c r="K377" i="56"/>
  <c r="L377" i="56"/>
  <c r="M377" i="56"/>
  <c r="G378" i="56"/>
  <c r="H378" i="56"/>
  <c r="I378" i="56"/>
  <c r="J378" i="56"/>
  <c r="K378" i="56"/>
  <c r="L378" i="56"/>
  <c r="M378" i="56"/>
  <c r="G379" i="56"/>
  <c r="H379" i="56"/>
  <c r="I379" i="56"/>
  <c r="J379" i="56"/>
  <c r="K379" i="56"/>
  <c r="L379" i="56"/>
  <c r="M379" i="56"/>
  <c r="G382" i="56"/>
  <c r="H382" i="56"/>
  <c r="I382" i="56"/>
  <c r="J382" i="56"/>
  <c r="K382" i="56"/>
  <c r="L382" i="56"/>
  <c r="M382" i="56"/>
  <c r="G383" i="56"/>
  <c r="H383" i="56"/>
  <c r="I383" i="56"/>
  <c r="J383" i="56"/>
  <c r="K383" i="56"/>
  <c r="L383" i="56"/>
  <c r="M383" i="56"/>
  <c r="G384" i="56"/>
  <c r="H384" i="56"/>
  <c r="I384" i="56"/>
  <c r="J384" i="56"/>
  <c r="K384" i="56"/>
  <c r="L384" i="56"/>
  <c r="M384" i="56"/>
  <c r="G387" i="56"/>
  <c r="H387" i="56"/>
  <c r="I387" i="56"/>
  <c r="J387" i="56"/>
  <c r="K387" i="56"/>
  <c r="L387" i="56"/>
  <c r="M387" i="56"/>
  <c r="G388" i="56"/>
  <c r="H388" i="56"/>
  <c r="I388" i="56"/>
  <c r="J388" i="56"/>
  <c r="K388" i="56"/>
  <c r="L388" i="56"/>
  <c r="M388" i="56"/>
  <c r="G389" i="56"/>
  <c r="H389" i="56"/>
  <c r="I389" i="56"/>
  <c r="J389" i="56"/>
  <c r="K389" i="56"/>
  <c r="L389" i="56"/>
  <c r="M389" i="56"/>
  <c r="G392" i="56"/>
  <c r="H392" i="56"/>
  <c r="I392" i="56"/>
  <c r="J392" i="56"/>
  <c r="K392" i="56"/>
  <c r="L392" i="56"/>
  <c r="M392" i="56"/>
  <c r="G393" i="56"/>
  <c r="H393" i="56"/>
  <c r="I393" i="56"/>
  <c r="J393" i="56"/>
  <c r="K393" i="56"/>
  <c r="L393" i="56"/>
  <c r="M393" i="56"/>
  <c r="G394" i="56"/>
  <c r="H394" i="56"/>
  <c r="I394" i="56"/>
  <c r="J394" i="56"/>
  <c r="K394" i="56"/>
  <c r="L394" i="56"/>
  <c r="M394" i="56"/>
  <c r="G423" i="56"/>
  <c r="H423" i="56"/>
  <c r="I423" i="56"/>
  <c r="J423" i="56"/>
  <c r="K423" i="56"/>
  <c r="L423" i="56"/>
  <c r="M423" i="56"/>
  <c r="G424" i="56"/>
  <c r="H424" i="56"/>
  <c r="I424" i="56"/>
  <c r="J424" i="56"/>
  <c r="K424" i="56"/>
  <c r="L424" i="56"/>
  <c r="M424" i="56"/>
  <c r="G425" i="56"/>
  <c r="H425" i="56"/>
  <c r="I425" i="56"/>
  <c r="J425" i="56"/>
  <c r="K425" i="56"/>
  <c r="L425" i="56"/>
  <c r="M425" i="56"/>
  <c r="G426" i="56"/>
  <c r="H426" i="56"/>
  <c r="I426" i="56"/>
  <c r="J426" i="56"/>
  <c r="K426" i="56"/>
  <c r="L426" i="56"/>
  <c r="M426" i="56"/>
  <c r="G427" i="56"/>
  <c r="H427" i="56"/>
  <c r="I427" i="56"/>
  <c r="J427" i="56"/>
  <c r="K427" i="56"/>
  <c r="L427" i="56"/>
  <c r="M427" i="56"/>
  <c r="G431" i="56"/>
  <c r="H431" i="56"/>
  <c r="I431" i="56"/>
  <c r="J431" i="56"/>
  <c r="K431" i="56"/>
  <c r="L431" i="56"/>
  <c r="M431" i="56"/>
  <c r="G432" i="56"/>
  <c r="H432" i="56"/>
  <c r="I432" i="56"/>
  <c r="J432" i="56"/>
  <c r="K432" i="56"/>
  <c r="L432" i="56"/>
  <c r="M432" i="56"/>
  <c r="G433" i="56"/>
  <c r="H433" i="56"/>
  <c r="I433" i="56"/>
  <c r="J433" i="56"/>
  <c r="K433" i="56"/>
  <c r="L433" i="56"/>
  <c r="M433" i="56"/>
  <c r="G434" i="56"/>
  <c r="H434" i="56"/>
  <c r="I434" i="56"/>
  <c r="J434" i="56"/>
  <c r="K434" i="56"/>
  <c r="L434" i="56"/>
  <c r="M434" i="56"/>
  <c r="G437" i="56"/>
  <c r="H437" i="56"/>
  <c r="I437" i="56"/>
  <c r="J437" i="56"/>
  <c r="K437" i="56"/>
  <c r="L437" i="56"/>
  <c r="M437" i="56"/>
  <c r="G438" i="56"/>
  <c r="H438" i="56"/>
  <c r="I438" i="56"/>
  <c r="J438" i="56"/>
  <c r="K438" i="56"/>
  <c r="L438" i="56"/>
  <c r="M438" i="56"/>
  <c r="G439" i="56"/>
  <c r="H439" i="56"/>
  <c r="I439" i="56"/>
  <c r="J439" i="56"/>
  <c r="K439" i="56"/>
  <c r="L439" i="56"/>
  <c r="M439" i="56"/>
  <c r="G440" i="56"/>
  <c r="H440" i="56"/>
  <c r="I440" i="56"/>
  <c r="J440" i="56"/>
  <c r="K440" i="56"/>
  <c r="L440" i="56"/>
  <c r="M440" i="56"/>
  <c r="G443" i="56"/>
  <c r="H443" i="56"/>
  <c r="I443" i="56"/>
  <c r="J443" i="56"/>
  <c r="K443" i="56"/>
  <c r="L443" i="56"/>
  <c r="M443" i="56"/>
  <c r="G444" i="56"/>
  <c r="H444" i="56"/>
  <c r="I444" i="56"/>
  <c r="J444" i="56"/>
  <c r="K444" i="56"/>
  <c r="L444" i="56"/>
  <c r="M444" i="56"/>
  <c r="G447" i="56"/>
  <c r="H447" i="56"/>
  <c r="I447" i="56"/>
  <c r="J447" i="56"/>
  <c r="K447" i="56"/>
  <c r="L447" i="56"/>
  <c r="M447" i="56"/>
  <c r="G448" i="56"/>
  <c r="H448" i="56"/>
  <c r="I448" i="56"/>
  <c r="J448" i="56"/>
  <c r="K448" i="56"/>
  <c r="L448" i="56"/>
  <c r="M448" i="56"/>
  <c r="G453" i="56"/>
  <c r="H453" i="56"/>
  <c r="I453" i="56"/>
  <c r="J453" i="56"/>
  <c r="K453" i="56"/>
  <c r="L453" i="56"/>
  <c r="M453" i="56"/>
  <c r="G454" i="56"/>
  <c r="H454" i="56"/>
  <c r="I454" i="56"/>
  <c r="J454" i="56"/>
  <c r="K454" i="56"/>
  <c r="L454" i="56"/>
  <c r="M454" i="56"/>
  <c r="G455" i="56"/>
  <c r="H455" i="56"/>
  <c r="I455" i="56"/>
  <c r="J455" i="56"/>
  <c r="K455" i="56"/>
  <c r="L455" i="56"/>
  <c r="M455" i="56"/>
  <c r="G456" i="56"/>
  <c r="H456" i="56"/>
  <c r="I456" i="56"/>
  <c r="J456" i="56"/>
  <c r="K456" i="56"/>
  <c r="L456" i="56"/>
  <c r="M456" i="56"/>
  <c r="G457" i="56"/>
  <c r="H457" i="56"/>
  <c r="I457" i="56"/>
  <c r="J457" i="56"/>
  <c r="K457" i="56"/>
  <c r="L457" i="56"/>
  <c r="M457" i="56"/>
  <c r="G461" i="56"/>
  <c r="H461" i="56"/>
  <c r="I461" i="56"/>
  <c r="J461" i="56"/>
  <c r="K461" i="56"/>
  <c r="L461" i="56"/>
  <c r="M461" i="56"/>
  <c r="G462" i="56"/>
  <c r="H462" i="56"/>
  <c r="I462" i="56"/>
  <c r="J462" i="56"/>
  <c r="K462" i="56"/>
  <c r="L462" i="56"/>
  <c r="M462" i="56"/>
  <c r="G463" i="56"/>
  <c r="H463" i="56"/>
  <c r="I463" i="56"/>
  <c r="J463" i="56"/>
  <c r="K463" i="56"/>
  <c r="L463" i="56"/>
  <c r="M463" i="56"/>
  <c r="G464" i="56"/>
  <c r="H464" i="56"/>
  <c r="I464" i="56"/>
  <c r="J464" i="56"/>
  <c r="K464" i="56"/>
  <c r="L464" i="56"/>
  <c r="M464" i="56"/>
  <c r="G467" i="56"/>
  <c r="H467" i="56"/>
  <c r="I467" i="56"/>
  <c r="J467" i="56"/>
  <c r="K467" i="56"/>
  <c r="L467" i="56"/>
  <c r="M467" i="56"/>
  <c r="G468" i="56"/>
  <c r="H468" i="56"/>
  <c r="I468" i="56"/>
  <c r="J468" i="56"/>
  <c r="K468" i="56"/>
  <c r="L468" i="56"/>
  <c r="M468" i="56"/>
  <c r="G469" i="56"/>
  <c r="H469" i="56"/>
  <c r="I469" i="56"/>
  <c r="J469" i="56"/>
  <c r="K469" i="56"/>
  <c r="L469" i="56"/>
  <c r="M469" i="56"/>
  <c r="G470" i="56"/>
  <c r="H470" i="56"/>
  <c r="I470" i="56"/>
  <c r="J470" i="56"/>
  <c r="K470" i="56"/>
  <c r="L470" i="56"/>
  <c r="M470" i="56"/>
  <c r="G473" i="56"/>
  <c r="H473" i="56"/>
  <c r="I473" i="56"/>
  <c r="J473" i="56"/>
  <c r="K473" i="56"/>
  <c r="L473" i="56"/>
  <c r="M473" i="56"/>
  <c r="G474" i="56"/>
  <c r="H474" i="56"/>
  <c r="I474" i="56"/>
  <c r="J474" i="56"/>
  <c r="K474" i="56"/>
  <c r="L474" i="56"/>
  <c r="M474" i="56"/>
  <c r="G477" i="56"/>
  <c r="H477" i="56"/>
  <c r="I477" i="56"/>
  <c r="J477" i="56"/>
  <c r="K477" i="56"/>
  <c r="L477" i="56"/>
  <c r="M477" i="56"/>
  <c r="G478" i="56"/>
  <c r="H478" i="56"/>
  <c r="I478" i="56"/>
  <c r="J478" i="56"/>
  <c r="K478" i="56"/>
  <c r="L478" i="56"/>
  <c r="M478" i="56"/>
  <c r="G483" i="56"/>
  <c r="H483" i="56"/>
  <c r="I483" i="56"/>
  <c r="J483" i="56"/>
  <c r="K483" i="56"/>
  <c r="L483" i="56"/>
  <c r="M483" i="56"/>
  <c r="G484" i="56"/>
  <c r="H484" i="56"/>
  <c r="I484" i="56"/>
  <c r="J484" i="56"/>
  <c r="K484" i="56"/>
  <c r="L484" i="56"/>
  <c r="M484" i="56"/>
  <c r="G485" i="56"/>
  <c r="H485" i="56"/>
  <c r="I485" i="56"/>
  <c r="J485" i="56"/>
  <c r="K485" i="56"/>
  <c r="L485" i="56"/>
  <c r="M485" i="56"/>
  <c r="G486" i="56"/>
  <c r="H486" i="56"/>
  <c r="I486" i="56"/>
  <c r="J486" i="56"/>
  <c r="K486" i="56"/>
  <c r="L486" i="56"/>
  <c r="M486" i="56"/>
  <c r="G487" i="56"/>
  <c r="H487" i="56"/>
  <c r="I487" i="56"/>
  <c r="J487" i="56"/>
  <c r="K487" i="56"/>
  <c r="L487" i="56"/>
  <c r="M487" i="56"/>
  <c r="G491" i="56"/>
  <c r="H491" i="56"/>
  <c r="I491" i="56"/>
  <c r="J491" i="56"/>
  <c r="K491" i="56"/>
  <c r="L491" i="56"/>
  <c r="M491" i="56"/>
  <c r="G492" i="56"/>
  <c r="H492" i="56"/>
  <c r="I492" i="56"/>
  <c r="J492" i="56"/>
  <c r="K492" i="56"/>
  <c r="L492" i="56"/>
  <c r="M492" i="56"/>
  <c r="G493" i="56"/>
  <c r="H493" i="56"/>
  <c r="I493" i="56"/>
  <c r="J493" i="56"/>
  <c r="K493" i="56"/>
  <c r="L493" i="56"/>
  <c r="M493" i="56"/>
  <c r="G494" i="56"/>
  <c r="H494" i="56"/>
  <c r="I494" i="56"/>
  <c r="J494" i="56"/>
  <c r="K494" i="56"/>
  <c r="L494" i="56"/>
  <c r="M494" i="56"/>
  <c r="G497" i="56"/>
  <c r="H497" i="56"/>
  <c r="I497" i="56"/>
  <c r="J497" i="56"/>
  <c r="K497" i="56"/>
  <c r="L497" i="56"/>
  <c r="M497" i="56"/>
  <c r="G498" i="56"/>
  <c r="H498" i="56"/>
  <c r="I498" i="56"/>
  <c r="J498" i="56"/>
  <c r="K498" i="56"/>
  <c r="L498" i="56"/>
  <c r="M498" i="56"/>
  <c r="G499" i="56"/>
  <c r="H499" i="56"/>
  <c r="I499" i="56"/>
  <c r="J499" i="56"/>
  <c r="K499" i="56"/>
  <c r="L499" i="56"/>
  <c r="M499" i="56"/>
  <c r="G500" i="56"/>
  <c r="H500" i="56"/>
  <c r="I500" i="56"/>
  <c r="J500" i="56"/>
  <c r="K500" i="56"/>
  <c r="L500" i="56"/>
  <c r="M500" i="56"/>
  <c r="G503" i="56"/>
  <c r="H503" i="56"/>
  <c r="I503" i="56"/>
  <c r="J503" i="56"/>
  <c r="K503" i="56"/>
  <c r="L503" i="56"/>
  <c r="M503" i="56"/>
  <c r="G504" i="56"/>
  <c r="H504" i="56"/>
  <c r="I504" i="56"/>
  <c r="J504" i="56"/>
  <c r="K504" i="56"/>
  <c r="L504" i="56"/>
  <c r="M504" i="56"/>
  <c r="G507" i="56"/>
  <c r="H507" i="56"/>
  <c r="I507" i="56"/>
  <c r="J507" i="56"/>
  <c r="K507" i="56"/>
  <c r="L507" i="56"/>
  <c r="M507" i="56"/>
  <c r="G512" i="56"/>
  <c r="H512" i="56"/>
  <c r="I512" i="56"/>
  <c r="J512" i="56"/>
  <c r="K512" i="56"/>
  <c r="L512" i="56"/>
  <c r="M512" i="56"/>
  <c r="G513" i="56"/>
  <c r="H513" i="56"/>
  <c r="I513" i="56"/>
  <c r="J513" i="56"/>
  <c r="K513" i="56"/>
  <c r="L513" i="56"/>
  <c r="M513" i="56"/>
  <c r="G514" i="56"/>
  <c r="H514" i="56"/>
  <c r="I514" i="56"/>
  <c r="J514" i="56"/>
  <c r="K514" i="56"/>
  <c r="L514" i="56"/>
  <c r="M514" i="56"/>
  <c r="G517" i="56"/>
  <c r="H517" i="56"/>
  <c r="I517" i="56"/>
  <c r="J517" i="56"/>
  <c r="K517" i="56"/>
  <c r="L517" i="56"/>
  <c r="M517" i="56"/>
  <c r="G518" i="56"/>
  <c r="H518" i="56"/>
  <c r="I518" i="56"/>
  <c r="J518" i="56"/>
  <c r="K518" i="56"/>
  <c r="L518" i="56"/>
  <c r="M518" i="56"/>
  <c r="G9" i="25"/>
  <c r="H9" i="25"/>
  <c r="I9" i="25"/>
  <c r="J9" i="25"/>
  <c r="K9" i="25"/>
  <c r="L9" i="25"/>
  <c r="M9" i="25"/>
  <c r="G24" i="25"/>
  <c r="H24" i="25"/>
  <c r="I24" i="25"/>
  <c r="J24" i="25"/>
  <c r="K24" i="25"/>
  <c r="L24" i="25"/>
  <c r="M24" i="25"/>
  <c r="G25" i="25"/>
  <c r="H25" i="25"/>
  <c r="I25" i="25"/>
  <c r="J25" i="25"/>
  <c r="K25" i="25"/>
  <c r="L25" i="25"/>
  <c r="M25" i="25"/>
  <c r="G26" i="25"/>
  <c r="H26" i="25"/>
  <c r="I26" i="25"/>
  <c r="J26" i="25"/>
  <c r="K26" i="25"/>
  <c r="L26" i="25"/>
  <c r="M26" i="25"/>
  <c r="G27" i="25"/>
  <c r="H27" i="25"/>
  <c r="I27" i="25"/>
  <c r="J27" i="25"/>
  <c r="K27" i="25"/>
  <c r="L27" i="25"/>
  <c r="M27" i="25"/>
  <c r="G28" i="25"/>
  <c r="H28" i="25"/>
  <c r="I28" i="25"/>
  <c r="J28" i="25"/>
  <c r="K28" i="25"/>
  <c r="L28" i="25"/>
  <c r="M28" i="25"/>
  <c r="G29" i="25"/>
  <c r="H29" i="25"/>
  <c r="I29" i="25"/>
  <c r="J29" i="25"/>
  <c r="K29" i="25"/>
  <c r="L29" i="25"/>
  <c r="M29" i="25"/>
  <c r="G30" i="25"/>
  <c r="H30" i="25"/>
  <c r="I30" i="25"/>
  <c r="J30" i="25"/>
  <c r="K30" i="25"/>
  <c r="L30" i="25"/>
  <c r="M30" i="25"/>
  <c r="G33" i="25" a="1"/>
  <c r="G33" i="25"/>
  <c r="H33" i="25" a="1"/>
  <c r="H33" i="25"/>
  <c r="I33" i="25" a="1"/>
  <c r="I33" i="25"/>
  <c r="J33" i="25" a="1"/>
  <c r="J33" i="25"/>
  <c r="K33" i="25" a="1"/>
  <c r="K33" i="25"/>
  <c r="L33" i="25" a="1"/>
  <c r="L33" i="25"/>
  <c r="M33" i="25" a="1"/>
  <c r="M33" i="25"/>
  <c r="G34" i="25" a="1"/>
  <c r="G34" i="25"/>
  <c r="H34" i="25" a="1"/>
  <c r="H34" i="25"/>
  <c r="I34" i="25" a="1"/>
  <c r="I34" i="25"/>
  <c r="J34" i="25" a="1"/>
  <c r="J34" i="25"/>
  <c r="K34" i="25" a="1"/>
  <c r="K34" i="25"/>
  <c r="L34" i="25" a="1"/>
  <c r="L34" i="25"/>
  <c r="M34" i="25" a="1"/>
  <c r="M34" i="25"/>
  <c r="G35" i="25"/>
  <c r="H35" i="25"/>
  <c r="I35" i="25"/>
  <c r="J35" i="25"/>
  <c r="K35" i="25"/>
  <c r="L35" i="25"/>
  <c r="M35"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4" i="25" a="1"/>
  <c r="G44" i="25"/>
  <c r="H44" i="25" a="1"/>
  <c r="H44" i="25"/>
  <c r="I44" i="25" a="1"/>
  <c r="I44" i="25"/>
  <c r="J44" i="25" a="1"/>
  <c r="J44" i="25"/>
  <c r="K44" i="25" a="1"/>
  <c r="K44" i="25"/>
  <c r="L44" i="25" a="1"/>
  <c r="L44" i="25"/>
  <c r="M44" i="25" a="1"/>
  <c r="M44" i="25"/>
  <c r="G45" i="25" a="1"/>
  <c r="G45" i="25"/>
  <c r="H45" i="25" a="1"/>
  <c r="H45" i="25"/>
  <c r="I45" i="25" a="1"/>
  <c r="I45" i="25"/>
  <c r="J45" i="25" a="1"/>
  <c r="J45" i="25"/>
  <c r="K45" i="25" a="1"/>
  <c r="K45" i="25"/>
  <c r="L45" i="25" a="1"/>
  <c r="L45" i="25"/>
  <c r="M45" i="25" a="1"/>
  <c r="M45" i="25"/>
  <c r="G46" i="25"/>
  <c r="H46" i="25"/>
  <c r="I46" i="25"/>
  <c r="J46" i="25"/>
  <c r="K46" i="25"/>
  <c r="L46" i="25"/>
  <c r="M46" i="25"/>
  <c r="G47" i="25"/>
  <c r="H47" i="25"/>
  <c r="I47" i="25"/>
  <c r="J47" i="25"/>
  <c r="K47" i="25"/>
  <c r="L47" i="25"/>
  <c r="M47" i="25"/>
  <c r="G48" i="25"/>
  <c r="H48" i="25"/>
  <c r="I48" i="25"/>
  <c r="J48" i="25"/>
  <c r="K48" i="25"/>
  <c r="L48" i="25"/>
  <c r="M48" i="25"/>
  <c r="G51" i="25" a="1"/>
  <c r="G51" i="25"/>
  <c r="H51" i="25" a="1"/>
  <c r="H51" i="25"/>
  <c r="I51" i="25" a="1"/>
  <c r="I51" i="25"/>
  <c r="J51" i="25" a="1"/>
  <c r="J51" i="25"/>
  <c r="K51" i="25" a="1"/>
  <c r="K51" i="25"/>
  <c r="L51" i="25" a="1"/>
  <c r="L51" i="25"/>
  <c r="M51" i="25" a="1"/>
  <c r="M51" i="25"/>
  <c r="G52" i="25" a="1"/>
  <c r="G52" i="25"/>
  <c r="H52" i="25" a="1"/>
  <c r="H52" i="25"/>
  <c r="I52" i="25" a="1"/>
  <c r="I52" i="25"/>
  <c r="J52" i="25" a="1"/>
  <c r="J52" i="25"/>
  <c r="K52" i="25" a="1"/>
  <c r="K52" i="25"/>
  <c r="L52" i="25" a="1"/>
  <c r="L52" i="25"/>
  <c r="M52" i="25" a="1"/>
  <c r="M52" i="25"/>
  <c r="G53" i="25"/>
  <c r="H53" i="25"/>
  <c r="I53" i="25"/>
  <c r="J53" i="25"/>
  <c r="K53" i="25"/>
  <c r="L53" i="25"/>
  <c r="M53" i="25"/>
  <c r="G54" i="25"/>
  <c r="H54" i="25"/>
  <c r="I54" i="25"/>
  <c r="J54" i="25"/>
  <c r="K54" i="25"/>
  <c r="L54" i="25"/>
  <c r="M54" i="25"/>
  <c r="G55" i="25"/>
  <c r="H55" i="25"/>
  <c r="I55" i="25"/>
  <c r="J55" i="25"/>
  <c r="K55" i="25"/>
  <c r="L55" i="25"/>
  <c r="M55" i="25"/>
  <c r="G58" i="25" a="1"/>
  <c r="G58" i="25"/>
  <c r="H58" i="25" a="1"/>
  <c r="H58" i="25"/>
  <c r="I58" i="25" a="1"/>
  <c r="I58" i="25"/>
  <c r="J58" i="25" a="1"/>
  <c r="J58" i="25"/>
  <c r="K58" i="25" a="1"/>
  <c r="K58" i="25"/>
  <c r="L58" i="25" a="1"/>
  <c r="L58" i="25"/>
  <c r="M58" i="25" a="1"/>
  <c r="M58" i="25"/>
  <c r="G59" i="25" a="1"/>
  <c r="G59" i="25"/>
  <c r="H59" i="25" a="1"/>
  <c r="H59" i="25"/>
  <c r="I59" i="25" a="1"/>
  <c r="I59" i="25"/>
  <c r="J59" i="25" a="1"/>
  <c r="J59" i="25"/>
  <c r="K59" i="25" a="1"/>
  <c r="K59" i="25"/>
  <c r="L59" i="25" a="1"/>
  <c r="L59" i="25"/>
  <c r="M59" i="25" a="1"/>
  <c r="M59" i="25"/>
  <c r="G60" i="25"/>
  <c r="H60" i="25"/>
  <c r="I60" i="25"/>
  <c r="J60" i="25"/>
  <c r="K60" i="25"/>
  <c r="L60" i="25"/>
  <c r="M60" i="25"/>
  <c r="G61" i="25"/>
  <c r="H61" i="25"/>
  <c r="I61" i="25"/>
  <c r="J61" i="25"/>
  <c r="K61" i="25"/>
  <c r="L61" i="25"/>
  <c r="M61" i="25"/>
  <c r="G62" i="25"/>
  <c r="H62" i="25"/>
  <c r="I62" i="25"/>
  <c r="J62" i="25"/>
  <c r="K62" i="25"/>
  <c r="L62" i="25"/>
  <c r="M62" i="25"/>
  <c r="G65" i="25" a="1"/>
  <c r="G65" i="25"/>
  <c r="H65" i="25" a="1"/>
  <c r="H65" i="25"/>
  <c r="I65" i="25" a="1"/>
  <c r="I65" i="25"/>
  <c r="J65" i="25" a="1"/>
  <c r="J65" i="25"/>
  <c r="K65" i="25" a="1"/>
  <c r="K65" i="25"/>
  <c r="L65" i="25" a="1"/>
  <c r="L65" i="25"/>
  <c r="M65" i="25" a="1"/>
  <c r="M65" i="25"/>
  <c r="G66" i="25" a="1"/>
  <c r="G66" i="25"/>
  <c r="H66" i="25" a="1"/>
  <c r="H66" i="25"/>
  <c r="I66" i="25" a="1"/>
  <c r="I66" i="25"/>
  <c r="J66" i="25" a="1"/>
  <c r="J66" i="25"/>
  <c r="K66" i="25" a="1"/>
  <c r="K66" i="25"/>
  <c r="L66" i="25" a="1"/>
  <c r="L66" i="25"/>
  <c r="M66" i="25" a="1"/>
  <c r="M66" i="25"/>
  <c r="G67" i="25"/>
  <c r="H67" i="25"/>
  <c r="I67" i="25"/>
  <c r="J67" i="25"/>
  <c r="K67" i="25"/>
  <c r="L67" i="25"/>
  <c r="M67" i="25"/>
  <c r="G68" i="25"/>
  <c r="H68" i="25"/>
  <c r="I68" i="25"/>
  <c r="J68" i="25"/>
  <c r="K68" i="25"/>
  <c r="L68" i="25"/>
  <c r="M68" i="25"/>
  <c r="G69" i="25"/>
  <c r="H69" i="25"/>
  <c r="I69" i="25"/>
  <c r="J69" i="25"/>
  <c r="K69" i="25"/>
  <c r="L69" i="25"/>
  <c r="M69" i="25"/>
  <c r="G73" i="25"/>
  <c r="H73" i="25"/>
  <c r="I73" i="25"/>
  <c r="J73" i="25"/>
  <c r="K73" i="25"/>
  <c r="L73" i="25"/>
  <c r="M73" i="25"/>
  <c r="G74" i="25"/>
  <c r="H74" i="25"/>
  <c r="I74" i="25"/>
  <c r="J74" i="25"/>
  <c r="K74" i="25"/>
  <c r="L74" i="25"/>
  <c r="M74" i="25"/>
  <c r="G75" i="25"/>
  <c r="H75" i="25"/>
  <c r="I75" i="25"/>
  <c r="J75" i="25"/>
  <c r="K75" i="25"/>
  <c r="L75" i="25"/>
  <c r="M75" i="25"/>
  <c r="G76" i="25"/>
  <c r="H76" i="25"/>
  <c r="I76" i="25"/>
  <c r="J76" i="25"/>
  <c r="K76" i="25"/>
  <c r="L76" i="25"/>
  <c r="M76" i="25"/>
  <c r="G77" i="25"/>
  <c r="H77" i="25"/>
  <c r="I77" i="25"/>
  <c r="J77" i="25"/>
  <c r="K77" i="25"/>
  <c r="L77" i="25"/>
  <c r="M77" i="25"/>
  <c r="G78" i="25"/>
  <c r="H78" i="25"/>
  <c r="I78" i="25"/>
  <c r="J78" i="25"/>
  <c r="K78" i="25"/>
  <c r="L78" i="25"/>
  <c r="M78" i="25"/>
  <c r="G81" i="25"/>
  <c r="H81" i="25"/>
  <c r="I81" i="25"/>
  <c r="J81" i="25"/>
  <c r="K81" i="25"/>
  <c r="L81" i="25"/>
  <c r="M81" i="25"/>
  <c r="G82" i="25"/>
  <c r="H82" i="25"/>
  <c r="I82" i="25"/>
  <c r="J82" i="25"/>
  <c r="K82" i="25"/>
  <c r="L82" i="25"/>
  <c r="M82" i="25"/>
  <c r="G83" i="25"/>
  <c r="H83" i="25"/>
  <c r="I83" i="25"/>
  <c r="J83" i="25"/>
  <c r="K83" i="25"/>
  <c r="L83" i="25"/>
  <c r="M83" i="25"/>
  <c r="G84" i="25"/>
  <c r="H84" i="25"/>
  <c r="I84" i="25"/>
  <c r="J84" i="25"/>
  <c r="K84" i="25"/>
  <c r="L84" i="25"/>
  <c r="M84" i="25"/>
  <c r="G86" i="25"/>
  <c r="H86" i="25"/>
  <c r="I86" i="25"/>
  <c r="J86" i="25"/>
  <c r="K86" i="25"/>
  <c r="L86" i="25"/>
  <c r="M86" i="25"/>
  <c r="G87" i="25"/>
  <c r="H87" i="25"/>
  <c r="I87" i="25"/>
  <c r="J87" i="25"/>
  <c r="K87" i="25"/>
  <c r="L87" i="25"/>
  <c r="M87" i="25"/>
  <c r="G89" i="25"/>
  <c r="H89" i="25"/>
  <c r="I89" i="25"/>
  <c r="J89" i="25"/>
  <c r="K89" i="25"/>
  <c r="L89" i="25"/>
  <c r="M89" i="25"/>
  <c r="G90" i="25"/>
  <c r="H90" i="25"/>
  <c r="I90" i="25"/>
  <c r="J90" i="25"/>
  <c r="K90" i="25"/>
  <c r="L90" i="25"/>
  <c r="M90" i="25"/>
  <c r="G93" i="25"/>
  <c r="H93" i="25"/>
  <c r="I93" i="25"/>
  <c r="J93" i="25"/>
  <c r="K93" i="25"/>
  <c r="L93" i="25"/>
  <c r="M93" i="25"/>
  <c r="G94" i="25"/>
  <c r="H94" i="25"/>
  <c r="I94" i="25"/>
  <c r="J94" i="25"/>
  <c r="K94" i="25"/>
  <c r="L94" i="25"/>
  <c r="M94" i="25"/>
  <c r="G95" i="25"/>
  <c r="H95" i="25"/>
  <c r="I95" i="25"/>
  <c r="J95" i="25"/>
  <c r="K95" i="25"/>
  <c r="L95" i="25"/>
  <c r="M95" i="25"/>
  <c r="G96" i="25"/>
  <c r="H96" i="25"/>
  <c r="I96" i="25"/>
  <c r="J96" i="25"/>
  <c r="K96" i="25"/>
  <c r="L96" i="25"/>
  <c r="M96" i="25"/>
  <c r="G99" i="25"/>
  <c r="H99" i="25"/>
  <c r="I99" i="25"/>
  <c r="J99" i="25"/>
  <c r="K99" i="25"/>
  <c r="L99" i="25"/>
  <c r="M99" i="25"/>
  <c r="G100" i="25"/>
  <c r="H100" i="25"/>
  <c r="I100" i="25"/>
  <c r="J100" i="25"/>
  <c r="K100" i="25"/>
  <c r="L100" i="25"/>
  <c r="M100" i="25"/>
  <c r="G101" i="25"/>
  <c r="H101" i="25"/>
  <c r="I101" i="25"/>
  <c r="J101" i="25"/>
  <c r="K101" i="25"/>
  <c r="L101" i="25"/>
  <c r="M101" i="25"/>
  <c r="G102" i="25"/>
  <c r="H102" i="25"/>
  <c r="I102" i="25"/>
  <c r="J102" i="25"/>
  <c r="K102" i="25"/>
  <c r="L102" i="25"/>
  <c r="M102" i="25"/>
  <c r="G112" i="25"/>
  <c r="H112" i="25"/>
  <c r="I112" i="25"/>
  <c r="J112" i="25"/>
  <c r="K112" i="25"/>
  <c r="L112" i="25"/>
  <c r="M112" i="25"/>
  <c r="G113" i="25"/>
  <c r="H113" i="25"/>
  <c r="I113" i="25"/>
  <c r="J113" i="25"/>
  <c r="K113" i="25"/>
  <c r="L113" i="25"/>
  <c r="M113" i="25"/>
  <c r="G114" i="25"/>
  <c r="H114" i="25"/>
  <c r="I114" i="25"/>
  <c r="J114" i="25"/>
  <c r="K114" i="25"/>
  <c r="L114" i="25"/>
  <c r="M114" i="25"/>
  <c r="G115" i="25"/>
  <c r="H115" i="25"/>
  <c r="I115" i="25"/>
  <c r="J115" i="25"/>
  <c r="K115" i="25"/>
  <c r="L115" i="25"/>
  <c r="M115" i="25"/>
  <c r="G116" i="25"/>
  <c r="H116" i="25"/>
  <c r="I116" i="25"/>
  <c r="J116" i="25"/>
  <c r="K116" i="25"/>
  <c r="L116" i="25"/>
  <c r="M116" i="25"/>
  <c r="G117" i="25"/>
  <c r="H117" i="25"/>
  <c r="I117" i="25"/>
  <c r="J117" i="25"/>
  <c r="K117" i="25"/>
  <c r="L117" i="25"/>
  <c r="M117" i="25"/>
  <c r="G121" i="25"/>
  <c r="H121" i="25"/>
  <c r="I121" i="25"/>
  <c r="J121" i="25"/>
  <c r="K121" i="25"/>
  <c r="L121" i="25"/>
  <c r="M121" i="25"/>
  <c r="G122" i="25"/>
  <c r="H122" i="25"/>
  <c r="I122" i="25"/>
  <c r="J122" i="25"/>
  <c r="K122" i="25"/>
  <c r="L122" i="25"/>
  <c r="M122" i="25"/>
  <c r="G123" i="25"/>
  <c r="H123" i="25"/>
  <c r="I123" i="25"/>
  <c r="J123" i="25"/>
  <c r="K123" i="25"/>
  <c r="L123" i="25"/>
  <c r="M123" i="25"/>
  <c r="G124" i="25"/>
  <c r="H124" i="25"/>
  <c r="I124" i="25"/>
  <c r="J124" i="25"/>
  <c r="K124" i="25"/>
  <c r="L124" i="25"/>
  <c r="M124" i="25"/>
  <c r="G125" i="25"/>
  <c r="H125" i="25"/>
  <c r="I125" i="25"/>
  <c r="J125" i="25"/>
  <c r="K125" i="25"/>
  <c r="L125" i="25"/>
  <c r="M125" i="25"/>
  <c r="G128" i="25"/>
  <c r="H128" i="25"/>
  <c r="I128" i="25"/>
  <c r="J128" i="25"/>
  <c r="K128" i="25"/>
  <c r="L128" i="25"/>
  <c r="M128" i="25"/>
  <c r="G129" i="25"/>
  <c r="H129" i="25"/>
  <c r="I129" i="25"/>
  <c r="J129" i="25"/>
  <c r="K129" i="25"/>
  <c r="L129" i="25"/>
  <c r="M129" i="25"/>
  <c r="G133" i="25"/>
  <c r="H133" i="25"/>
  <c r="I133" i="25"/>
  <c r="J133" i="25"/>
  <c r="K133" i="25"/>
  <c r="L133" i="25"/>
  <c r="M133" i="25"/>
  <c r="G134" i="25"/>
  <c r="H134" i="25"/>
  <c r="I134" i="25"/>
  <c r="J134" i="25"/>
  <c r="K134" i="25"/>
  <c r="L134" i="25"/>
  <c r="M134" i="25"/>
  <c r="G135" i="25"/>
  <c r="H135" i="25"/>
  <c r="I135" i="25"/>
  <c r="J135" i="25"/>
  <c r="K135" i="25"/>
  <c r="L135" i="25"/>
  <c r="M135" i="25"/>
  <c r="G136" i="25"/>
  <c r="H136" i="25"/>
  <c r="I136" i="25"/>
  <c r="J136" i="25"/>
  <c r="K136" i="25"/>
  <c r="L136" i="25"/>
  <c r="M136" i="25"/>
  <c r="G137" i="25"/>
  <c r="H137" i="25"/>
  <c r="I137" i="25"/>
  <c r="J137" i="25"/>
  <c r="K137" i="25"/>
  <c r="L137" i="25"/>
  <c r="M137" i="25"/>
  <c r="G138" i="25"/>
  <c r="H138" i="25"/>
  <c r="I138" i="25"/>
  <c r="J138" i="25"/>
  <c r="K138" i="25"/>
  <c r="L138" i="25"/>
  <c r="M138" i="25"/>
  <c r="G139" i="25"/>
  <c r="H139" i="25"/>
  <c r="I139" i="25"/>
  <c r="J139" i="25"/>
  <c r="K139" i="25"/>
  <c r="L139" i="25"/>
  <c r="M139" i="25"/>
  <c r="G140" i="25"/>
  <c r="H140" i="25"/>
  <c r="I140" i="25"/>
  <c r="J140" i="25"/>
  <c r="K140" i="25"/>
  <c r="L140" i="25"/>
  <c r="M140" i="25"/>
  <c r="G141" i="25"/>
  <c r="H141" i="25"/>
  <c r="I141" i="25"/>
  <c r="J141" i="25"/>
  <c r="K141" i="25"/>
  <c r="L141" i="25"/>
  <c r="M141" i="25"/>
  <c r="G145" i="25"/>
  <c r="H145" i="25"/>
  <c r="I145" i="25"/>
  <c r="J145" i="25"/>
  <c r="K145" i="25"/>
  <c r="L145" i="25"/>
  <c r="M145" i="25"/>
  <c r="G146" i="25"/>
  <c r="H146" i="25"/>
  <c r="I146" i="25"/>
  <c r="J146" i="25"/>
  <c r="K146" i="25"/>
  <c r="L146" i="25"/>
  <c r="M146" i="25"/>
  <c r="G147" i="25"/>
  <c r="H147" i="25"/>
  <c r="I147" i="25"/>
  <c r="J147" i="25"/>
  <c r="K147" i="25"/>
  <c r="L147" i="25"/>
  <c r="M147" i="25"/>
  <c r="G148" i="25"/>
  <c r="H148" i="25"/>
  <c r="I148" i="25"/>
  <c r="J148" i="25"/>
  <c r="K148" i="25"/>
  <c r="L148" i="25"/>
  <c r="M148" i="25"/>
  <c r="G149" i="25"/>
  <c r="H149" i="25"/>
  <c r="I149" i="25"/>
  <c r="J149" i="25"/>
  <c r="K149" i="25"/>
  <c r="L149" i="25"/>
  <c r="M149" i="25"/>
  <c r="G152" i="25"/>
  <c r="H152" i="25"/>
  <c r="I152" i="25"/>
  <c r="J152" i="25"/>
  <c r="K152" i="25"/>
  <c r="L152" i="25"/>
  <c r="M152" i="25"/>
  <c r="G153" i="25"/>
  <c r="H153" i="25"/>
  <c r="I153" i="25"/>
  <c r="J153" i="25"/>
  <c r="K153" i="25"/>
  <c r="L153" i="25"/>
  <c r="M153" i="25"/>
  <c r="G157" i="25"/>
  <c r="H157" i="25"/>
  <c r="I157" i="25"/>
  <c r="J157" i="25"/>
  <c r="K157" i="25"/>
  <c r="L157" i="25"/>
  <c r="M157" i="25"/>
  <c r="G158" i="25"/>
  <c r="H158" i="25"/>
  <c r="I158" i="25"/>
  <c r="J158" i="25"/>
  <c r="K158" i="25"/>
  <c r="L158" i="25"/>
  <c r="M158" i="25"/>
  <c r="G159" i="25"/>
  <c r="H159" i="25"/>
  <c r="I159" i="25"/>
  <c r="J159" i="25"/>
  <c r="K159" i="25"/>
  <c r="L159" i="25"/>
  <c r="M159" i="25"/>
  <c r="G160" i="25"/>
  <c r="H160" i="25"/>
  <c r="I160" i="25"/>
  <c r="J160" i="25"/>
  <c r="K160" i="25"/>
  <c r="L160" i="25"/>
  <c r="M160" i="25"/>
  <c r="G161" i="25"/>
  <c r="H161" i="25"/>
  <c r="I161" i="25"/>
  <c r="J161" i="25"/>
  <c r="K161" i="25"/>
  <c r="L161" i="25"/>
  <c r="M161" i="25"/>
  <c r="G162" i="25"/>
  <c r="H162" i="25"/>
  <c r="I162" i="25"/>
  <c r="J162" i="25"/>
  <c r="K162" i="25"/>
  <c r="L162" i="25"/>
  <c r="M162" i="25"/>
  <c r="G163" i="25"/>
  <c r="H163" i="25"/>
  <c r="I163" i="25"/>
  <c r="J163" i="25"/>
  <c r="K163" i="25"/>
  <c r="L163" i="25"/>
  <c r="M163" i="25"/>
  <c r="G164" i="25"/>
  <c r="H164" i="25"/>
  <c r="I164" i="25"/>
  <c r="J164" i="25"/>
  <c r="K164" i="25"/>
  <c r="L164" i="25"/>
  <c r="M164" i="25"/>
  <c r="G165" i="25"/>
  <c r="H165" i="25"/>
  <c r="I165" i="25"/>
  <c r="J165" i="25"/>
  <c r="K165" i="25"/>
  <c r="L165" i="25"/>
  <c r="M165" i="25"/>
  <c r="G169" i="25"/>
  <c r="H169" i="25"/>
  <c r="I169" i="25"/>
  <c r="J169" i="25"/>
  <c r="K169" i="25"/>
  <c r="L169" i="25"/>
  <c r="M169" i="25"/>
  <c r="G170" i="25"/>
  <c r="H170" i="25"/>
  <c r="I170" i="25"/>
  <c r="J170" i="25"/>
  <c r="K170" i="25"/>
  <c r="L170" i="25"/>
  <c r="M170" i="25"/>
  <c r="G171" i="25"/>
  <c r="H171" i="25"/>
  <c r="I171" i="25"/>
  <c r="J171" i="25"/>
  <c r="K171" i="25"/>
  <c r="L171" i="25"/>
  <c r="M171" i="25"/>
  <c r="G172" i="25"/>
  <c r="H172" i="25"/>
  <c r="I172" i="25"/>
  <c r="J172" i="25"/>
  <c r="K172" i="25"/>
  <c r="L172" i="25"/>
  <c r="M172" i="25"/>
  <c r="G173" i="25"/>
  <c r="H173" i="25"/>
  <c r="I173" i="25"/>
  <c r="J173" i="25"/>
  <c r="K173" i="25"/>
  <c r="L173" i="25"/>
  <c r="M173" i="25"/>
  <c r="G176" i="25"/>
  <c r="H176" i="25"/>
  <c r="I176" i="25"/>
  <c r="J176" i="25"/>
  <c r="K176" i="25"/>
  <c r="L176" i="25"/>
  <c r="M176" i="25"/>
  <c r="G177" i="25"/>
  <c r="H177" i="25"/>
  <c r="I177" i="25"/>
  <c r="J177" i="25"/>
  <c r="K177" i="25"/>
  <c r="L177" i="25"/>
  <c r="M177" i="25"/>
  <c r="G10" i="4"/>
  <c r="H10" i="4"/>
  <c r="I10" i="4"/>
  <c r="J10" i="4"/>
  <c r="K10" i="4"/>
  <c r="L10" i="4"/>
  <c r="M10" i="4"/>
  <c r="G11" i="4"/>
  <c r="H11" i="4"/>
  <c r="I11" i="4"/>
  <c r="J11" i="4"/>
  <c r="K11" i="4"/>
  <c r="L11" i="4"/>
  <c r="M11" i="4"/>
  <c r="G20" i="4"/>
  <c r="H20" i="4"/>
  <c r="I20" i="4"/>
  <c r="J20" i="4"/>
  <c r="K20" i="4"/>
  <c r="L20" i="4"/>
  <c r="M20" i="4"/>
  <c r="G21" i="4"/>
  <c r="H21" i="4"/>
  <c r="I21" i="4"/>
  <c r="J21" i="4"/>
  <c r="K21" i="4"/>
  <c r="L21" i="4"/>
  <c r="M21" i="4"/>
  <c r="G22" i="4"/>
  <c r="H22" i="4"/>
  <c r="I22" i="4"/>
  <c r="J22" i="4"/>
  <c r="K22" i="4"/>
  <c r="L22" i="4"/>
  <c r="M22" i="4"/>
  <c r="G23" i="4"/>
  <c r="H23" i="4"/>
  <c r="I23" i="4"/>
  <c r="J23" i="4"/>
  <c r="K23" i="4"/>
  <c r="L23" i="4"/>
  <c r="M23" i="4"/>
  <c r="G24" i="4"/>
  <c r="H24" i="4"/>
  <c r="I24" i="4"/>
  <c r="J24" i="4"/>
  <c r="K24" i="4"/>
  <c r="L24" i="4"/>
  <c r="M24" i="4"/>
  <c r="G25" i="4"/>
  <c r="H25" i="4"/>
  <c r="I25" i="4"/>
  <c r="J25" i="4"/>
  <c r="K25" i="4"/>
  <c r="L25" i="4"/>
  <c r="M25" i="4"/>
  <c r="G28" i="4"/>
  <c r="H28" i="4"/>
  <c r="I28" i="4"/>
  <c r="J28" i="4"/>
  <c r="K28" i="4"/>
  <c r="L28" i="4"/>
  <c r="M28" i="4"/>
  <c r="G29" i="4"/>
  <c r="H29" i="4"/>
  <c r="I29" i="4"/>
  <c r="J29" i="4"/>
  <c r="K29" i="4"/>
  <c r="L29" i="4"/>
  <c r="M29" i="4"/>
  <c r="G32" i="4"/>
  <c r="H32" i="4"/>
  <c r="I32" i="4"/>
  <c r="J32" i="4"/>
  <c r="K32" i="4"/>
  <c r="L32" i="4"/>
  <c r="M32" i="4"/>
  <c r="G33" i="4"/>
  <c r="H33" i="4"/>
  <c r="I33" i="4"/>
  <c r="J33" i="4"/>
  <c r="K33" i="4"/>
  <c r="L33" i="4"/>
  <c r="M33" i="4"/>
  <c r="G36" i="4"/>
  <c r="H36" i="4"/>
  <c r="I36" i="4"/>
  <c r="J36" i="4"/>
  <c r="K36" i="4"/>
  <c r="L36" i="4"/>
  <c r="M36" i="4"/>
  <c r="G37" i="4"/>
  <c r="H37" i="4"/>
  <c r="I37" i="4"/>
  <c r="J37" i="4"/>
  <c r="K37" i="4"/>
  <c r="L37" i="4"/>
  <c r="M37" i="4"/>
  <c r="G38" i="4"/>
  <c r="H38" i="4"/>
  <c r="I38" i="4"/>
  <c r="J38" i="4"/>
  <c r="K38" i="4"/>
  <c r="L38" i="4"/>
  <c r="M38" i="4"/>
  <c r="G39" i="4"/>
  <c r="H39" i="4"/>
  <c r="I39" i="4"/>
  <c r="J39" i="4"/>
  <c r="K39" i="4"/>
  <c r="L39" i="4"/>
  <c r="M39"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1" i="4"/>
  <c r="H51" i="4"/>
  <c r="I51" i="4"/>
  <c r="J51" i="4"/>
  <c r="K51" i="4"/>
  <c r="L51" i="4"/>
  <c r="M51" i="4"/>
  <c r="G54" i="4"/>
  <c r="H54" i="4"/>
  <c r="I54" i="4"/>
  <c r="J54" i="4"/>
  <c r="K54" i="4"/>
  <c r="L54" i="4"/>
  <c r="M54" i="4"/>
  <c r="G55" i="4"/>
  <c r="H55" i="4"/>
  <c r="I55" i="4"/>
  <c r="J55" i="4"/>
  <c r="K55" i="4"/>
  <c r="L55" i="4"/>
  <c r="M55" i="4"/>
  <c r="G56" i="4"/>
  <c r="H56" i="4"/>
  <c r="I56" i="4"/>
  <c r="J56" i="4"/>
  <c r="K56" i="4"/>
  <c r="L56" i="4"/>
  <c r="M56" i="4"/>
  <c r="G57" i="4"/>
  <c r="H57" i="4"/>
  <c r="I57" i="4"/>
  <c r="J57" i="4"/>
  <c r="K57" i="4"/>
  <c r="L57" i="4"/>
  <c r="M57" i="4"/>
  <c r="G58" i="4"/>
  <c r="H58" i="4"/>
  <c r="I58" i="4"/>
  <c r="J58" i="4"/>
  <c r="K58" i="4"/>
  <c r="L58" i="4"/>
  <c r="M58" i="4"/>
  <c r="G61" i="4"/>
  <c r="H61" i="4"/>
  <c r="I61" i="4"/>
  <c r="J61" i="4"/>
  <c r="K61" i="4"/>
  <c r="L61" i="4"/>
  <c r="M61" i="4"/>
  <c r="G62" i="4"/>
  <c r="H62" i="4"/>
  <c r="I62" i="4"/>
  <c r="J62" i="4"/>
  <c r="K62" i="4"/>
  <c r="L62" i="4"/>
  <c r="M62" i="4"/>
  <c r="G63" i="4"/>
  <c r="H63" i="4"/>
  <c r="I63" i="4"/>
  <c r="J63" i="4"/>
  <c r="K63" i="4"/>
  <c r="L63" i="4"/>
  <c r="M63" i="4"/>
  <c r="G64" i="4"/>
  <c r="H64" i="4"/>
  <c r="I64" i="4"/>
  <c r="J64" i="4"/>
  <c r="K64" i="4"/>
  <c r="L64" i="4"/>
  <c r="M64" i="4"/>
  <c r="G65" i="4"/>
  <c r="H65" i="4"/>
  <c r="I65" i="4"/>
  <c r="J65" i="4"/>
  <c r="K65" i="4"/>
  <c r="L65" i="4"/>
  <c r="M65" i="4"/>
  <c r="G66" i="4"/>
  <c r="H66" i="4"/>
  <c r="I66" i="4"/>
  <c r="J66" i="4"/>
  <c r="K66" i="4"/>
  <c r="L66" i="4"/>
  <c r="M66" i="4"/>
  <c r="G72" i="4"/>
  <c r="H72" i="4"/>
  <c r="I72" i="4"/>
  <c r="J72" i="4"/>
  <c r="K72" i="4"/>
  <c r="L72" i="4"/>
  <c r="M72" i="4"/>
  <c r="G73" i="4"/>
  <c r="H73" i="4"/>
  <c r="I73" i="4"/>
  <c r="J73" i="4"/>
  <c r="K73" i="4"/>
  <c r="L73" i="4"/>
  <c r="M73" i="4"/>
  <c r="G74" i="4"/>
  <c r="H74" i="4"/>
  <c r="I74" i="4"/>
  <c r="J74" i="4"/>
  <c r="K74" i="4"/>
  <c r="L74" i="4"/>
  <c r="M74" i="4"/>
  <c r="G75" i="4"/>
  <c r="H75" i="4"/>
  <c r="I75" i="4"/>
  <c r="J75" i="4"/>
  <c r="K75" i="4"/>
  <c r="L75" i="4"/>
  <c r="M75" i="4"/>
  <c r="G76" i="4"/>
  <c r="H76" i="4"/>
  <c r="I76" i="4"/>
  <c r="J76" i="4"/>
  <c r="K76" i="4"/>
  <c r="L76" i="4"/>
  <c r="M76" i="4"/>
  <c r="G80" i="4"/>
  <c r="H80" i="4"/>
  <c r="I80" i="4"/>
  <c r="J80" i="4"/>
  <c r="K80" i="4"/>
  <c r="L80" i="4"/>
  <c r="M80" i="4"/>
  <c r="G81" i="4"/>
  <c r="H81" i="4"/>
  <c r="I81" i="4"/>
  <c r="J81" i="4"/>
  <c r="K81" i="4"/>
  <c r="L81" i="4"/>
  <c r="M81"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7" i="4"/>
  <c r="H97" i="4"/>
  <c r="I97" i="4"/>
  <c r="J97" i="4"/>
  <c r="K97" i="4"/>
  <c r="L97" i="4"/>
  <c r="M97" i="4"/>
  <c r="G98" i="4"/>
  <c r="H98" i="4"/>
  <c r="I98" i="4"/>
  <c r="J98" i="4"/>
  <c r="K98" i="4"/>
  <c r="L98" i="4"/>
  <c r="M98" i="4"/>
  <c r="G99" i="4"/>
  <c r="H99" i="4"/>
  <c r="I99" i="4"/>
  <c r="J99" i="4"/>
  <c r="K99" i="4"/>
  <c r="L99" i="4"/>
  <c r="M99" i="4"/>
  <c r="G100" i="4"/>
  <c r="H100" i="4"/>
  <c r="I100" i="4"/>
  <c r="J100" i="4"/>
  <c r="K100" i="4"/>
  <c r="L100" i="4"/>
  <c r="M100" i="4"/>
  <c r="G101" i="4"/>
  <c r="H101" i="4"/>
  <c r="I101" i="4"/>
  <c r="J101" i="4"/>
  <c r="K101" i="4"/>
  <c r="L101" i="4"/>
  <c r="M101" i="4"/>
  <c r="G105" i="4"/>
  <c r="H105" i="4"/>
  <c r="I105" i="4"/>
  <c r="J105" i="4"/>
  <c r="K105" i="4"/>
  <c r="L105" i="4"/>
  <c r="M105" i="4"/>
  <c r="G106" i="4"/>
  <c r="H106" i="4"/>
  <c r="I106" i="4"/>
  <c r="J106" i="4"/>
  <c r="K106" i="4"/>
  <c r="L106" i="4"/>
  <c r="M106" i="4"/>
  <c r="G107" i="4"/>
  <c r="H107" i="4"/>
  <c r="I107" i="4"/>
  <c r="J107" i="4"/>
  <c r="K107" i="4"/>
  <c r="L107" i="4"/>
  <c r="M107" i="4"/>
  <c r="G108" i="4"/>
  <c r="H108" i="4"/>
  <c r="I108" i="4"/>
  <c r="J108" i="4"/>
  <c r="K108" i="4"/>
  <c r="L108" i="4"/>
  <c r="M108" i="4"/>
  <c r="G109" i="4"/>
  <c r="H109" i="4"/>
  <c r="I109" i="4"/>
  <c r="J109" i="4"/>
  <c r="K109" i="4"/>
  <c r="L109" i="4"/>
  <c r="M109" i="4"/>
  <c r="G110" i="4"/>
  <c r="H110" i="4"/>
  <c r="I110" i="4"/>
  <c r="J110" i="4"/>
  <c r="K110" i="4"/>
  <c r="L110" i="4"/>
  <c r="M110" i="4"/>
  <c r="G111" i="4"/>
  <c r="H111" i="4"/>
  <c r="I111" i="4"/>
  <c r="J111" i="4"/>
  <c r="K111" i="4"/>
  <c r="L111" i="4"/>
  <c r="M111" i="4"/>
  <c r="G114" i="4"/>
  <c r="H114" i="4"/>
  <c r="I114" i="4"/>
  <c r="J114" i="4"/>
  <c r="K114" i="4"/>
  <c r="L114" i="4"/>
  <c r="M114" i="4"/>
  <c r="G115" i="4"/>
  <c r="H115" i="4"/>
  <c r="I115" i="4"/>
  <c r="J115" i="4"/>
  <c r="K115" i="4"/>
  <c r="L115" i="4"/>
  <c r="M115" i="4"/>
  <c r="G116" i="4"/>
  <c r="H116" i="4"/>
  <c r="I116" i="4"/>
  <c r="J116" i="4"/>
  <c r="K116" i="4"/>
  <c r="L116" i="4"/>
  <c r="M116" i="4"/>
  <c r="G117" i="4"/>
  <c r="H117" i="4"/>
  <c r="I117" i="4"/>
  <c r="J117" i="4"/>
  <c r="K117" i="4"/>
  <c r="L117" i="4"/>
  <c r="M117" i="4"/>
  <c r="G120" i="4"/>
  <c r="H120" i="4"/>
  <c r="I120" i="4"/>
  <c r="J120" i="4"/>
  <c r="K120" i="4"/>
  <c r="L120" i="4"/>
  <c r="M120" i="4"/>
  <c r="G121" i="4"/>
  <c r="H121" i="4"/>
  <c r="I121" i="4"/>
  <c r="J121" i="4"/>
  <c r="K121" i="4"/>
  <c r="L121" i="4"/>
  <c r="M121" i="4"/>
  <c r="G122" i="4"/>
  <c r="H122" i="4"/>
  <c r="I122" i="4"/>
  <c r="J122" i="4"/>
  <c r="K122" i="4"/>
  <c r="L122" i="4"/>
  <c r="M122" i="4"/>
  <c r="G123" i="4"/>
  <c r="H123" i="4"/>
  <c r="I123" i="4"/>
  <c r="J123" i="4"/>
  <c r="K123" i="4"/>
  <c r="L123" i="4"/>
  <c r="M123" i="4"/>
  <c r="G128" i="4"/>
  <c r="H128" i="4"/>
  <c r="I128" i="4"/>
  <c r="J128" i="4"/>
  <c r="K128" i="4"/>
  <c r="L128" i="4"/>
  <c r="M128" i="4"/>
  <c r="G149" i="4"/>
  <c r="H149" i="4"/>
  <c r="I149" i="4"/>
  <c r="J149" i="4"/>
  <c r="K149" i="4"/>
  <c r="L149" i="4"/>
  <c r="M149" i="4"/>
  <c r="G150" i="4"/>
  <c r="H150" i="4"/>
  <c r="I150" i="4"/>
  <c r="J150" i="4"/>
  <c r="K150" i="4"/>
  <c r="L150" i="4"/>
  <c r="M150" i="4"/>
  <c r="G151" i="4"/>
  <c r="H151" i="4"/>
  <c r="I151" i="4"/>
  <c r="J151" i="4"/>
  <c r="K151" i="4"/>
  <c r="L151" i="4"/>
  <c r="M151" i="4"/>
  <c r="G154" i="4"/>
  <c r="H154" i="4"/>
  <c r="I154" i="4"/>
  <c r="J154" i="4"/>
  <c r="K154" i="4"/>
  <c r="L154" i="4"/>
  <c r="M154" i="4"/>
  <c r="G155" i="4"/>
  <c r="H155" i="4"/>
  <c r="I155" i="4"/>
  <c r="J155" i="4"/>
  <c r="K155" i="4"/>
  <c r="L155" i="4"/>
  <c r="M155" i="4"/>
  <c r="G156" i="4"/>
  <c r="H156" i="4"/>
  <c r="I156" i="4"/>
  <c r="J156" i="4"/>
  <c r="K156" i="4"/>
  <c r="L156" i="4"/>
  <c r="M156" i="4"/>
  <c r="G159" i="4"/>
  <c r="H159" i="4"/>
  <c r="I159" i="4"/>
  <c r="J159" i="4"/>
  <c r="K159" i="4"/>
  <c r="L159" i="4"/>
  <c r="M159" i="4"/>
  <c r="G160" i="4"/>
  <c r="H160" i="4"/>
  <c r="I160" i="4"/>
  <c r="J160" i="4"/>
  <c r="K160" i="4"/>
  <c r="L160" i="4"/>
  <c r="M160" i="4"/>
  <c r="G161" i="4"/>
  <c r="H161" i="4"/>
  <c r="I161" i="4"/>
  <c r="J161" i="4"/>
  <c r="K161" i="4"/>
  <c r="L161" i="4"/>
  <c r="M161" i="4"/>
  <c r="G162" i="4"/>
  <c r="H162" i="4"/>
  <c r="I162" i="4"/>
  <c r="J162" i="4"/>
  <c r="K162" i="4"/>
  <c r="L162" i="4"/>
  <c r="M162" i="4"/>
  <c r="G165" i="4"/>
  <c r="H165" i="4"/>
  <c r="I165" i="4"/>
  <c r="J165" i="4"/>
  <c r="K165" i="4"/>
  <c r="L165" i="4"/>
  <c r="M165" i="4"/>
  <c r="G166" i="4"/>
  <c r="H166" i="4"/>
  <c r="I166" i="4"/>
  <c r="J166" i="4"/>
  <c r="K166" i="4"/>
  <c r="L166" i="4"/>
  <c r="M166" i="4"/>
  <c r="G167" i="4"/>
  <c r="H167" i="4"/>
  <c r="I167" i="4"/>
  <c r="J167" i="4"/>
  <c r="K167" i="4"/>
  <c r="L167" i="4"/>
  <c r="M167" i="4"/>
  <c r="G168" i="4"/>
  <c r="H168" i="4"/>
  <c r="I168" i="4"/>
  <c r="J168" i="4"/>
  <c r="K168" i="4"/>
  <c r="L168" i="4"/>
  <c r="M168" i="4"/>
  <c r="G169" i="4"/>
  <c r="H169" i="4"/>
  <c r="I169" i="4"/>
  <c r="J169" i="4"/>
  <c r="K169" i="4"/>
  <c r="L169" i="4"/>
  <c r="M169" i="4"/>
  <c r="G172" i="4"/>
  <c r="H172" i="4"/>
  <c r="I172" i="4"/>
  <c r="J172" i="4"/>
  <c r="K172" i="4"/>
  <c r="L172" i="4"/>
  <c r="M172" i="4"/>
  <c r="G173" i="4"/>
  <c r="H173" i="4"/>
  <c r="I173" i="4"/>
  <c r="J173" i="4"/>
  <c r="K173" i="4"/>
  <c r="L173" i="4"/>
  <c r="M173" i="4"/>
  <c r="G174" i="4"/>
  <c r="H174" i="4"/>
  <c r="I174" i="4"/>
  <c r="J174" i="4"/>
  <c r="K174" i="4"/>
  <c r="L174" i="4"/>
  <c r="M174" i="4"/>
  <c r="G195" i="4"/>
  <c r="H195" i="4"/>
  <c r="I195" i="4"/>
  <c r="J195" i="4"/>
  <c r="K195" i="4"/>
  <c r="L195" i="4"/>
  <c r="M195"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15" i="14"/>
  <c r="H15" i="14"/>
  <c r="I15" i="14"/>
  <c r="J15" i="14"/>
  <c r="K15" i="14"/>
  <c r="L15" i="14"/>
  <c r="M15" i="14"/>
  <c r="G37" i="14"/>
  <c r="H37" i="14"/>
  <c r="I37" i="14"/>
  <c r="J37" i="14"/>
  <c r="K37" i="14"/>
  <c r="L37" i="14"/>
  <c r="M37" i="14"/>
  <c r="G38" i="14"/>
  <c r="H38" i="14"/>
  <c r="I38" i="14"/>
  <c r="J38" i="14"/>
  <c r="K38" i="14"/>
  <c r="L38" i="14"/>
  <c r="M38" i="14"/>
  <c r="G39" i="14"/>
  <c r="H39" i="14"/>
  <c r="I39" i="14"/>
  <c r="J39" i="14"/>
  <c r="K39" i="14"/>
  <c r="L39" i="14"/>
  <c r="M39" i="14"/>
  <c r="G40" i="14"/>
  <c r="H40" i="14"/>
  <c r="I40" i="14"/>
  <c r="J40" i="14"/>
  <c r="K40" i="14"/>
  <c r="L40" i="14"/>
  <c r="M40" i="14"/>
  <c r="G41" i="14"/>
  <c r="H41" i="14"/>
  <c r="I41" i="14"/>
  <c r="J41" i="14"/>
  <c r="K41" i="14"/>
  <c r="L41" i="14"/>
  <c r="M41" i="14"/>
  <c r="G42" i="14"/>
  <c r="H42" i="14"/>
  <c r="I42" i="14"/>
  <c r="J42" i="14"/>
  <c r="K42" i="14"/>
  <c r="L42" i="14"/>
  <c r="M42" i="14"/>
  <c r="G45" i="14"/>
  <c r="H45" i="14"/>
  <c r="I45" i="14"/>
  <c r="J45" i="14"/>
  <c r="K45" i="14"/>
  <c r="L45" i="14"/>
  <c r="M45" i="14"/>
  <c r="G46" i="14"/>
  <c r="H46" i="14"/>
  <c r="I46" i="14"/>
  <c r="J46" i="14"/>
  <c r="K46" i="14"/>
  <c r="L46" i="14"/>
  <c r="M46" i="14"/>
  <c r="G47" i="14"/>
  <c r="H47" i="14"/>
  <c r="I47" i="14"/>
  <c r="J47" i="14"/>
  <c r="K47" i="14"/>
  <c r="L47" i="14"/>
  <c r="M47" i="14"/>
  <c r="G48" i="14"/>
  <c r="H48" i="14"/>
  <c r="I48" i="14"/>
  <c r="J48" i="14"/>
  <c r="K48" i="14"/>
  <c r="L48" i="14"/>
  <c r="M48" i="14"/>
  <c r="G49" i="14"/>
  <c r="H49" i="14"/>
  <c r="I49" i="14"/>
  <c r="J49" i="14"/>
  <c r="K49" i="14"/>
  <c r="L49" i="14"/>
  <c r="M49" i="14"/>
  <c r="G50" i="14"/>
  <c r="H50" i="14"/>
  <c r="I50" i="14"/>
  <c r="J50" i="14"/>
  <c r="K50" i="14"/>
  <c r="L50" i="14"/>
  <c r="M50" i="14"/>
  <c r="G55" i="14"/>
  <c r="H55" i="14"/>
  <c r="I55" i="14"/>
  <c r="J55" i="14"/>
  <c r="K55" i="14"/>
  <c r="L55" i="14"/>
  <c r="M55" i="14"/>
  <c r="G57" i="14"/>
  <c r="H57" i="14"/>
  <c r="I57" i="14"/>
  <c r="J57" i="14"/>
  <c r="K57" i="14"/>
  <c r="L57" i="14"/>
  <c r="M57" i="14"/>
  <c r="G61" i="14"/>
  <c r="H61" i="14"/>
  <c r="I61" i="14"/>
  <c r="J61" i="14"/>
  <c r="K61" i="14"/>
  <c r="L61" i="14"/>
  <c r="M61" i="14"/>
  <c r="G62" i="14"/>
  <c r="H62" i="14"/>
  <c r="I62" i="14"/>
  <c r="J62" i="14"/>
  <c r="K62" i="14"/>
  <c r="L62" i="14"/>
  <c r="M62" i="14"/>
  <c r="G70" i="14"/>
  <c r="H70" i="14"/>
  <c r="I70" i="14"/>
  <c r="J70" i="14"/>
  <c r="K70" i="14"/>
  <c r="L70" i="14"/>
  <c r="M70" i="14"/>
  <c r="G71" i="14"/>
  <c r="H71" i="14"/>
  <c r="I71" i="14"/>
  <c r="J71" i="14"/>
  <c r="K71" i="14"/>
  <c r="L71" i="14"/>
  <c r="M71" i="14"/>
  <c r="G73" i="14"/>
  <c r="H73" i="14"/>
  <c r="I73" i="14"/>
  <c r="J73" i="14"/>
  <c r="K73" i="14"/>
  <c r="L73" i="14"/>
  <c r="M73" i="14"/>
  <c r="G82" i="14"/>
  <c r="H82" i="14"/>
  <c r="I82" i="14"/>
  <c r="J82" i="14"/>
  <c r="K82" i="14"/>
  <c r="L82" i="14"/>
  <c r="M82" i="14"/>
  <c r="G83" i="14"/>
  <c r="H83" i="14"/>
  <c r="I83" i="14"/>
  <c r="J83" i="14"/>
  <c r="K83" i="14"/>
  <c r="L83" i="14"/>
  <c r="M83" i="14"/>
  <c r="G89" i="14"/>
  <c r="H89" i="14"/>
  <c r="I89" i="14"/>
  <c r="J89" i="14"/>
  <c r="K89" i="14"/>
  <c r="L89" i="14"/>
  <c r="M89" i="14"/>
  <c r="G90" i="14"/>
  <c r="H90" i="14"/>
  <c r="I90" i="14"/>
  <c r="J90" i="14"/>
  <c r="K90" i="14"/>
  <c r="L90" i="14"/>
  <c r="M90" i="14"/>
  <c r="G92" i="14"/>
  <c r="H92" i="14"/>
  <c r="I92" i="14"/>
  <c r="J92" i="14"/>
  <c r="K92" i="14"/>
  <c r="L92" i="14"/>
  <c r="M92" i="14"/>
  <c r="G93" i="14"/>
  <c r="H93" i="14"/>
  <c r="I93" i="14"/>
  <c r="J93" i="14"/>
  <c r="K93" i="14"/>
  <c r="L93" i="14"/>
  <c r="M93" i="14"/>
  <c r="G95" i="14"/>
  <c r="H95" i="14"/>
  <c r="I95" i="14"/>
  <c r="J95" i="14"/>
  <c r="K95" i="14"/>
  <c r="L95" i="14"/>
  <c r="M95" i="14"/>
  <c r="G96" i="14"/>
  <c r="H96" i="14"/>
  <c r="I96" i="14"/>
  <c r="J96" i="14"/>
  <c r="K96" i="14"/>
  <c r="L96" i="14"/>
  <c r="M96" i="14"/>
  <c r="G97" i="14"/>
  <c r="H97" i="14"/>
  <c r="I97" i="14"/>
  <c r="J97" i="14"/>
  <c r="K97" i="14"/>
  <c r="L97" i="14"/>
  <c r="M97"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1" i="14"/>
  <c r="H111" i="14"/>
  <c r="I111" i="14"/>
  <c r="J111" i="14"/>
  <c r="K111" i="14"/>
  <c r="L111" i="14"/>
  <c r="M111" i="14"/>
  <c r="G114" i="14"/>
  <c r="H114" i="14"/>
  <c r="I114" i="14"/>
  <c r="J114" i="14"/>
  <c r="K114" i="14"/>
  <c r="L114" i="14"/>
  <c r="M114" i="14"/>
  <c r="G115" i="14"/>
  <c r="H115" i="14"/>
  <c r="I115" i="14"/>
  <c r="J115" i="14"/>
  <c r="K115" i="14"/>
  <c r="L115" i="14"/>
  <c r="M115" i="14"/>
  <c r="G119" i="14"/>
  <c r="H119" i="14"/>
  <c r="I119" i="14"/>
  <c r="J119" i="14"/>
  <c r="K119" i="14"/>
  <c r="L119" i="14"/>
  <c r="M119" i="14"/>
  <c r="G120" i="14"/>
  <c r="H120" i="14"/>
  <c r="I120" i="14"/>
  <c r="J120" i="14"/>
  <c r="K120" i="14"/>
  <c r="L120" i="14"/>
  <c r="M120" i="14"/>
  <c r="G121" i="14"/>
  <c r="H121" i="14"/>
  <c r="I121" i="14"/>
  <c r="J121" i="14"/>
  <c r="K121" i="14"/>
  <c r="L121" i="14"/>
  <c r="M121" i="14"/>
  <c r="G122" i="14"/>
  <c r="H122" i="14"/>
  <c r="I122" i="14"/>
  <c r="J122" i="14"/>
  <c r="K122" i="14"/>
  <c r="L122" i="14"/>
  <c r="M122" i="14"/>
  <c r="G124" i="14"/>
  <c r="H124" i="14"/>
  <c r="I124" i="14"/>
  <c r="J124" i="14"/>
  <c r="K124" i="14"/>
  <c r="L124" i="14"/>
  <c r="M124" i="14"/>
  <c r="G125" i="14"/>
  <c r="H125" i="14"/>
  <c r="I125" i="14"/>
  <c r="J125" i="14"/>
  <c r="K125" i="14"/>
  <c r="L125" i="14"/>
  <c r="M125" i="14"/>
  <c r="G126" i="14"/>
  <c r="H126" i="14"/>
  <c r="I126" i="14"/>
  <c r="J126" i="14"/>
  <c r="K126" i="14"/>
  <c r="L126" i="14"/>
  <c r="M126" i="14"/>
  <c r="G127" i="14"/>
  <c r="H127" i="14"/>
  <c r="I127" i="14"/>
  <c r="J127" i="14"/>
  <c r="K127" i="14"/>
  <c r="L127" i="14"/>
  <c r="M127" i="14"/>
  <c r="G128" i="14"/>
  <c r="H128" i="14"/>
  <c r="I128" i="14"/>
  <c r="J128" i="14"/>
  <c r="K128" i="14"/>
  <c r="L128" i="14"/>
  <c r="M128" i="14"/>
  <c r="G129" i="14"/>
  <c r="H129" i="14"/>
  <c r="I129" i="14"/>
  <c r="J129" i="14"/>
  <c r="K129" i="14"/>
  <c r="L129" i="14"/>
  <c r="M129" i="14"/>
  <c r="G130" i="14"/>
  <c r="H130" i="14"/>
  <c r="I130" i="14"/>
  <c r="J130" i="14"/>
  <c r="K130" i="14"/>
  <c r="L130" i="14"/>
  <c r="M130" i="14"/>
  <c r="G133" i="14"/>
  <c r="H133" i="14"/>
  <c r="I133" i="14"/>
  <c r="J133" i="14"/>
  <c r="K133" i="14"/>
  <c r="L133" i="14"/>
  <c r="M133" i="14"/>
  <c r="G134" i="14"/>
  <c r="H134" i="14"/>
  <c r="I134" i="14"/>
  <c r="J134" i="14"/>
  <c r="K134" i="14"/>
  <c r="L134" i="14"/>
  <c r="M134" i="14"/>
  <c r="G135" i="14"/>
  <c r="H135" i="14"/>
  <c r="I135" i="14"/>
  <c r="J135" i="14"/>
  <c r="K135" i="14"/>
  <c r="L135" i="14"/>
  <c r="M135" i="14"/>
  <c r="G140" i="14"/>
  <c r="H140" i="14"/>
  <c r="I140" i="14"/>
  <c r="J140" i="14"/>
  <c r="K140" i="14"/>
  <c r="L140" i="14"/>
  <c r="M140" i="14"/>
  <c r="G141" i="14"/>
  <c r="H141" i="14"/>
  <c r="I141" i="14"/>
  <c r="J141" i="14"/>
  <c r="K141" i="14"/>
  <c r="L141" i="14"/>
  <c r="M141" i="14"/>
  <c r="G142" i="14"/>
  <c r="H142" i="14"/>
  <c r="I142" i="14"/>
  <c r="J142" i="14"/>
  <c r="K142" i="14"/>
  <c r="L142" i="14"/>
  <c r="M142" i="14"/>
  <c r="G143" i="14"/>
  <c r="H143" i="14"/>
  <c r="I143" i="14"/>
  <c r="J143" i="14"/>
  <c r="K143" i="14"/>
  <c r="L143" i="14"/>
  <c r="M143" i="14"/>
  <c r="G144" i="14" a="1"/>
  <c r="G144" i="14"/>
  <c r="H144" i="14" a="1"/>
  <c r="H144" i="14"/>
  <c r="I144" i="14" a="1"/>
  <c r="I144" i="14"/>
  <c r="J144" i="14" a="1"/>
  <c r="J144" i="14"/>
  <c r="K144" i="14" a="1"/>
  <c r="K144" i="14"/>
  <c r="L144" i="14" a="1"/>
  <c r="L144" i="14"/>
  <c r="M144" i="14" a="1"/>
  <c r="M144" i="14"/>
  <c r="G145" i="14"/>
  <c r="H145" i="14"/>
  <c r="I145" i="14"/>
  <c r="J145" i="14"/>
  <c r="K145" i="14"/>
  <c r="L145" i="14"/>
  <c r="M145" i="14"/>
  <c r="G146" i="14"/>
  <c r="H146" i="14"/>
  <c r="I146" i="14"/>
  <c r="J146" i="14"/>
  <c r="K146" i="14"/>
  <c r="L146" i="14"/>
  <c r="M146" i="14"/>
  <c r="G151" i="14"/>
  <c r="H151" i="14"/>
  <c r="I151" i="14"/>
  <c r="J151" i="14"/>
  <c r="K151" i="14"/>
  <c r="L151" i="14"/>
  <c r="M151" i="14"/>
  <c r="G153" i="14"/>
  <c r="H153" i="14"/>
  <c r="I153" i="14"/>
  <c r="J153" i="14"/>
  <c r="K153" i="14"/>
  <c r="L153" i="14"/>
  <c r="M153" i="14"/>
  <c r="E49" i="52"/>
  <c r="E50" i="52"/>
  <c r="E51" i="52"/>
  <c r="C56" i="52"/>
  <c r="D56" i="52"/>
  <c r="C57" i="52"/>
  <c r="D57" i="52"/>
  <c r="C58" i="52"/>
  <c r="D58" i="52"/>
  <c r="C59" i="52"/>
  <c r="D59" i="52"/>
  <c r="C60" i="52"/>
  <c r="D60" i="52"/>
  <c r="C61" i="52"/>
  <c r="D61" i="52"/>
  <c r="C62" i="52"/>
  <c r="D62" i="52"/>
  <c r="C63" i="52"/>
  <c r="D63" i="52"/>
  <c r="C64" i="52"/>
  <c r="D64" i="52"/>
  <c r="C65" i="52"/>
  <c r="D65" i="52"/>
  <c r="C66" i="52"/>
  <c r="D66" i="52"/>
  <c r="D80" i="52"/>
  <c r="D81" i="52"/>
  <c r="D82" i="52"/>
  <c r="D83" i="52"/>
  <c r="D84" i="52"/>
  <c r="D85" i="52"/>
  <c r="D86" i="52"/>
  <c r="D87" i="52"/>
  <c r="D88" i="52"/>
  <c r="D89" i="52"/>
  <c r="D90" i="52"/>
  <c r="D91" i="52"/>
  <c r="D92" i="52"/>
  <c r="D93" i="52"/>
  <c r="E127" i="52"/>
  <c r="E128" i="52"/>
  <c r="E129" i="52"/>
  <c r="E131" i="52"/>
  <c r="E142" i="52"/>
  <c r="E143" i="52"/>
  <c r="E144" i="52"/>
  <c r="E146" i="52"/>
  <c r="E147" i="52"/>
  <c r="E148" i="52"/>
  <c r="E149" i="52"/>
  <c r="E154" i="52"/>
  <c r="E155" i="52"/>
  <c r="E156" i="52"/>
  <c r="E157" i="52"/>
  <c r="E158" i="52"/>
  <c r="E159" i="52"/>
  <c r="E160" i="52"/>
  <c r="E161" i="52"/>
  <c r="E162" i="52"/>
  <c r="E163" i="52"/>
  <c r="E164" i="52"/>
  <c r="E167" i="52"/>
  <c r="E168" i="52"/>
  <c r="E169" i="52"/>
  <c r="E170" i="52"/>
  <c r="E171" i="52"/>
  <c r="E172" i="52"/>
  <c r="E173" i="52"/>
  <c r="E174" i="52"/>
  <c r="E175" i="52"/>
  <c r="E176" i="52"/>
  <c r="E177" i="52"/>
  <c r="E181" i="52"/>
  <c r="E182" i="52"/>
  <c r="E183" i="52"/>
  <c r="E184" i="52"/>
  <c r="E185" i="52"/>
  <c r="E186" i="52"/>
  <c r="E187" i="52"/>
  <c r="E188" i="52"/>
  <c r="E189" i="52"/>
  <c r="E190" i="52"/>
  <c r="E191" i="52"/>
  <c r="E194" i="52"/>
  <c r="E195" i="52"/>
  <c r="E196" i="52"/>
  <c r="E197" i="52"/>
  <c r="E198" i="52"/>
  <c r="E199" i="52"/>
  <c r="E200" i="52"/>
  <c r="E201" i="52"/>
  <c r="E202" i="52"/>
  <c r="E203" i="52"/>
  <c r="E204" i="52"/>
  <c r="E208" i="52"/>
  <c r="E209" i="52"/>
  <c r="E210" i="52"/>
  <c r="E211" i="52"/>
  <c r="E212" i="52"/>
  <c r="E213" i="52"/>
  <c r="E214" i="52"/>
  <c r="E215" i="52"/>
  <c r="E216" i="52"/>
  <c r="E217" i="52"/>
  <c r="E218" i="52"/>
  <c r="E221" i="52"/>
  <c r="E222" i="52"/>
  <c r="G18" i="22"/>
  <c r="H18" i="22"/>
  <c r="I18" i="22"/>
  <c r="J18" i="22"/>
  <c r="K18" i="22"/>
  <c r="L18" i="22"/>
  <c r="M18" i="22"/>
  <c r="G20" i="22"/>
  <c r="H20" i="22"/>
  <c r="I20" i="22"/>
  <c r="J20" i="22"/>
  <c r="K20" i="22"/>
  <c r="L20" i="22"/>
  <c r="M20" i="22"/>
  <c r="G21" i="22"/>
  <c r="H21" i="22"/>
  <c r="I21" i="22"/>
  <c r="J21" i="22"/>
  <c r="K21" i="22"/>
  <c r="L21" i="22"/>
  <c r="M21" i="22"/>
  <c r="G23" i="22"/>
  <c r="H23" i="22"/>
  <c r="I23" i="22"/>
  <c r="J23" i="22"/>
  <c r="K23" i="22"/>
  <c r="L23" i="22"/>
  <c r="M23" i="22"/>
  <c r="G24" i="22"/>
  <c r="H24" i="22"/>
  <c r="I24" i="22"/>
  <c r="J24" i="22"/>
  <c r="K24" i="22"/>
  <c r="L24" i="22"/>
  <c r="M24" i="22"/>
  <c r="G25" i="22"/>
  <c r="H25" i="22"/>
  <c r="I25" i="22"/>
  <c r="J25" i="22"/>
  <c r="K25" i="22"/>
  <c r="L25" i="22"/>
  <c r="M25" i="22"/>
  <c r="G27" i="22"/>
  <c r="H27" i="22"/>
  <c r="I27" i="22"/>
  <c r="J27" i="22"/>
  <c r="K27" i="22"/>
  <c r="L27" i="22"/>
  <c r="M27" i="22"/>
  <c r="G28" i="22"/>
  <c r="H28" i="22"/>
  <c r="I28" i="22"/>
  <c r="J28" i="22"/>
  <c r="K28" i="22"/>
  <c r="L28" i="22"/>
  <c r="M28" i="22"/>
  <c r="G29" i="22"/>
  <c r="H29" i="22"/>
  <c r="I29" i="22"/>
  <c r="J29" i="22"/>
  <c r="K29" i="22"/>
  <c r="L29" i="22"/>
  <c r="M29" i="22"/>
  <c r="G30" i="22"/>
  <c r="H30" i="22"/>
  <c r="I30" i="22"/>
  <c r="J30" i="22"/>
  <c r="K30" i="22"/>
  <c r="L30" i="22"/>
  <c r="M30" i="22"/>
  <c r="G35" i="22"/>
  <c r="H35" i="22"/>
  <c r="I35" i="22"/>
  <c r="J35" i="22"/>
  <c r="K35" i="22"/>
  <c r="L35" i="22"/>
  <c r="M35" i="22"/>
  <c r="G37" i="22"/>
  <c r="H37" i="22"/>
  <c r="I37" i="22"/>
  <c r="J37" i="22"/>
  <c r="K37" i="22"/>
  <c r="L37" i="22"/>
  <c r="M37" i="22"/>
  <c r="G44" i="22"/>
  <c r="H44" i="22"/>
  <c r="I44" i="22"/>
  <c r="J44" i="22"/>
  <c r="K44" i="22"/>
  <c r="L44" i="22"/>
  <c r="M44" i="22"/>
  <c r="G45" i="22"/>
  <c r="H45" i="22"/>
  <c r="I45" i="22"/>
  <c r="J45" i="22"/>
  <c r="K45" i="22"/>
  <c r="L45" i="22"/>
  <c r="M45" i="22"/>
  <c r="G46" i="22"/>
  <c r="H46" i="22"/>
  <c r="I46" i="22"/>
  <c r="J46" i="22"/>
  <c r="K46" i="22"/>
  <c r="L46" i="22"/>
  <c r="M46" i="22"/>
  <c r="G47" i="22"/>
  <c r="H47" i="22"/>
  <c r="I47" i="22"/>
  <c r="J47" i="22"/>
  <c r="K47" i="22"/>
  <c r="L47" i="22"/>
  <c r="M47" i="22"/>
  <c r="G52" i="22"/>
  <c r="H52" i="22"/>
  <c r="I52" i="22"/>
  <c r="J52" i="22"/>
  <c r="K52" i="22"/>
  <c r="L52" i="22"/>
  <c r="M52" i="22"/>
  <c r="G54" i="22"/>
  <c r="H54" i="22"/>
  <c r="I54" i="22"/>
  <c r="J54" i="22"/>
  <c r="K54" i="22"/>
  <c r="L54" i="22"/>
  <c r="M54" i="22"/>
  <c r="G55" i="22"/>
  <c r="H55" i="22"/>
  <c r="I55" i="22"/>
  <c r="J55" i="22"/>
  <c r="K55" i="22"/>
  <c r="L55" i="22"/>
  <c r="M55" i="22"/>
  <c r="G57" i="22"/>
  <c r="H57" i="22"/>
  <c r="I57" i="22"/>
  <c r="J57" i="22"/>
  <c r="K57" i="22"/>
  <c r="L57" i="22"/>
  <c r="M57" i="22"/>
  <c r="G58" i="22"/>
  <c r="H58" i="22"/>
  <c r="I58" i="22"/>
  <c r="J58" i="22"/>
  <c r="K58" i="22"/>
  <c r="L58" i="22"/>
  <c r="M58" i="22"/>
  <c r="G59" i="22"/>
  <c r="H59" i="22"/>
  <c r="I59" i="22"/>
  <c r="J59" i="22"/>
  <c r="K59" i="22"/>
  <c r="L59" i="22"/>
  <c r="M59" i="22"/>
  <c r="G61" i="22"/>
  <c r="H61" i="22"/>
  <c r="I61" i="22"/>
  <c r="J61" i="22"/>
  <c r="K61" i="22"/>
  <c r="L61" i="22"/>
  <c r="M61" i="22"/>
  <c r="G62" i="22"/>
  <c r="H62" i="22"/>
  <c r="I62" i="22"/>
  <c r="J62" i="22"/>
  <c r="K62" i="22"/>
  <c r="L62" i="22"/>
  <c r="M62" i="22"/>
  <c r="G63" i="22"/>
  <c r="H63" i="22"/>
  <c r="I63" i="22"/>
  <c r="J63" i="22"/>
  <c r="K63" i="22"/>
  <c r="L63" i="22"/>
  <c r="M63" i="22"/>
  <c r="G64" i="22"/>
  <c r="H64" i="22"/>
  <c r="I64" i="22"/>
  <c r="J64" i="22"/>
  <c r="K64" i="22"/>
  <c r="L64" i="22"/>
  <c r="M64"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C52" authorId="0"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0"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Kubal, Joseph J.</author>
    <author>Joseph Kubal</author>
  </authors>
  <commentList>
    <comment ref="D8" authorId="0" shapeId="0" xr:uid="{00000000-0006-0000-0300-000001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23" authorId="0" shapeId="0" xr:uid="{00000000-0006-0000-0300-000002000000}">
      <text>
        <r>
          <rPr>
            <sz val="9"/>
            <color indexed="81"/>
            <rFont val="Tahoma"/>
            <family val="2"/>
          </rPr>
          <t>Refer to default chem couples (coulmns K and higher in this tab) to see how this value impacts the calculations</t>
        </r>
      </text>
    </comment>
    <comment ref="D34" authorId="1" shapeId="0" xr:uid="{00000000-0006-0000-0300-000003000000}">
      <text>
        <r>
          <rPr>
            <sz val="9"/>
            <color indexed="81"/>
            <rFont val="Tahoma"/>
            <family val="2"/>
          </rPr>
          <t>Will only work for graphite. Will not change values for LTO for example</t>
        </r>
      </text>
    </comment>
    <comment ref="D36" authorId="2"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37" authorId="0" shapeId="0" xr:uid="{00000000-0006-0000-0300-000005000000}">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t>
        </r>
      </text>
    </comment>
    <comment ref="D52" authorId="0" shapeId="0" xr:uid="{00000000-0006-0000-0300-000006000000}">
      <text>
        <r>
          <rPr>
            <sz val="9"/>
            <color indexed="81"/>
            <rFont val="Tahoma"/>
            <family val="2"/>
          </rPr>
          <t>Refer to default chem couples (coulmns K and higher in this tab) to see how this value impacts the calculations</t>
        </r>
      </text>
    </comment>
    <comment ref="B93"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3" authorId="0" shapeId="0" xr:uid="{00000000-0006-0000-0300-000007000000}">
      <text>
        <r>
          <rPr>
            <sz val="9"/>
            <color indexed="81"/>
            <rFont val="Tahoma"/>
            <family val="2"/>
          </rPr>
          <t>Refer to default chem couples (coulmns K and higher in this tab) to see how this value impacts the calculations</t>
        </r>
      </text>
    </comment>
    <comment ref="D134" authorId="0" shapeId="0" xr:uid="{00000000-0006-0000-0300-000008000000}">
      <text>
        <r>
          <rPr>
            <sz val="9"/>
            <color indexed="81"/>
            <rFont val="Tahoma"/>
            <family val="2"/>
          </rPr>
          <t>Refer to default chem couples (coulmns K and higher in this tab) to see how this value impacts the calculations</t>
        </r>
      </text>
    </comment>
    <comment ref="D135" authorId="0" shapeId="0" xr:uid="{00000000-0006-0000-0300-000009000000}">
      <text>
        <r>
          <rPr>
            <sz val="9"/>
            <color indexed="81"/>
            <rFont val="Tahoma"/>
            <family val="2"/>
          </rPr>
          <t>Refer to default chem couples (coulmns K and higher in this tab) to see how this value impacts the calculations</t>
        </r>
      </text>
    </comment>
    <comment ref="D136" authorId="0" shapeId="0" xr:uid="{00000000-0006-0000-0300-00000A000000}">
      <text>
        <r>
          <rPr>
            <sz val="9"/>
            <color indexed="81"/>
            <rFont val="Tahoma"/>
            <family val="2"/>
          </rPr>
          <t>Refer to default chem couples (coulmns K and higher in this tab) to see how this value impacts the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6" authorId="0" shapeId="0" xr:uid="{00000000-0006-0000-0500-000001000000}">
      <text>
        <r>
          <rPr>
            <b/>
            <sz val="9"/>
            <color indexed="81"/>
            <rFont val="Tahoma"/>
            <family val="2"/>
          </rPr>
          <t>Not used for the Contactor Control, BMU enclosure, and contactors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0" authorId="0" shapeId="0" xr:uid="{00000000-0006-0000-0600-000001000000}">
      <text>
        <r>
          <rPr>
            <b/>
            <sz val="9"/>
            <color indexed="81"/>
            <rFont val="Tahoma"/>
            <family val="2"/>
          </rPr>
          <t>Edit using the pull-down menu on Dashboard</t>
        </r>
      </text>
    </comment>
    <comment ref="B413" authorId="0" shapeId="0" xr:uid="{00000000-0006-0000-0600-000002000000}">
      <text>
        <r>
          <rPr>
            <b/>
            <sz val="9"/>
            <color indexed="81"/>
            <rFont val="Tahoma"/>
            <family val="2"/>
          </rPr>
          <t>Edit using the pull-down menu on Dashboard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755D67C5-829C-44F0-A777-A8D84855CA17}">
      <text>
        <r>
          <rPr>
            <b/>
            <sz val="9"/>
            <color indexed="81"/>
            <rFont val="Tahoma"/>
            <family val="2"/>
          </rPr>
          <t>Edit using the pull-down menu on Dashboard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100" authorId="0" shapeId="0" xr:uid="{00000000-0006-0000-0A00-000001000000}">
      <text>
        <r>
          <rPr>
            <b/>
            <sz val="9"/>
            <color indexed="81"/>
            <rFont val="Tahoma"/>
            <family val="2"/>
          </rPr>
          <t>The values for the Dow coolant may be used as an alternative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<sst xmlns="http://schemas.openxmlformats.org/spreadsheetml/2006/main" count="6585" uniqueCount="2268">
  <si>
    <t>Joseph J. Kubal, Kevin W. Knehr, Paul A. Nelson, David C. Robertson, Kevin G. Gallagher, Dennis W. Dees, Shabbir Ahmed</t>
  </si>
  <si>
    <t>Chemical Sciences and Engineering Division</t>
  </si>
  <si>
    <t>Argonne National laboratory</t>
  </si>
  <si>
    <t>9700 S. Cass Avenue, Argonne IL 60439</t>
  </si>
  <si>
    <t>https://www.anl.gov/cse/batpac-model-software</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</si>
  <si>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</si>
  <si>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</si>
  <si>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</si>
  <si>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</si>
  <si>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</si>
  <si>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</si>
  <si>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</si>
  <si>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</si>
  <si>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</si>
  <si>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</si>
  <si>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</si>
  <si>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</si>
  <si>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</si>
  <si>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</si>
  <si>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</si>
  <si>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</si>
  <si>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</si>
  <si>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</si>
  <si>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</si>
  <si>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</si>
  <si>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</si>
  <si>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</si>
  <si>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</si>
  <si>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</si>
  <si>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</si>
  <si>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</si>
  <si>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</si>
  <si>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</si>
  <si>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</si>
  <si>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</si>
  <si>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</si>
  <si>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</si>
  <si>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</si>
  <si>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</si>
  <si>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</si>
  <si>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Maximum charging current density, mA/cm²</t>
  </si>
  <si>
    <t xml:space="preserve">General </t>
  </si>
  <si>
    <t>OEM Upper Cuttoff SOC</t>
  </si>
  <si>
    <t>Vehicle Type</t>
  </si>
  <si>
    <t>EV</t>
  </si>
  <si>
    <t>OEM Lower Cutoff SOC</t>
  </si>
  <si>
    <t>Calculate Charging Requirements?</t>
  </si>
  <si>
    <t>No</t>
  </si>
  <si>
    <t>Power and Storage Requirements</t>
  </si>
  <si>
    <t>Power</t>
  </si>
  <si>
    <t>Battery 1</t>
  </si>
  <si>
    <t>Battery 2</t>
  </si>
  <si>
    <t>Battery 3</t>
  </si>
  <si>
    <t>Battery 4</t>
  </si>
  <si>
    <t>Battery 5</t>
  </si>
  <si>
    <t>Battery 6</t>
  </si>
  <si>
    <t>Battery 7</t>
  </si>
  <si>
    <t>Target rated peak power of pack, kW</t>
  </si>
  <si>
    <t>Use default power requirements for vehicle</t>
  </si>
  <si>
    <t>Yes</t>
  </si>
  <si>
    <t>Duration at rated power, s</t>
  </si>
  <si>
    <t>Override duration at rated peak power, s</t>
  </si>
  <si>
    <t>Operating initial SOC for rated peak power, %</t>
  </si>
  <si>
    <t>Override for operating initial SOC for rated peak power, %</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</si>
  <si>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</si>
  <si>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</si>
  <si>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</si>
  <si>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</si>
  <si>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</si>
  <si>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</si>
  <si>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</si>
  <si>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Average temperature during discharge (default = 30°C), °C</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</si>
  <si>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</si>
  <si>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</si>
  <si>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</si>
  <si>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</si>
  <si>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</si>
  <si>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</si>
  <si>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</si>
  <si>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</si>
  <si>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</si>
  <si>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</si>
  <si>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</si>
  <si>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</si>
  <si>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</si>
  <si>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</si>
  <si>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</si>
  <si>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</si>
  <si>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Number of packs manufactured per year</t>
  </si>
  <si>
    <t>Method to calculate plant utilization</t>
  </si>
  <si>
    <t>Method 1: Ignore utilization</t>
  </si>
  <si>
    <t>Packs manufactured at 100% utilization (pack/year)</t>
  </si>
  <si>
    <t>Percent plant utilization (%)</t>
  </si>
  <si>
    <t>Cell yield, % of built cells that pass inspection</t>
  </si>
  <si>
    <t>Pack Manufacturing Method and Cost Options</t>
  </si>
  <si>
    <t>Method for manufacturing pack</t>
  </si>
  <si>
    <t>All manufacturing in-house (Default)</t>
  </si>
  <si>
    <t>Option for pack cost</t>
  </si>
  <si>
    <t>Cost to consumer - includes pack profit/warranty (Default)</t>
  </si>
  <si>
    <t>Results</t>
  </si>
  <si>
    <t>Calculation and Validation</t>
  </si>
  <si>
    <t>Configuration Errors (see table to right)</t>
  </si>
  <si>
    <t>Configuration Warnings (see table  to right)</t>
  </si>
  <si>
    <t>Plant Size, GWh</t>
  </si>
  <si>
    <t>Power-to-energy ratio</t>
  </si>
  <si>
    <t>Adequacy of cooling</t>
  </si>
  <si>
    <t>Cathode thickness limited by</t>
  </si>
  <si>
    <t>Summary of Results and Graphing</t>
  </si>
  <si>
    <t>Unit</t>
  </si>
  <si>
    <t>Absolute</t>
  </si>
  <si>
    <t xml:space="preserve">X = </t>
  </si>
  <si>
    <t>Battery system rated power, kW</t>
  </si>
  <si>
    <t xml:space="preserve">Y1 = </t>
  </si>
  <si>
    <t>Positive electrode thickness, µm</t>
  </si>
  <si>
    <t xml:space="preserve">Y2 = </t>
  </si>
  <si>
    <t>Cell cost, $/kWh</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</si>
  <si>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</si>
  <si>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</si>
  <si>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</si>
  <si>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</si>
  <si>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</si>
  <si>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</si>
  <si>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</si>
  <si>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</si>
  <si>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</si>
  <si>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</si>
  <si>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</si>
  <si>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</si>
  <si>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</si>
  <si>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</si>
  <si>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</si>
  <si>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</si>
  <si>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</si>
  <si>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average OCV, V</t>
  </si>
  <si>
    <t>Battery system nominal operating voltage, V</t>
  </si>
  <si>
    <t>Battery system capacity, Ah</t>
  </si>
  <si>
    <t>Battery system total energy, kWh</t>
  </si>
  <si>
    <r>
      <t>Battery system useable energy, kWh</t>
    </r>
    <r>
      <rPr>
        <vertAlign val="subscript"/>
        <sz val="10"/>
        <rFont val="Arial"/>
        <family val="2"/>
      </rPr>
      <t>(Useable)</t>
    </r>
  </si>
  <si>
    <t>Battery system power at target % OCV,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</si>
  <si>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</si>
  <si>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</si>
  <si>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</si>
  <si>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</si>
  <si>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</si>
  <si>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</si>
  <si>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</si>
  <si>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</si>
  <si>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</si>
  <si>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</si>
  <si>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</si>
  <si>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</si>
  <si>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</si>
  <si>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</si>
  <si>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cells per pack</t>
  </si>
  <si>
    <t>Number of modules per pack</t>
  </si>
  <si>
    <t>Pack average OCV, V</t>
  </si>
  <si>
    <t>Pack nominal operating voltage, V</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</si>
  <si>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</si>
  <si>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</si>
  <si>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</si>
  <si>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</si>
  <si>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</si>
  <si>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</si>
  <si>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</si>
  <si>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</si>
  <si>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</si>
  <si>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</si>
  <si>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</si>
  <si>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</si>
  <si>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</si>
  <si>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</si>
  <si>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energy density, Wh/L</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</si>
  <si>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</si>
  <si>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</si>
  <si>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</si>
  <si>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t>Module Parameters</t>
  </si>
  <si>
    <t>Module Configuration and Performance</t>
  </si>
  <si>
    <t>Number of cells per module</t>
  </si>
  <si>
    <t>Module average OCV, V</t>
  </si>
  <si>
    <t>Module nominal operating voltage, V</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</si>
  <si>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</si>
  <si>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</si>
  <si>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</si>
  <si>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</si>
  <si>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</si>
  <si>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</si>
  <si>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</si>
  <si>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</si>
  <si>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</si>
  <si>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</si>
  <si>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</si>
  <si>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</si>
  <si>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</si>
  <si>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</si>
  <si>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</si>
  <si>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</si>
  <si>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</si>
  <si>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</si>
  <si>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t>Cell Parameters</t>
  </si>
  <si>
    <t>Cell Performance</t>
  </si>
  <si>
    <t>Cell average OCV, V</t>
  </si>
  <si>
    <t>Cell nominal operating voltage, V</t>
  </si>
  <si>
    <t>Cell capacity, Ah</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</si>
  <si>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</si>
  <si>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</si>
  <si>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</si>
  <si>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</si>
  <si>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</si>
  <si>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</si>
  <si>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</si>
  <si>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thickness,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</si>
  <si>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</si>
  <si>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</si>
  <si>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</si>
  <si>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</si>
  <si>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</si>
  <si>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</si>
  <si>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</si>
  <si>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</si>
  <si>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</si>
  <si>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t>Additional Cell Information</t>
  </si>
  <si>
    <t>Negative electrode thickness, µm</t>
  </si>
  <si>
    <r>
      <t>Positive electode areal capacity, mAh/cm</t>
    </r>
    <r>
      <rPr>
        <sz val="10"/>
        <rFont val="Calibri"/>
        <family val="2"/>
      </rPr>
      <t>²</t>
    </r>
  </si>
  <si>
    <r>
      <t>Negative electrode areal capacity, mAh/cm</t>
    </r>
    <r>
      <rPr>
        <sz val="10"/>
        <rFont val="Calibri"/>
        <family val="2"/>
      </rPr>
      <t>²</t>
    </r>
  </si>
  <si>
    <t>Manufacturing Information</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</si>
  <si>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</si>
  <si>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</si>
  <si>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</si>
  <si>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</si>
  <si>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</si>
  <si>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</si>
  <si>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</si>
  <si>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</si>
  <si>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and warranty from module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</si>
  <si>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</si>
  <si>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</si>
  <si>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</si>
  <si>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</si>
  <si>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</si>
  <si>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</si>
  <si>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</si>
  <si>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</si>
  <si>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</si>
  <si>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t>Pack cost, $/kWh</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</si>
  <si>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</si>
  <si>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</si>
  <si>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</si>
  <si>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</si>
  <si>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</si>
  <si>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</si>
  <si>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</si>
  <si>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</si>
  <si>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</si>
  <si>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</si>
  <si>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r>
      <t>Cell cost, $/kWh</t>
    </r>
    <r>
      <rPr>
        <vertAlign val="subscript"/>
        <sz val="10"/>
        <rFont val="Arial"/>
        <family val="2"/>
      </rPr>
      <t>(Useable)</t>
    </r>
  </si>
  <si>
    <t>Additional Considerations</t>
  </si>
  <si>
    <t>Module fraction of pack cost</t>
  </si>
  <si>
    <t>Cell fraction of module cost</t>
  </si>
  <si>
    <t>Cell fraction of pack cost</t>
  </si>
  <si>
    <t>Dynamic Table for User-Controlled Results Selection</t>
  </si>
  <si>
    <t>Summary of Input/Output</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</si>
  <si>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</si>
  <si>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</si>
  <si>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</si>
  <si>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</si>
  <si>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</si>
  <si>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</si>
  <si>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</si>
  <si>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</si>
  <si>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</si>
  <si>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</si>
  <si>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</si>
  <si>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</si>
  <si>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</si>
  <si>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</si>
  <si>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</si>
  <si>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</si>
  <si>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</si>
  <si>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</si>
  <si>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</si>
  <si>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</si>
  <si>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</si>
  <si>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</si>
  <si>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</si>
  <si>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</si>
  <si>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</si>
  <si>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</si>
  <si>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</si>
  <si>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</si>
  <si>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</si>
  <si>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</si>
  <si>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</si>
  <si>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</si>
  <si>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</si>
  <si>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</si>
  <si>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</si>
  <si>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</si>
  <si>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</si>
  <si>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</si>
  <si>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</si>
  <si>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Positive Electrode</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</si>
  <si>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</si>
  <si>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</si>
  <si>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</si>
  <si>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</si>
  <si>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</si>
  <si>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</si>
  <si>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</si>
  <si>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</si>
  <si>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Electrode</t>
  </si>
  <si>
    <t>Negative active material per cell, g/cell</t>
  </si>
  <si>
    <t>Conductive additive for negative electrode, g/cell</t>
  </si>
  <si>
    <t>Negative electrode binder, g/cell</t>
  </si>
  <si>
    <t>Negative electrode void fraction, %</t>
  </si>
  <si>
    <t>Total negative electrode coating, g/cell</t>
  </si>
  <si>
    <t>Additives</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</si>
  <si>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</si>
  <si>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</si>
  <si>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</si>
  <si>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</si>
  <si>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</si>
  <si>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</si>
  <si>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Electrolylte additive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</si>
  <si>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</si>
  <si>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</si>
  <si>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</si>
  <si>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</si>
  <si>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</si>
  <si>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</si>
  <si>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</si>
  <si>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</si>
  <si>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</si>
  <si>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</si>
  <si>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Length-to-width ratio for positive electrode (default = 3)</t>
  </si>
  <si>
    <t>Applied cell thickness target, mm</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</si>
  <si>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</si>
  <si>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</si>
  <si>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</si>
  <si>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</si>
  <si>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</si>
  <si>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</si>
  <si>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a</t>
  </si>
  <si>
    <t>Feedthrough length (default = 5), mm</t>
  </si>
  <si>
    <t>b</t>
  </si>
  <si>
    <t>Internal tab length, mm</t>
  </si>
  <si>
    <t>c</t>
  </si>
  <si>
    <t>Buffer between edge of current collector and edge of internal tab (default = 2), mm</t>
  </si>
  <si>
    <t>Internal tab width, mm</t>
  </si>
  <si>
    <t>d</t>
  </si>
  <si>
    <t>Feedthrough width, mm</t>
  </si>
  <si>
    <t>e</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</si>
  <si>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</si>
  <si>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</si>
  <si>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</si>
  <si>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</si>
  <si>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</si>
  <si>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</si>
  <si>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</si>
  <si>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</si>
  <si>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Negative-to-positive capacity ratio after formation</t>
  </si>
  <si>
    <t>Excess negative area, %</t>
  </si>
  <si>
    <t>Electrode Thickness Calculations</t>
  </si>
  <si>
    <t>Examination of the different limits that could be placed on the battery</t>
  </si>
  <si>
    <t>Section 1: Determination of key limits and reference values</t>
  </si>
  <si>
    <t>Limits and Factors</t>
  </si>
  <si>
    <t>ASI temperature dependent prefactor (only for discharging)</t>
  </si>
  <si>
    <t>minimum % OCV at full power, %</t>
  </si>
  <si>
    <t>% OCV at full power adjusted for thickness limit, %</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</si>
  <si>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</si>
  <si>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</si>
  <si>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</si>
  <si>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</si>
  <si>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</si>
  <si>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</si>
  <si>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</si>
  <si>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</si>
  <si>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</si>
  <si>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</si>
  <si>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</si>
  <si>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</si>
  <si>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</si>
  <si>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</si>
  <si>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</si>
  <si>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</si>
  <si>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</si>
  <si>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</si>
  <si>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</si>
  <si>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</si>
  <si>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</si>
  <si>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</si>
  <si>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</si>
  <si>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</si>
  <si>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</si>
  <si>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</si>
  <si>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</si>
  <si>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</si>
  <si>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</si>
  <si>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</si>
  <si>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</si>
  <si>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</si>
  <si>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</si>
  <si>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</si>
  <si>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</si>
  <si>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</si>
  <si>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</si>
  <si>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</si>
  <si>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</si>
  <si>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</si>
  <si>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</si>
  <si>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</si>
  <si>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</si>
  <si>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</si>
  <si>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</si>
  <si>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</si>
  <si>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</si>
  <si>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</si>
  <si>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</si>
  <si>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</si>
  <si>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</si>
  <si>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</si>
  <si>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</si>
  <si>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</si>
  <si>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</si>
  <si>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</si>
  <si>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</si>
  <si>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r>
      <t>Pack terminal ASI, ohm-cm</t>
    </r>
    <r>
      <rPr>
        <sz val="10"/>
        <rFont val="Calibri"/>
        <family val="2"/>
      </rPr>
      <t>²</t>
    </r>
  </si>
  <si>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</si>
  <si>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</si>
  <si>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</si>
  <si>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</si>
  <si>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</si>
  <si>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</si>
  <si>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</si>
  <si>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</si>
  <si>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</si>
  <si>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</si>
  <si>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</si>
  <si>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</si>
  <si>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t>X</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</si>
  <si>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</si>
  <si>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</si>
  <si>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</si>
  <si>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</si>
  <si>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</si>
  <si>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</si>
  <si>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</si>
  <si>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</si>
  <si>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</si>
  <si>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Charger</t>
  </si>
  <si>
    <t>Maximum charger power, kW</t>
  </si>
  <si>
    <t>Charger voltage (default = 480), V</t>
  </si>
  <si>
    <t>Maximum charger current (soft limit), A</t>
  </si>
  <si>
    <t>Maximum current to achieve desired charging time, A</t>
  </si>
  <si>
    <t>Electrode Thickness from Desired Charge Time</t>
  </si>
  <si>
    <t>Target battery pack power, kW</t>
  </si>
  <si>
    <t>Max allowable temperature (default = 55), °C</t>
  </si>
  <si>
    <t>Desired charging time for 80% of capacity, minutes</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</si>
  <si>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</si>
  <si>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</si>
  <si>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</si>
  <si>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</si>
  <si>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</si>
  <si>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</si>
  <si>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</si>
  <si>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</si>
  <si>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</si>
  <si>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</si>
  <si>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</si>
  <si>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</si>
  <si>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</si>
  <si>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</si>
  <si>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Thickness Override</t>
  </si>
  <si>
    <t>Positive area determined by power at target % OCV, cm²</t>
  </si>
  <si>
    <t>Power Limitations</t>
  </si>
  <si>
    <t>Positive area determined by energy (C/3), cm²</t>
  </si>
  <si>
    <t>Energy Limitations</t>
  </si>
  <si>
    <t>Positive area determined by charging limits, cm²</t>
  </si>
  <si>
    <t>Charging</t>
  </si>
  <si>
    <t>Positive area determined by max allowable thickness, cm²</t>
  </si>
  <si>
    <t>Max Thickness</t>
  </si>
  <si>
    <t>Selected positive electrode area including possible charging limits, cm²</t>
  </si>
  <si>
    <t>Negative electrode area, cm²</t>
  </si>
  <si>
    <t>Area Limited by</t>
  </si>
  <si>
    <t>Cell, module, and pack construction</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</si>
  <si>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</si>
  <si>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</si>
  <si>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</si>
  <si>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</si>
  <si>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</si>
  <si>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</si>
  <si>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</si>
  <si>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</si>
  <si>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</si>
  <si>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</si>
  <si>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</si>
  <si>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</si>
  <si>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</si>
  <si>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</si>
  <si>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</si>
  <si>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</si>
  <si>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</si>
  <si>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</si>
  <si>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</si>
  <si>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</si>
  <si>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</si>
  <si>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</si>
  <si>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Width, mm</t>
  </si>
  <si>
    <t>Thickness (default = 2), mm</t>
  </si>
  <si>
    <r>
      <t>Mass of both panels (2.1 g/cm</t>
    </r>
    <r>
      <rPr>
        <vertAlign val="superscript"/>
        <sz val="10"/>
        <rFont val="Arial"/>
        <family val="2"/>
      </rPr>
      <t>3</t>
    </r>
    <r>
      <rPr>
        <sz val="10"/>
        <rFont val="Arial"/>
        <family val="2"/>
      </rPr>
      <t>), g</t>
    </r>
  </si>
  <si>
    <t>Length (width of cell feedthrough plus 20 mm), mm</t>
  </si>
  <si>
    <t>Mass of both tabs, g</t>
  </si>
  <si>
    <t>Length (default = 35), mm</t>
  </si>
  <si>
    <t>Mass of both terminals (includes 20% additional weight for insulation and fastener), g</t>
  </si>
  <si>
    <t>Module Conductors / Thermal Enclosure</t>
  </si>
  <si>
    <t>Length of aluminum conductor or thermal enclosure around cells, mm</t>
  </si>
  <si>
    <t>Thickness of aluminum conductor or thermal enclosure, mm</t>
  </si>
  <si>
    <r>
      <t xml:space="preserve">Total mass </t>
    </r>
    <r>
      <rPr>
        <sz val="10"/>
        <color rgb="FFFF0000"/>
        <rFont val="Arial"/>
        <family val="2"/>
      </rPr>
      <t>per module</t>
    </r>
    <r>
      <rPr>
        <sz val="10"/>
        <rFont val="Arial"/>
        <family val="2"/>
      </rPr>
      <t xml:space="preserve"> of aluminum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</si>
  <si>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</si>
  <si>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</si>
  <si>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</si>
  <si>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steel</t>
  </si>
  <si>
    <t>Module wall thickness (default = 0.3), mm</t>
  </si>
  <si>
    <t>Module enclosure, g</t>
  </si>
  <si>
    <t>Provisions for gas release (default = 5), g</t>
  </si>
  <si>
    <t>Width of space beyond end of cell terminal at back of module (default = 2), mm</t>
  </si>
  <si>
    <t>Width of space beyond end of cell terminal at front of module (default =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</si>
  <si>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</si>
  <si>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</si>
  <si>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</si>
  <si>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</si>
  <si>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</si>
  <si>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</si>
  <si>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</si>
  <si>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Pack nominal voltage, V</t>
  </si>
  <si>
    <t>Pack power at target % OCV and SOC, kW</t>
  </si>
  <si>
    <t>Pack power at % OCV adjusted for thickness limits, kW</t>
  </si>
  <si>
    <t>Maximum current at full power, A</t>
  </si>
  <si>
    <t>Maximum current density at full power, mA/cm²</t>
  </si>
  <si>
    <t>C-rate at full power, A/Ah</t>
  </si>
  <si>
    <t>Module Row Rack</t>
  </si>
  <si>
    <t>Length, mm</t>
  </si>
  <si>
    <t>Height, mm</t>
  </si>
  <si>
    <t>Thickness of steel rack support channel (default = 1), mm</t>
  </si>
  <si>
    <t>Width of side rails of support channel and upper channel (default = 10), mm</t>
  </si>
  <si>
    <t>Mass of lower channel, kg</t>
  </si>
  <si>
    <t>Thickness of steel in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</si>
  <si>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</si>
  <si>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</si>
  <si>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</si>
  <si>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(steel, default = 2), mm</t>
  </si>
  <si>
    <r>
      <t>Area of each restraint plate including welding tabs, cm</t>
    </r>
    <r>
      <rPr>
        <sz val="10"/>
        <rFont val="Calibri"/>
        <family val="2"/>
      </rPr>
      <t>²</t>
    </r>
  </si>
  <si>
    <r>
      <t>Volume of each 1.5-mm steel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</si>
  <si>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</si>
  <si>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</si>
  <si>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</si>
  <si>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</si>
  <si>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</si>
  <si>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</si>
  <si>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</si>
  <si>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</si>
  <si>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Width of coolant panels above and below modules, mm</t>
  </si>
  <si>
    <t>Thickness of coolant panel channels (default = 5), mm</t>
  </si>
  <si>
    <t>Thickness of coolant panel walls (default = 0.3), mm</t>
  </si>
  <si>
    <t>Total thickness of coolant panel (stainless steel sheets), mm</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</si>
  <si>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</si>
  <si>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</si>
  <si>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</si>
  <si>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</si>
  <si>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</si>
  <si>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</si>
  <si>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</si>
  <si>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</si>
  <si>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</si>
  <si>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</si>
  <si>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</si>
  <si>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</si>
  <si>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</si>
  <si>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</si>
  <si>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</si>
  <si>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</si>
  <si>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mm</t>
  </si>
  <si>
    <t>Pack jacket insulation thickness (default = 10), mm</t>
  </si>
  <si>
    <t>Pack jacket total base thickness, mm</t>
  </si>
  <si>
    <t>Pack jacket total top thickness, mm</t>
  </si>
  <si>
    <t>Interior jacket dimension accross width of rows, mm</t>
  </si>
  <si>
    <t>Pack Jacket Base</t>
  </si>
  <si>
    <t>Interior aluminum plate thickness (default = 1), mm</t>
  </si>
  <si>
    <t>Exterior steel plate thickness (default = 1), mm</t>
  </si>
  <si>
    <t>Angle iron perimeter frame, mm</t>
  </si>
  <si>
    <t>Angle iron perimeter unit mass, g/mm</t>
  </si>
  <si>
    <t>Override angle iron perimeter unit mass, g/mm</t>
  </si>
  <si>
    <t>Mass of angle iron, kg</t>
  </si>
  <si>
    <t>Mass of steel in pack jacket, kg</t>
  </si>
  <si>
    <t>Mass of aluminum, kg</t>
  </si>
  <si>
    <r>
      <t>Area of insulation (density = 0.032 g/cm</t>
    </r>
    <r>
      <rPr>
        <vertAlign val="superscript"/>
        <sz val="10"/>
        <rFont val="Arial"/>
        <family val="2"/>
      </rPr>
      <t>3</t>
    </r>
    <r>
      <rPr>
        <sz val="10"/>
        <rFont val="Arial"/>
        <family val="2"/>
      </rPr>
      <t>), m</t>
    </r>
    <r>
      <rPr>
        <vertAlign val="superscript"/>
        <sz val="10"/>
        <rFont val="Arial"/>
        <family val="2"/>
      </rPr>
      <t>2</t>
    </r>
  </si>
  <si>
    <t>Mass of jacket base, kg</t>
  </si>
  <si>
    <t>Pack Jacket Top</t>
  </si>
  <si>
    <t>Exterior aluminum plate thickness, mm</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</si>
  <si>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</si>
  <si>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</si>
  <si>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</si>
  <si>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</si>
  <si>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</si>
  <si>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</si>
  <si>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</si>
  <si>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</si>
  <si>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</si>
  <si>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</si>
  <si>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</si>
  <si>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</si>
  <si>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 xml:space="preserve"> </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</si>
  <si>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</si>
  <si>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</si>
  <si>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</si>
  <si>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</si>
  <si>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</si>
  <si>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</si>
  <si>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</si>
  <si>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</si>
  <si>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</si>
  <si>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</si>
  <si>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</si>
  <si>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</si>
  <si>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</si>
  <si>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Iterative Calculations</t>
  </si>
  <si>
    <t>Pack capacity estimating parameter, Ah</t>
  </si>
  <si>
    <t>Pack capacity, Ah (holding)</t>
  </si>
  <si>
    <t>Pack capacity convergence constant</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</si>
  <si>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</si>
  <si>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</si>
  <si>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</si>
  <si>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</si>
  <si>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</si>
  <si>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</si>
  <si>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</si>
  <si>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</si>
  <si>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</si>
  <si>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</si>
  <si>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</si>
  <si>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</si>
  <si>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</si>
  <si>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</si>
  <si>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</si>
  <si>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</si>
  <si>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</si>
  <si>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Number of modules not divisible by number of modules in parallel</t>
  </si>
  <si>
    <t>Error: Pulse goes below lower operating SOC window</t>
  </si>
  <si>
    <t>Error: Electrode thickness smaller than minimum allowable thickness</t>
  </si>
  <si>
    <t>Warnings</t>
  </si>
  <si>
    <t>Warning: Number of modules rows not 1, 2 or 4 (number and size of busbars may become excessive)</t>
  </si>
  <si>
    <t>Warning: Number of modules in parallel should be 1 or 2 (number and mass of interconnects may be underestimated)</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</si>
  <si>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</si>
  <si>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</si>
  <si>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</si>
  <si>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Pack size exceeds 5 ft in multiple dimensions (may exceed dimensions of vehicle)</t>
  </si>
  <si>
    <t>Warning: Pack voltage exceeds 1000 V (BMS cost and size will be underestimated)</t>
  </si>
  <si>
    <t>Warning: Desired charge time requires a charging power which exceeds input charger power</t>
  </si>
  <si>
    <t>Error and Warning Tags</t>
  </si>
  <si>
    <t>List of errors</t>
  </si>
  <si>
    <t>Error Tags</t>
  </si>
  <si>
    <t>List of warnings</t>
  </si>
  <si>
    <t>Warning Tags</t>
  </si>
  <si>
    <t>Selected Chemistry - Choose a Chemistry in Dashboard</t>
  </si>
  <si>
    <t>NMC333-G (Power)</t>
  </si>
  <si>
    <t>ID #</t>
  </si>
  <si>
    <t>NMC333-G (Energy)</t>
  </si>
  <si>
    <t>NMC532-G (Power)</t>
  </si>
  <si>
    <t>NMC532-G (Energy)</t>
  </si>
  <si>
    <t>NMC622-G (Power)</t>
  </si>
  <si>
    <t>NMC622-G (Energy)</t>
  </si>
  <si>
    <t>NMC811-G (Power)</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</si>
  <si>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</si>
  <si>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</si>
  <si>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</si>
  <si>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</si>
  <si>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</si>
  <si>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</si>
  <si>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</si>
  <si>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</si>
  <si>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</si>
  <si>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</si>
  <si>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</si>
  <si>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</si>
  <si>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</si>
  <si>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</si>
  <si>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</si>
  <si>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</si>
  <si>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</si>
  <si>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</si>
  <si>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</si>
  <si>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</si>
  <si>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Default Value</t>
  </si>
  <si>
    <t>Couple Name</t>
  </si>
  <si>
    <t>Positive electrode</t>
  </si>
  <si>
    <t>Mixing Values</t>
  </si>
  <si>
    <t>Positive Electrode Active Material</t>
  </si>
  <si>
    <t>Active material</t>
  </si>
  <si>
    <t>NMC333</t>
  </si>
  <si>
    <t>NMC532</t>
  </si>
  <si>
    <t>NMC622</t>
  </si>
  <si>
    <t>NMC811</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</si>
  <si>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</si>
  <si>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</si>
  <si>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</si>
  <si>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</si>
  <si>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</si>
  <si>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</si>
  <si>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</si>
  <si>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</si>
  <si>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</si>
  <si>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</si>
  <si>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</si>
  <si>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</si>
  <si>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</si>
  <si>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</si>
  <si>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</si>
  <si>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</si>
  <si>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</si>
  <si>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</si>
  <si>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</si>
  <si>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</si>
  <si>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</si>
  <si>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</si>
  <si>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</si>
  <si>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</si>
  <si>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</si>
  <si>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</si>
  <si>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</si>
  <si>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</si>
  <si>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</si>
  <si>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</si>
  <si>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</si>
  <si>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</si>
  <si>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</si>
  <si>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</si>
  <si>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</si>
  <si>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</si>
  <si>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</si>
  <si>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</si>
  <si>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</si>
  <si>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</si>
  <si>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</si>
  <si>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</si>
  <si>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</si>
  <si>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</si>
  <si>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</si>
  <si>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</si>
  <si>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Add 5% silicon to negative electrode?</t>
  </si>
  <si>
    <t>Negative Electrode Active Material</t>
  </si>
  <si>
    <t>LTO</t>
  </si>
  <si>
    <t>Negative electrode active material capacity, mAh/g:</t>
  </si>
  <si>
    <t>Negative Electrode Composition, Weight %</t>
  </si>
  <si>
    <t>Negative Electrode Composition</t>
  </si>
  <si>
    <t>Negative electrode active weight %</t>
  </si>
  <si>
    <t>89:6:5 in BatPaC 4.0</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</si>
  <si>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</si>
  <si>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</si>
  <si>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</si>
  <si>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</si>
  <si>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</si>
  <si>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</si>
  <si>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</si>
  <si>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</si>
  <si>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</si>
  <si>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</si>
  <si>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</si>
  <si>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</si>
  <si>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</si>
  <si>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</si>
  <si>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</si>
  <si>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</si>
  <si>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</si>
  <si>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</si>
  <si>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</si>
  <si>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</si>
  <si>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</si>
  <si>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</si>
  <si>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</si>
  <si>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</si>
  <si>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</si>
  <si>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</si>
  <si>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</si>
  <si>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</si>
  <si>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</si>
  <si>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</si>
  <si>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</si>
  <si>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</si>
  <si>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</si>
  <si>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</si>
  <si>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</si>
  <si>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</si>
  <si>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</si>
  <si>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</si>
  <si>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</si>
  <si>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</si>
  <si>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</si>
  <si>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</si>
  <si>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</si>
  <si>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</si>
  <si>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</si>
  <si>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</si>
  <si>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</si>
  <si>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</si>
  <si>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</si>
  <si>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</si>
  <si>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</si>
  <si>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</si>
  <si>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</si>
  <si>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</si>
  <si>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</si>
  <si>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</si>
  <si>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</si>
  <si>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</si>
  <si>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</si>
  <si>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</si>
  <si>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</si>
  <si>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</si>
  <si>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</si>
  <si>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</si>
  <si>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</si>
  <si>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</si>
  <si>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</si>
  <si>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</si>
  <si>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</si>
  <si>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</si>
  <si>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</si>
  <si>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</si>
  <si>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</si>
  <si>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</si>
  <si>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</si>
  <si>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</si>
  <si>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</si>
  <si>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</si>
  <si>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</si>
  <si>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</si>
  <si>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</si>
  <si>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</si>
  <si>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</si>
  <si>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</si>
  <si>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</si>
  <si>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</si>
  <si>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</si>
  <si>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</si>
  <si>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</si>
  <si>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</si>
  <si>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</si>
  <si>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</si>
  <si>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</si>
  <si>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</si>
  <si>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</si>
  <si>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</si>
  <si>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</si>
  <si>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</si>
  <si>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</si>
  <si>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</si>
  <si>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</si>
  <si>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</si>
  <si>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</si>
  <si>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</si>
  <si>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</si>
  <si>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</si>
  <si>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</si>
  <si>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</si>
  <si>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</si>
  <si>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</si>
  <si>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</si>
  <si>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</si>
  <si>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</si>
  <si>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</si>
  <si>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</si>
  <si>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</si>
  <si>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</si>
  <si>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</si>
  <si>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</si>
  <si>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</si>
  <si>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</si>
  <si>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</si>
  <si>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</si>
  <si>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</si>
  <si>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</si>
  <si>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</si>
  <si>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</si>
  <si>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</si>
  <si>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</si>
  <si>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</si>
  <si>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</si>
  <si>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</si>
  <si>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</si>
  <si>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</si>
  <si>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</si>
  <si>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</si>
  <si>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</si>
  <si>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</si>
  <si>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</si>
  <si>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</si>
  <si>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</si>
  <si>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</si>
  <si>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</si>
  <si>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</si>
  <si>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Battery Management System</t>
  </si>
  <si>
    <t>Input Data from BatPaC</t>
  </si>
  <si>
    <t>Number of modules per battery pack</t>
  </si>
  <si>
    <t>Cells per battery pack</t>
  </si>
  <si>
    <t>Cell group capacity, Ah</t>
  </si>
  <si>
    <t>Current carrying capacity of terminals and interconnects, A</t>
  </si>
  <si>
    <t>Nominal pack voltage, V</t>
  </si>
  <si>
    <t>Cells in series</t>
  </si>
  <si>
    <t>Cells per ASIC</t>
  </si>
  <si>
    <t>Number of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</si>
  <si>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</si>
  <si>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</si>
  <si>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</si>
  <si>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</si>
  <si>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</si>
  <si>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</si>
  <si>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</si>
  <si>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</si>
  <si>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</si>
  <si>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</si>
  <si>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</si>
  <si>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</si>
  <si>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</si>
  <si>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</si>
  <si>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</si>
  <si>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</si>
  <si>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</si>
  <si>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</si>
  <si>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</si>
  <si>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</si>
  <si>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</si>
  <si>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</si>
  <si>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Resistors-1</t>
  </si>
  <si>
    <t>Resistors-2</t>
  </si>
  <si>
    <t>Resistors-3</t>
  </si>
  <si>
    <t>Eletrolytic capacitor</t>
  </si>
  <si>
    <t>Ceramic capacitor-1</t>
  </si>
  <si>
    <t>Ceramic capacitor-2</t>
  </si>
  <si>
    <t>Ceramic capacitor-3</t>
  </si>
  <si>
    <t>Transistors</t>
  </si>
  <si>
    <t>Resistor jumper</t>
  </si>
  <si>
    <t>Contactor control</t>
  </si>
  <si>
    <t>BMU enclosure</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</si>
  <si>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</si>
  <si>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</si>
  <si>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</si>
  <si>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</si>
  <si>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</si>
  <si>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</si>
  <si>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</si>
  <si>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</si>
  <si>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</si>
  <si>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</si>
  <si>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</si>
  <si>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</si>
  <si>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</si>
  <si>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Temperature sensors (for module and pack inlet/outlet)</t>
  </si>
  <si>
    <t>Sense PCB</t>
  </si>
  <si>
    <t>Cost Per Part, $/unit</t>
  </si>
  <si>
    <t>BDU electronics/Power electronics</t>
  </si>
  <si>
    <t>Precharge contactor</t>
  </si>
  <si>
    <t>Interfaces between electronics systems</t>
  </si>
  <si>
    <t>Module electronics</t>
  </si>
  <si>
    <t>Temmperature sensors (for module and pack inlet/outlet)</t>
  </si>
  <si>
    <t>Total Cost</t>
  </si>
  <si>
    <t>BMU</t>
  </si>
  <si>
    <t>BDU electronics/Power Electronics</t>
  </si>
  <si>
    <t>Interfaces between electronic systems</t>
  </si>
  <si>
    <t>Total Cost of BMS, $</t>
  </si>
  <si>
    <t>Total Mass of BMS, kg</t>
  </si>
  <si>
    <t>BMU PCB mass, (default = 0.04 kg)</t>
  </si>
  <si>
    <t>BMU mass added per ASIC, (default = 0.02 kg)</t>
  </si>
  <si>
    <t>Total BMU mass</t>
  </si>
  <si>
    <t>10% for enclosure for BMU</t>
  </si>
  <si>
    <t>Additional 30% for enclosure</t>
  </si>
  <si>
    <t>Total Volume of BMS, L</t>
  </si>
  <si>
    <t>BMU PCB volume (default = 0.16 L)</t>
  </si>
  <si>
    <t>BMU volume added per ASIC (default = 0.08 L)</t>
  </si>
  <si>
    <t>Total BMU volume</t>
  </si>
  <si>
    <t>Reference Costs</t>
  </si>
  <si>
    <t>p-factor for most electronic components</t>
  </si>
  <si>
    <t>Volume basis</t>
  </si>
  <si>
    <t>Fixed</t>
  </si>
  <si>
    <t>Offset</t>
  </si>
  <si>
    <t>Multiplier for</t>
  </si>
  <si>
    <t>Cost, $/unit</t>
  </si>
  <si>
    <t>for cost</t>
  </si>
  <si>
    <t>p-Value</t>
  </si>
  <si>
    <t># per ASIC</t>
  </si>
  <si>
    <t>per ASIC</t>
  </si>
  <si>
    <t>vehicle type</t>
  </si>
  <si>
    <t>5V ref-main</t>
  </si>
  <si>
    <t>Dual isolaters</t>
  </si>
  <si>
    <t>Schottky diode</t>
  </si>
  <si>
    <t>Volume L/unit</t>
  </si>
  <si>
    <t>Mass g/Unit</t>
  </si>
  <si>
    <t>Contactor - Aux</t>
  </si>
  <si>
    <t>Current, A</t>
  </si>
  <si>
    <t>Scenario 1</t>
  </si>
  <si>
    <t>Scenario 2</t>
  </si>
  <si>
    <t>Temperature sensors</t>
  </si>
  <si>
    <t>Ref for Contactor-Main</t>
  </si>
  <si>
    <t>10A Contactor</t>
  </si>
  <si>
    <t>600A Contactor</t>
  </si>
  <si>
    <t>Yields</t>
  </si>
  <si>
    <t>Cell yield, %</t>
  </si>
  <si>
    <t>(change in dashboard)</t>
  </si>
  <si>
    <t>Effective Yield</t>
  </si>
  <si>
    <t>Electrode</t>
  </si>
  <si>
    <t>Materials yield per accepted cell, %</t>
  </si>
  <si>
    <t>Across All Steps</t>
  </si>
  <si>
    <t>Mixing</t>
  </si>
  <si>
    <t>Coating</t>
  </si>
  <si>
    <t>Slitting</t>
  </si>
  <si>
    <t>Stacking</t>
  </si>
  <si>
    <t>Filling</t>
  </si>
  <si>
    <t>Positive electrode material, dry (default = 99, 95, 99, 99, -), %</t>
  </si>
  <si>
    <t>Negative electrode material, dry (defulat = 99, 95, 99, 99, -), %</t>
  </si>
  <si>
    <t>Positive current collector foil (default = -, 95, 92, 99, -), %</t>
  </si>
  <si>
    <t>Negative current collector foil (default = -, 95, 92, 99, -), %</t>
  </si>
  <si>
    <t>Separators (default = -, -, -, 98, -), %</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</si>
  <si>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</si>
  <si>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</si>
  <si>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</si>
  <si>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</si>
  <si>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</si>
  <si>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</si>
  <si>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</si>
  <si>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</si>
  <si>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</si>
  <si>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r>
      <t>Separators, $/m</t>
    </r>
    <r>
      <rPr>
        <sz val="10"/>
        <rFont val="Calibri"/>
        <family val="2"/>
      </rPr>
      <t>²</t>
    </r>
  </si>
  <si>
    <t>Purchased Materials Costs</t>
  </si>
  <si>
    <t>Baseline</t>
  </si>
  <si>
    <t>Cost per</t>
  </si>
  <si>
    <t>Plus Cost</t>
  </si>
  <si>
    <t>Mass, $/kg</t>
  </si>
  <si>
    <t>per Cell*, $</t>
  </si>
  <si>
    <t>Positive terminal, (default = 2.41, 0.08)</t>
  </si>
  <si>
    <t>Al</t>
  </si>
  <si>
    <t>Negative terminal, (default = 8.64, 0.08)</t>
  </si>
  <si>
    <t>Cu</t>
  </si>
  <si>
    <t>Cell Container (default = 3, 0.2)</t>
  </si>
  <si>
    <t>PET-Al-PP</t>
  </si>
  <si>
    <t>Heat conductor, (default = 2.41, 0.15)</t>
  </si>
  <si>
    <t>*Scale exponent for "plus cost," p (default = 0.85)</t>
  </si>
  <si>
    <t>Cost per Module</t>
  </si>
  <si>
    <t>Parallel Unit, $</t>
  </si>
  <si>
    <t>Capacity, $/Ah</t>
  </si>
  <si>
    <t>Module management system, MMS (default = 2, 0.03)</t>
  </si>
  <si>
    <t>per Item*, $</t>
  </si>
  <si>
    <t>Cell interconnect (default = 8.72, 0.04)</t>
  </si>
  <si>
    <t>Interconnect panel (default = 2.3, 0.2)</t>
  </si>
  <si>
    <t>PP</t>
  </si>
  <si>
    <t>Module terminal (default = 8.64, 0.35)</t>
  </si>
  <si>
    <t>Module enclosure materials (default = 2.4, 0.5)</t>
  </si>
  <si>
    <t>Steel</t>
  </si>
  <si>
    <t>Provision for gas release (default = 0, 0.5), $/module</t>
  </si>
  <si>
    <t>Row rack (default = 1.33, 1)</t>
  </si>
  <si>
    <t>Pads between modules (default = 1, 0.2)</t>
  </si>
  <si>
    <t>Elastomer</t>
  </si>
  <si>
    <t>Module Interconnects and signal wiring (default = 8.52, 0.4)</t>
  </si>
  <si>
    <t>Bus bars (default = 8.36, 0.6)</t>
  </si>
  <si>
    <t>Cooling panels (default = 2.8, 0.5)</t>
  </si>
  <si>
    <t>Coolant manifolds (default = 8, 1)</t>
  </si>
  <si>
    <t>St. Steel</t>
  </si>
  <si>
    <t>Pack terminals and seals (default = 8.56, 0.75)</t>
  </si>
  <si>
    <t>Pack jacket steel (default = 1.4, 3)</t>
  </si>
  <si>
    <t>Pack jacket aluminum (default = 2.81, 3)</t>
  </si>
  <si>
    <r>
      <t>Pack jacket insulation (default = 3), $/m</t>
    </r>
    <r>
      <rPr>
        <sz val="10"/>
        <rFont val="Calibri"/>
        <family val="2"/>
      </rPr>
      <t>²</t>
    </r>
  </si>
  <si>
    <t>*Scale exponent for "plus cost" (p) (default = 0.85)</t>
  </si>
  <si>
    <t>Cost Rates for Manufacturing and Cost Breakdowns</t>
  </si>
  <si>
    <t>Cost Rates for Manufacturing</t>
  </si>
  <si>
    <t>Effective full days of operation per year (default = 320)</t>
  </si>
  <si>
    <t>Investment Costs</t>
  </si>
  <si>
    <r>
      <t>Cost of land and building (default = 3000), $/m</t>
    </r>
    <r>
      <rPr>
        <sz val="10"/>
        <rFont val="Calibri"/>
        <family val="2"/>
      </rPr>
      <t>²</t>
    </r>
  </si>
  <si>
    <t>Launch cost rates</t>
  </si>
  <si>
    <t xml:space="preserve">     Percent of direct annual materials and purch. items cost (default = 5), %</t>
  </si>
  <si>
    <t xml:space="preserve">     Percent of direct labor plus variable overhead (default = 10), %</t>
  </si>
  <si>
    <t>Working capital, percent of annual variable cost (default = 15), %</t>
  </si>
  <si>
    <t>Unit Cost of Battery Pack</t>
  </si>
  <si>
    <t>Variable Cost</t>
  </si>
  <si>
    <t>Direct labor rate (default = 25), $/hr</t>
  </si>
  <si>
    <t>Variable overhead rate</t>
  </si>
  <si>
    <t xml:space="preserve">     % of direct labor (default = 40)</t>
  </si>
  <si>
    <t xml:space="preserve">     % of depreciation (default = 20)</t>
  </si>
  <si>
    <t>Fixed Expenses</t>
  </si>
  <si>
    <t>General, Sales, Administration rates</t>
  </si>
  <si>
    <t xml:space="preserve">     Percent of direct labor plus variable overhead (default = 25), %</t>
  </si>
  <si>
    <t xml:space="preserve">     Percent of depreciation (default = 25), %</t>
  </si>
  <si>
    <t>Research and development rate (default = 40), % of depreciation</t>
  </si>
  <si>
    <t>Depreciation rates</t>
  </si>
  <si>
    <t xml:space="preserve">     Lifetime of capital equipment for straight line depreciation (default = 10), years</t>
  </si>
  <si>
    <t xml:space="preserve">     Percent of capital equipment investment, %</t>
  </si>
  <si>
    <t xml:space="preserve">     Percent of building investment (default = 5), % </t>
  </si>
  <si>
    <t>Cell profits (default = 5), % of investment</t>
  </si>
  <si>
    <t>Cell warranty cost (default = 5.6), % of cell cost added to price</t>
  </si>
  <si>
    <t>Module profits (default = 5), % of investment</t>
  </si>
  <si>
    <t>Module warranty cost (default = 5.6), % of module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</si>
  <si>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</si>
  <si>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</si>
  <si>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</si>
  <si>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</si>
  <si>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</si>
  <si>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</si>
  <si>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</si>
  <si>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</si>
  <si>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Battery Assembly Costs (baseline reference)</t>
  </si>
  <si>
    <t>Operation</t>
  </si>
  <si>
    <t>Plant</t>
  </si>
  <si>
    <t>p</t>
  </si>
  <si>
    <t>Electrode Processing</t>
  </si>
  <si>
    <t>Materials preparation and delivery to coating</t>
  </si>
  <si>
    <t>Positive materials</t>
  </si>
  <si>
    <t>Pertinent volume: positive active mass/year</t>
  </si>
  <si>
    <t>Direct labor, hours/year</t>
  </si>
  <si>
    <t>Capital equipment, million$</t>
  </si>
  <si>
    <r>
      <t>Plant area, m</t>
    </r>
    <r>
      <rPr>
        <sz val="10"/>
        <rFont val="Calibri"/>
        <family val="2"/>
      </rPr>
      <t>²</t>
    </r>
  </si>
  <si>
    <t>Negative materials</t>
  </si>
  <si>
    <t>Pertinent volume: negative active mass/year</t>
  </si>
  <si>
    <t>Electrode coating</t>
  </si>
  <si>
    <t>Pertinent volume: positive electrode area/year</t>
  </si>
  <si>
    <r>
      <t>Solvent evaporated, kg/m</t>
    </r>
    <r>
      <rPr>
        <sz val="10"/>
        <rFont val="Calibri"/>
        <family val="2"/>
      </rPr>
      <t>²</t>
    </r>
    <r>
      <rPr>
        <sz val="10"/>
        <rFont val="Arial"/>
        <family val="2"/>
      </rPr>
      <t>yr</t>
    </r>
  </si>
  <si>
    <t>Pertinent volume: negative electrode area/year</t>
  </si>
  <si>
    <t>Calendering</t>
  </si>
  <si>
    <t>Notching</t>
  </si>
  <si>
    <t>Vacuum Drying of Electrodes</t>
  </si>
  <si>
    <t>Cell Assembly in Dry Room</t>
  </si>
  <si>
    <t>Electrode Slitting (positive and negative)</t>
  </si>
  <si>
    <t>Pertinent volume: total electrode area/year</t>
  </si>
  <si>
    <t>Cell stacking</t>
  </si>
  <si>
    <t>Pertinent volume: number of cells/year</t>
  </si>
  <si>
    <t>Baseline Cell Capacity, Ah</t>
  </si>
  <si>
    <t>Current collector welding</t>
  </si>
  <si>
    <t>X-ray inspection</t>
  </si>
  <si>
    <t>Inserting cell in container</t>
  </si>
  <si>
    <t>Electrolyte filling and cell sealing</t>
  </si>
  <si>
    <t>Dry room (area included for all cell assembly steps)</t>
  </si>
  <si>
    <t>Pertinent volume: total electrode area/year or number of cells/year</t>
  </si>
  <si>
    <t>Formation Cycling, Testing, and Cell Sealing</t>
  </si>
  <si>
    <t>Total formation process</t>
  </si>
  <si>
    <t>Module and Pack Assembly</t>
  </si>
  <si>
    <t>Module assembly</t>
  </si>
  <si>
    <t>Pertinent volume: number of modules/year</t>
  </si>
  <si>
    <t>Battery Pack Assembly and Testing</t>
  </si>
  <si>
    <t>Pertinent volume: number of packs/year</t>
  </si>
  <si>
    <t>Warehouse</t>
  </si>
  <si>
    <t>Pertinent volume: energy/year</t>
  </si>
  <si>
    <t>Building and Supporting Systems</t>
  </si>
  <si>
    <t>Building</t>
  </si>
  <si>
    <t>Solvent recovery</t>
  </si>
  <si>
    <t>Pertinent volume: NMP mass/year</t>
  </si>
  <si>
    <t>Rejected Cell and Scrap Recycle</t>
  </si>
  <si>
    <t>Control laboratory</t>
  </si>
  <si>
    <t>Baseline Manufacturing Rates</t>
  </si>
  <si>
    <t>Effective full days of operation per year</t>
  </si>
  <si>
    <t>Number of 8-hr shifts per day (2 for shipping and receiving)</t>
  </si>
  <si>
    <t>Number of annual 8-h shifts</t>
  </si>
  <si>
    <t>Energy, kWh per year</t>
  </si>
  <si>
    <t>Number of battery packs manufactured per year</t>
  </si>
  <si>
    <t>Number of row racks per year</t>
  </si>
  <si>
    <t>Number of modules per year</t>
  </si>
  <si>
    <t>Number of cell interconnects per year</t>
  </si>
  <si>
    <t>Number of accepted cells per year</t>
  </si>
  <si>
    <t>Number of cells adjusted for yield</t>
  </si>
  <si>
    <t>Positive electrode area, m² per year</t>
  </si>
  <si>
    <t>Negative electrode area, m² per year</t>
  </si>
  <si>
    <t>Positive active material, kg per year</t>
  </si>
  <si>
    <t>Negative active material, kg per year</t>
  </si>
  <si>
    <t>Positive binder solvent evaporated, kg per year</t>
  </si>
  <si>
    <t>Negative binder solvent evaporated, kg per year</t>
  </si>
  <si>
    <t>Manufacturing Cost Calculations</t>
  </si>
  <si>
    <t>Annual Processing Rates</t>
  </si>
  <si>
    <r>
      <t>Dry room operating area, m</t>
    </r>
    <r>
      <rPr>
        <vertAlign val="superscript"/>
        <sz val="10"/>
        <rFont val="Arial"/>
        <family val="2"/>
      </rPr>
      <t>2</t>
    </r>
  </si>
  <si>
    <t>Calculated Battery Parameters (For Reference Below)</t>
  </si>
  <si>
    <t>Number of packs per battery system</t>
  </si>
  <si>
    <t>Direct Materials Costs</t>
  </si>
  <si>
    <t>Total Cell Materials per Accepted Cell</t>
  </si>
  <si>
    <t>Yield, %</t>
  </si>
  <si>
    <t>Mass ratio of positive binder solvent to positive binder</t>
  </si>
  <si>
    <t>Override mass ratio of positive binder solvent to positive binder</t>
  </si>
  <si>
    <t>Mass ratio of negative binder solvent to negative binder</t>
  </si>
  <si>
    <t>Override mass ratio of negative binder solvent to negative binder</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</si>
  <si>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</si>
  <si>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</si>
  <si>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</si>
  <si>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</si>
  <si>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</si>
  <si>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</si>
  <si>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</si>
  <si>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</si>
  <si>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</si>
  <si>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</si>
  <si>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</si>
  <si>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</si>
  <si>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Electrolyte, 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</si>
  <si>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</si>
  <si>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</si>
  <si>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</si>
  <si>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</si>
  <si>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</si>
  <si>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</si>
  <si>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</si>
  <si>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</si>
  <si>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</si>
  <si>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</si>
  <si>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</si>
  <si>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</si>
  <si>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</si>
  <si>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</si>
  <si>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</si>
  <si>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</si>
  <si>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Positive binder solvent evaporated in dryer, kg</t>
  </si>
  <si>
    <t>Is evaporated the right term? Aren't we recovering some</t>
  </si>
  <si>
    <t>Negative binder solvent evaporated in dryer, kg</t>
  </si>
  <si>
    <t>NMP solvent evaporated in dryer, kg</t>
  </si>
  <si>
    <t>Unit Cell Materials Costs</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</si>
  <si>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</si>
  <si>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</si>
  <si>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</si>
  <si>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</si>
  <si>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</si>
  <si>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</si>
  <si>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</si>
  <si>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</si>
  <si>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</si>
  <si>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</si>
  <si>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</si>
  <si>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</si>
  <si>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</si>
  <si>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</si>
  <si>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</si>
  <si>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</si>
  <si>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</si>
  <si>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</si>
  <si>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</si>
  <si>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</si>
  <si>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</si>
  <si>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</si>
  <si>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</si>
  <si>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</si>
  <si>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</si>
  <si>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</si>
  <si>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</si>
  <si>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</si>
  <si>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</si>
  <si>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</si>
  <si>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</si>
  <si>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</si>
  <si>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</si>
  <si>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</si>
  <si>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 $/module</t>
  </si>
  <si>
    <t>Cell interconnects (copper) $/module</t>
  </si>
  <si>
    <t>Interconnect panel, PP, $/module</t>
  </si>
  <si>
    <t>Module terminals,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</si>
  <si>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</si>
  <si>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</si>
  <si>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</si>
  <si>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</si>
  <si>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</si>
  <si>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</si>
  <si>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and signal wiring, $/pack</t>
  </si>
  <si>
    <t>Bus bar for battery packs, $/pack</t>
  </si>
  <si>
    <t>Cooling panels, S.S., $/pack</t>
  </si>
  <si>
    <t>Coolant manifolds, $/pack</t>
  </si>
  <si>
    <t>Pack terminals and seals, $/pack</t>
  </si>
  <si>
    <t>Pack jacket steel, $/pack</t>
  </si>
  <si>
    <t>Pack jacket aluminum, $/pack</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</si>
  <si>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</si>
  <si>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</si>
  <si>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</si>
  <si>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</si>
  <si>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</si>
  <si>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</si>
  <si>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</si>
  <si>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</si>
  <si>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Additions for multiple packs, $/additional pack</t>
  </si>
  <si>
    <t>Total cost for additional system-level items, $/battery system</t>
  </si>
  <si>
    <t>Battery Assembly Costs</t>
  </si>
  <si>
    <t>Detailed Battery Assembly Process</t>
  </si>
  <si>
    <t>If "X", used in the calculation of plant utilization</t>
  </si>
  <si>
    <t>Materials Preparation/mixing</t>
  </si>
  <si>
    <t>Positive materials (positive mass/yr)</t>
  </si>
  <si>
    <t>Mass ratio (mass/baseline mass)</t>
  </si>
  <si>
    <t>Negative materials (negative mass/yr)</t>
  </si>
  <si>
    <t>Electrode Coating</t>
  </si>
  <si>
    <t>Positive materials (positive area/yr)</t>
  </si>
  <si>
    <t>Area ratio (area/baseline area)</t>
  </si>
  <si>
    <r>
      <t>Solvent evaporated, kg/m</t>
    </r>
    <r>
      <rPr>
        <vertAlign val="superscript"/>
        <sz val="10"/>
        <rFont val="Arial"/>
        <family val="2"/>
      </rPr>
      <t>2</t>
    </r>
  </si>
  <si>
    <t>Negative materials (negative area/yr)</t>
  </si>
  <si>
    <r>
      <t>Solvent evaporated, kg/m</t>
    </r>
    <r>
      <rPr>
        <vertAlign val="superscript"/>
        <sz val="10"/>
        <rFont val="Arial"/>
        <family val="2"/>
      </rPr>
      <t>2</t>
    </r>
    <r>
      <rPr>
        <sz val="10"/>
        <rFont val="Arial"/>
        <family val="2"/>
      </rPr>
      <t>yr</t>
    </r>
  </si>
  <si>
    <t>Electrode Slitting (total area/yr)</t>
  </si>
  <si>
    <t>Cell Stacking (number of cells/yr)</t>
  </si>
  <si>
    <t>Cell ratio (number of cells/baseline number of cells)</t>
  </si>
  <si>
    <t>Cell Capacity, Ah</t>
  </si>
  <si>
    <t>Current Collector Welding (number of cells/yr)</t>
  </si>
  <si>
    <t>Plant area, m²</t>
  </si>
  <si>
    <t>X-ray Inspection of Cells (number of cells/yr)</t>
  </si>
  <si>
    <t>Inserting Cell in Container (number of cells/yr)</t>
  </si>
  <si>
    <t>Electrolyte Filling and Cell Sealing (number of cells/yr)</t>
  </si>
  <si>
    <t>Dry Room and Dry Room Control System (number of cells/year and total area/year)</t>
  </si>
  <si>
    <t>Ratio (number of cells/baseline number of cells) or (area/baseline area)</t>
  </si>
  <si>
    <t>Formation Cycling</t>
  </si>
  <si>
    <t>Aging, Loading, Formation, DC/AC IR Measurements, Sealing, Packing (number of cells/yr)</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</si>
  <si>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</si>
  <si>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</si>
  <si>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</si>
  <si>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</si>
  <si>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</si>
  <si>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</si>
  <si>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</si>
  <si>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</si>
  <si>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</si>
  <si>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</si>
  <si>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Support Systems (energy/year)</t>
  </si>
  <si>
    <t>Binder Solvent (NMP) Recovery (kg/yr)</t>
  </si>
  <si>
    <t xml:space="preserve">Rejected Cell and Scrap Recycle (number of cells/yr) </t>
  </si>
  <si>
    <t>Control Laboratory (energy/yr)</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</si>
  <si>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</si>
  <si>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</si>
  <si>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</si>
  <si>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</si>
  <si>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</si>
  <si>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</si>
  <si>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</si>
  <si>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</si>
  <si>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</si>
  <si>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</si>
  <si>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</si>
  <si>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</si>
  <si>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</si>
  <si>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</si>
  <si>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</si>
  <si>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</si>
  <si>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</si>
  <si>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</si>
  <si>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</si>
  <si>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</si>
  <si>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</si>
  <si>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</si>
  <si>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</si>
  <si>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</si>
  <si>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</si>
  <si>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</si>
  <si>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</si>
  <si>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land and utilities area, m²</t>
  </si>
  <si>
    <t>Summary for Cost of Cells Only</t>
  </si>
  <si>
    <t>Summary for Cost of Modules Only</t>
  </si>
  <si>
    <t>Summary for Battery Pack</t>
  </si>
  <si>
    <t>Plant Utilization</t>
  </si>
  <si>
    <t>Packs manufactured at 100% utilization (packs/yr)</t>
  </si>
  <si>
    <t>Actual number of packs manufactured per year (packs/yr)</t>
  </si>
  <si>
    <t>Calculation of Total Pack, Module, and Cell Costs</t>
  </si>
  <si>
    <t>Assumptions for Cost Calculations</t>
  </si>
  <si>
    <t>Calculation of Cell Costs</t>
  </si>
  <si>
    <t>Capital equipment and building support cost including installation, mil$</t>
  </si>
  <si>
    <t>Cost of building and land, mil$</t>
  </si>
  <si>
    <t>Total investment, mil$</t>
  </si>
  <si>
    <t>Unit Cost of Cells, $/cell</t>
  </si>
  <si>
    <t>Total cost of cell materials and purchased items, $/cell</t>
  </si>
  <si>
    <t>Variable overhead, $/cell</t>
  </si>
  <si>
    <t>Total variable cost, $/cell</t>
  </si>
  <si>
    <t>Depreciation, $/cell</t>
  </si>
  <si>
    <t>General, sales, administration, $/cell</t>
  </si>
  <si>
    <t>Research and development, $/cell</t>
  </si>
  <si>
    <t>Total fixed expenses, $/cell</t>
  </si>
  <si>
    <t>Additional Costs</t>
  </si>
  <si>
    <t>Profits on initial investment, $/cell</t>
  </si>
  <si>
    <t>Warranty on cells, $/cell</t>
  </si>
  <si>
    <t>Total cell cost, $/cell</t>
  </si>
  <si>
    <t>Total cell cost per pack, $/pack</t>
  </si>
  <si>
    <t>Calculation of Module Costs</t>
  </si>
  <si>
    <t>Investment Costs for Modules</t>
  </si>
  <si>
    <t>Unit Cost of Modules, $/module</t>
  </si>
  <si>
    <t>Total cost of module materials and purchased items, $/module</t>
  </si>
  <si>
    <t>Variable overhead, $/module</t>
  </si>
  <si>
    <t>Total variable cost, $/module</t>
  </si>
  <si>
    <t>Depreciation, $/module</t>
  </si>
  <si>
    <t>General, sales, administration, $/module</t>
  </si>
  <si>
    <t>Research and development, $/module</t>
  </si>
  <si>
    <t>Total fixed expenses, $/module</t>
  </si>
  <si>
    <t>Profits on initial investment, $/module</t>
  </si>
  <si>
    <t>Warranty (includes modules only), $/module</t>
  </si>
  <si>
    <t>Total module cost, $/module</t>
  </si>
  <si>
    <t>Total module cost per pack, $/pack</t>
  </si>
  <si>
    <t>Calculation of Pack Cost</t>
  </si>
  <si>
    <t>Unit Cost of One Battery Pack, $</t>
  </si>
  <si>
    <t>Total cost of pack materials and purchased items, $/pack</t>
  </si>
  <si>
    <t>Variable overhead, $/pack</t>
  </si>
  <si>
    <t>Total variable cost, $/pack</t>
  </si>
  <si>
    <t>Depreciation, $/pack</t>
  </si>
  <si>
    <t>General, sales, administration, $/pack</t>
  </si>
  <si>
    <t>Research and development, $/pack</t>
  </si>
  <si>
    <t>Total fixed expenses, $/pack</t>
  </si>
  <si>
    <t>Profits on initial investment, $/pack</t>
  </si>
  <si>
    <t>Warranty (includes pack only), $/pack</t>
  </si>
  <si>
    <t>Total cost per pack, $/pack</t>
  </si>
  <si>
    <t>Summary of Battery System Costs</t>
  </si>
  <si>
    <t>Total pack cost, $/battery system</t>
  </si>
  <si>
    <t>Cost of additioanl integration w/ vehicle,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</si>
  <si>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</si>
  <si>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</si>
  <si>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</si>
  <si>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</si>
  <si>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</si>
  <si>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</si>
  <si>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</si>
  <si>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</si>
  <si>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</si>
  <si>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</si>
  <si>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</si>
  <si>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</si>
  <si>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</si>
  <si>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</si>
  <si>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</si>
  <si>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</si>
  <si>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</si>
  <si>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</si>
  <si>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</si>
  <si>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</si>
  <si>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</si>
  <si>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</si>
  <si>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</si>
  <si>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</si>
  <si>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Cost of variable overhead</t>
  </si>
  <si>
    <t>Cost of general, sales, administration</t>
  </si>
  <si>
    <t>Cost of research and development</t>
  </si>
  <si>
    <t>Cost of depreciation</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</si>
  <si>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</si>
  <si>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</si>
  <si>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</si>
  <si>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</si>
  <si>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</si>
  <si>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</si>
  <si>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</si>
  <si>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</si>
  <si>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</si>
  <si>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</si>
  <si>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</si>
  <si>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</si>
  <si>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</si>
  <si>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</si>
  <si>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</si>
  <si>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</si>
  <si>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</si>
  <si>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</si>
  <si>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</si>
  <si>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</si>
  <si>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</si>
  <si>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</si>
  <si>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</si>
  <si>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</si>
  <si>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</si>
  <si>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</si>
  <si>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</si>
  <si>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</si>
  <si>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</si>
  <si>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</si>
  <si>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</si>
  <si>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</si>
  <si>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</si>
  <si>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</si>
  <si>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</si>
  <si>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</si>
  <si>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</si>
  <si>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</si>
  <si>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</si>
  <si>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pack cost for breakdown with overhead distributed to processes</t>
  </si>
  <si>
    <t>Materials and Purchased Items</t>
  </si>
  <si>
    <t>Positive active material, $/pack</t>
  </si>
  <si>
    <t>Negative active material, $/pack</t>
  </si>
  <si>
    <t>Carbon additive, $/pack</t>
  </si>
  <si>
    <t>Binders, $/pack</t>
  </si>
  <si>
    <t>Solvents, $/pack</t>
  </si>
  <si>
    <t>Positive current collector, $/pack</t>
  </si>
  <si>
    <t>Negative current collector, $/pack</t>
  </si>
  <si>
    <t>Separators, $/pack</t>
  </si>
  <si>
    <t>Electrolyte, $/pack</t>
  </si>
  <si>
    <t>Additives, $/pack</t>
  </si>
  <si>
    <t>Total cost of materials, $/pack</t>
  </si>
  <si>
    <t>Purchased Items</t>
  </si>
  <si>
    <t>Positive terminals, $/pack</t>
  </si>
  <si>
    <t>Negative terminals, $/pack</t>
  </si>
  <si>
    <t>Containers, $/pack</t>
  </si>
  <si>
    <t>Total cell purchased items, $/pack</t>
  </si>
  <si>
    <t>Purchased cells, $/pack</t>
  </si>
  <si>
    <t>Aluminum thermal conductors, $/pack</t>
  </si>
  <si>
    <t>Module management system, $/pack</t>
  </si>
  <si>
    <t>Cell interconnects, $/pack</t>
  </si>
  <si>
    <t>Interconnect panel, $/pack</t>
  </si>
  <si>
    <t>Module terminals, $/pack</t>
  </si>
  <si>
    <t>Module enclosure, $/pack</t>
  </si>
  <si>
    <t>Provision for gas release, $/pack</t>
  </si>
  <si>
    <t>Total module purchased items, $/pack</t>
  </si>
  <si>
    <t>Purchased modules, $/pack</t>
  </si>
  <si>
    <t>Row rack materials, $/pack</t>
  </si>
  <si>
    <t>Cooling panels, $/pack</t>
  </si>
  <si>
    <t>Total pack purchased items, $/pack</t>
  </si>
  <si>
    <t>Total purchsed items</t>
  </si>
  <si>
    <t>Total cost of purchased items, $/pack</t>
  </si>
  <si>
    <t>Manufacturing</t>
  </si>
  <si>
    <t>Total cost of direct labor, $/pack</t>
  </si>
  <si>
    <t>Cost of variable overhead, $/pack</t>
  </si>
  <si>
    <t>Cost of general, sales, administration, $/pack</t>
  </si>
  <si>
    <t>Cost of research and development, $/pack</t>
  </si>
  <si>
    <t>Cost of depreciation, $/pack</t>
  </si>
  <si>
    <t>Total cost of manufacturing, $/pack</t>
  </si>
  <si>
    <t>Battery management system, $/pack</t>
  </si>
  <si>
    <t>Per unit profit, $/pack</t>
  </si>
  <si>
    <t>Warranty (includes battery pack only, $/pack)</t>
  </si>
  <si>
    <t>Total cost of BMS, $/pack</t>
  </si>
  <si>
    <t>Total cost of profits and warranty, $/pack</t>
  </si>
  <si>
    <t>Total cost, $/pack</t>
  </si>
  <si>
    <t>Breakdown of Pack Costs, % of pack</t>
  </si>
  <si>
    <t>Positive active material, % of pack</t>
  </si>
  <si>
    <t>Negative active material, % of pack</t>
  </si>
  <si>
    <t>Carbon additive, % of pack</t>
  </si>
  <si>
    <t>Binders, % of pack</t>
  </si>
  <si>
    <t>Solvents, % of pack</t>
  </si>
  <si>
    <t>Positive current collector, % of pack</t>
  </si>
  <si>
    <t>Negative current collector, % of pack</t>
  </si>
  <si>
    <t>Separators, % of pack</t>
  </si>
  <si>
    <t>Electrolyte, % of pack</t>
  </si>
  <si>
    <t>Additives, % of pack</t>
  </si>
  <si>
    <t>Total cost of materials, % of pack</t>
  </si>
  <si>
    <t>Positive terminals, % of pack</t>
  </si>
  <si>
    <t>Negative terminals, % of pack</t>
  </si>
  <si>
    <t>Containers, % of pack</t>
  </si>
  <si>
    <t>Total cell purchased items, % of pack</t>
  </si>
  <si>
    <t>Purchased cells, % of pack</t>
  </si>
  <si>
    <t>Aluminum thermal conductors, % of pack</t>
  </si>
  <si>
    <t>Module management system, % of pack</t>
  </si>
  <si>
    <t>Cell interconnects, % of pack</t>
  </si>
  <si>
    <t>Interconnect panel, % of pack</t>
  </si>
  <si>
    <t>Module terminals, % of pack</t>
  </si>
  <si>
    <t>Module enclosure, % of pack</t>
  </si>
  <si>
    <t>Provision for gas release, % of pack</t>
  </si>
  <si>
    <t>Total module purchased items, % of pack</t>
  </si>
  <si>
    <t>Purchased modules, % of pack</t>
  </si>
  <si>
    <t>Row rack materials, % of pack</t>
  </si>
  <si>
    <t>Elastomer pads between modules, % of pack</t>
  </si>
  <si>
    <t>Module Interconnects and signal wiring, % of pack</t>
  </si>
  <si>
    <t>Bus bar for battery packs, % of pack</t>
  </si>
  <si>
    <t>Cooling panels, % of pack</t>
  </si>
  <si>
    <t>Coolant manifolds, % of pack</t>
  </si>
  <si>
    <t>Pack terminals and seals, % of pack</t>
  </si>
  <si>
    <t>Pack jacket steel, % of pack</t>
  </si>
  <si>
    <t>Pack jacket aluminum, % of pack</t>
  </si>
  <si>
    <t>Pack jacket insulation, % of pack</t>
  </si>
  <si>
    <t>Baseline thermal system, % of pack</t>
  </si>
  <si>
    <t>Heating system, % of pack</t>
  </si>
  <si>
    <t>Total pack purchased items, % of pack</t>
  </si>
  <si>
    <t>Total cost of purchased items, % of pack</t>
  </si>
  <si>
    <t>Total cost of direct labor, % of pack</t>
  </si>
  <si>
    <t>Cost of variable overhead, % of pack</t>
  </si>
  <si>
    <t>Cost of general, sales, administration, % of pack</t>
  </si>
  <si>
    <t>Cost of research and development, % of pack</t>
  </si>
  <si>
    <t>Cost of depreciation, % of pack</t>
  </si>
  <si>
    <t>Total cost of manufacturing, % of pack</t>
  </si>
  <si>
    <t>Battery management system, % of pack</t>
  </si>
  <si>
    <t>Per unit profit, % of pack</t>
  </si>
  <si>
    <t>Warranty (includes battery pack only), % of pack</t>
  </si>
  <si>
    <t>Total cost of BMS, % of pack</t>
  </si>
  <si>
    <t>Total cost of profits and warranty, % of pack</t>
  </si>
  <si>
    <t>Total cost, % of pack</t>
  </si>
  <si>
    <t>Breakdown of Pack Cost with Overhead Items Distributed to Basic Cost Factors, $/pack</t>
  </si>
  <si>
    <t>Multipliers for Transferring Overhead to Basic Cost Factors, $/pack</t>
  </si>
  <si>
    <t>Multiplier for transferring overhead to materials and purchased items costs</t>
  </si>
  <si>
    <t>Materials, Purchased Items, and BMS with Overhead</t>
  </si>
  <si>
    <t>Total purchased items</t>
  </si>
  <si>
    <t>Total Materials and Purchased Items</t>
  </si>
  <si>
    <t>Total cost of materials and purchased items</t>
  </si>
  <si>
    <t>Electrode Processing with Overhead</t>
  </si>
  <si>
    <t>Direct labor, $/pack</t>
  </si>
  <si>
    <t>Capital equipment, $/pack</t>
  </si>
  <si>
    <t>Building and land, $/pack</t>
  </si>
  <si>
    <t>Total, $/pack</t>
  </si>
  <si>
    <t>Total materials preparation/mixing with overhead</t>
  </si>
  <si>
    <t>Total coating with overhead</t>
  </si>
  <si>
    <t>Total calendaring with overhead</t>
  </si>
  <si>
    <t>Total notching with overhead</t>
  </si>
  <si>
    <t>Total vacuum drying w/ overhead</t>
  </si>
  <si>
    <t>Total Electrode Processing</t>
  </si>
  <si>
    <t>Cell Assembly in Dry Room with Overhead</t>
  </si>
  <si>
    <t>Total Cell Assembly</t>
  </si>
  <si>
    <t>Formation Cycling with Overhead</t>
  </si>
  <si>
    <t>Plant area, $/pack</t>
  </si>
  <si>
    <t>Total Building and Support Systems</t>
  </si>
  <si>
    <t>Manufacturing Summary, $/pack</t>
  </si>
  <si>
    <t>Cost breakdown by process</t>
  </si>
  <si>
    <t>Cost of electrode processing, $/pack</t>
  </si>
  <si>
    <t>Cost of cell assembly, $/pack</t>
  </si>
  <si>
    <t>Cost of formation cycling, testing and sealing, $/pack</t>
  </si>
  <si>
    <t>Cost of module assembly, $/pack</t>
  </si>
  <si>
    <t>Cost of pack assembly, $/pack</t>
  </si>
  <si>
    <t>Cost of warehouse, $/pack</t>
  </si>
  <si>
    <t>Cost of building and support systems, $/pack</t>
  </si>
  <si>
    <t>Total manufacturing cost, $/pack</t>
  </si>
  <si>
    <t>Cost breakdown by type</t>
  </si>
  <si>
    <t>Equipment</t>
  </si>
  <si>
    <t>Building and Land</t>
  </si>
  <si>
    <t>Cost Breakdown with Overhead Distributed to Processes, $/pack</t>
  </si>
  <si>
    <t>Cost of materials, $/pack</t>
  </si>
  <si>
    <t>Cost of purchased items, $/pack</t>
  </si>
  <si>
    <t>Cost of BMS, $/pack</t>
  </si>
  <si>
    <t>Cost of manufacturing, $/pack</t>
  </si>
  <si>
    <t>Total pack cost, $/pack</t>
  </si>
  <si>
    <t>Breakdown of Pack Cost with Overhead Items Distributed to Basic Cost Factors, % of pack</t>
  </si>
  <si>
    <t>Materials, Purchased Items, and BMS with Overhead Included</t>
  </si>
  <si>
    <t>Total Materials and Purchased Items, % of pack</t>
  </si>
  <si>
    <t>Electrode Processing with Overhead Included</t>
  </si>
  <si>
    <t>Direct labor, % of pack</t>
  </si>
  <si>
    <t>Capital equipment, % of pack</t>
  </si>
  <si>
    <t>Building and land, % of pack</t>
  </si>
  <si>
    <t>Total, % of pack</t>
  </si>
  <si>
    <t>Cell Assembly in Dry Room with Overhead Included</t>
  </si>
  <si>
    <t>Electrode Slitting</t>
  </si>
  <si>
    <t>Cell Stacking</t>
  </si>
  <si>
    <t>Current Collector Welding</t>
  </si>
  <si>
    <t>X-ray Inspection of Cells</t>
  </si>
  <si>
    <t>Inserting Cell in Container</t>
  </si>
  <si>
    <t>Electrolyte Filling and Cell Sealing</t>
  </si>
  <si>
    <t>Dry Room and Dry Room Control System</t>
  </si>
  <si>
    <t>Aging, Loading, Formation, DC/AC IR Measurements, Sealing, Packing</t>
  </si>
  <si>
    <t>Module Assembly with Overhead</t>
  </si>
  <si>
    <t>Pack Assembly with Overhead Included</t>
  </si>
  <si>
    <t>Pack assembly</t>
  </si>
  <si>
    <t>Warehouse with Overhead Included</t>
  </si>
  <si>
    <t>Shipping, Receiving, and Storage</t>
  </si>
  <si>
    <t>Building and Supporting Systems with Overhead Included</t>
  </si>
  <si>
    <t>Building Support Systems</t>
  </si>
  <si>
    <t>Binder Solvent (NMP) Recovery</t>
  </si>
  <si>
    <t>Control Laboratory</t>
  </si>
  <si>
    <t>Manufacturing Summary with Overhead Included</t>
  </si>
  <si>
    <t>Cost of electrode processing, % of pack</t>
  </si>
  <si>
    <t>Cost of cell assembly, % of pack</t>
  </si>
  <si>
    <t>Cost of formation cycling, testing and sealing, % of pack</t>
  </si>
  <si>
    <t>Cost of module assembly, % of pack</t>
  </si>
  <si>
    <t>Cost of pack assembly, % of pack</t>
  </si>
  <si>
    <t>Cost of warehouse, % of pack</t>
  </si>
  <si>
    <t>Cost of building and support systems, % of pack</t>
  </si>
  <si>
    <t>Total manufacturing cost, % of pack</t>
  </si>
  <si>
    <t>Labor, % of pack</t>
  </si>
  <si>
    <t>Equipment, % of pack</t>
  </si>
  <si>
    <t>Building and Land, % of pack</t>
  </si>
  <si>
    <t>Cost Breakdown with Overhead Distributed</t>
  </si>
  <si>
    <t>Cost of materials, % of pack</t>
  </si>
  <si>
    <t>Cost of purchased items, % of pack</t>
  </si>
  <si>
    <t>Cost of BMS, % of pack</t>
  </si>
  <si>
    <t>Cost of manufacturing, % of pack</t>
  </si>
  <si>
    <t>Total pack cost, % of pack</t>
  </si>
  <si>
    <t>Recoverable Materials/Recycling</t>
  </si>
  <si>
    <t>Summary of Battery Performance (For Reference Below)</t>
  </si>
  <si>
    <t>Battery pack energy storage, kWh</t>
  </si>
  <si>
    <t>Number of cells per battery pack</t>
  </si>
  <si>
    <t>Elements to Track in Electrodes</t>
  </si>
  <si>
    <t>Select elements to track (up to 4), lithium will be caculated as well</t>
  </si>
  <si>
    <t>Elements</t>
  </si>
  <si>
    <t>Ni</t>
  </si>
  <si>
    <t>Co</t>
  </si>
  <si>
    <t>Mn</t>
  </si>
  <si>
    <t>P</t>
  </si>
  <si>
    <t>nElements</t>
  </si>
  <si>
    <t>Cathode ID</t>
  </si>
  <si>
    <t>Anode ID</t>
  </si>
  <si>
    <t>Recoverable Materials at End of Pack Life</t>
  </si>
  <si>
    <t>Elemental Anaylsis of Electrodes and Electrolyte</t>
  </si>
  <si>
    <t>Cell balance</t>
  </si>
  <si>
    <t>Electroylte mass, g/cell</t>
  </si>
  <si>
    <t>Electroylte volume, L/cell</t>
  </si>
  <si>
    <t>Positive additive, g/cell</t>
  </si>
  <si>
    <t>Negative additive, g/cell</t>
  </si>
  <si>
    <t>Electrolyte additive, g/cell</t>
  </si>
  <si>
    <t>Lithium Balance</t>
  </si>
  <si>
    <t>Li mass in positive electrode, g/cell</t>
  </si>
  <si>
    <t>Li mass in negative electrode, g/cell</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</si>
  <si>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</si>
  <si>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</si>
  <si>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</si>
  <si>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</si>
  <si>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</si>
  <si>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</si>
  <si>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</si>
  <si>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</si>
  <si>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</si>
  <si>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Can this refer to column C in 'Chem' incase people override?</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</si>
  <si>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</si>
  <si>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</si>
  <si>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</si>
  <si>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</si>
  <si>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</si>
  <si>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</si>
  <si>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</si>
  <si>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</si>
  <si>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</si>
  <si>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</si>
  <si>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</si>
  <si>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</si>
  <si>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</si>
  <si>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</si>
  <si>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</si>
  <si>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Can I add module enclosures to steel cost?</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</si>
  <si>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</si>
  <si>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</si>
  <si>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</si>
  <si>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</si>
  <si>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</si>
  <si>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</si>
  <si>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</si>
  <si>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</si>
  <si>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</si>
  <si>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</si>
  <si>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</si>
  <si>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</si>
  <si>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</si>
  <si>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</si>
  <si>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electrode, kg/yr</t>
  </si>
  <si>
    <t>Negative electrode, kg/yr</t>
  </si>
  <si>
    <t>Positive current collector, kg/yr</t>
  </si>
  <si>
    <t>Negative current collector, kg/yr</t>
  </si>
  <si>
    <t>Separator, kg/yr</t>
  </si>
  <si>
    <t>Electrolyte, kg/yr</t>
  </si>
  <si>
    <t>Elemental Breakdown, kg/year</t>
  </si>
  <si>
    <t>From Elemental Analysis of Electrodes and Electrolyte</t>
  </si>
  <si>
    <t>Li, kg/yr</t>
  </si>
  <si>
    <t>Metals from Current Collectors</t>
  </si>
  <si>
    <t>Al, kg/yr</t>
  </si>
  <si>
    <t>Cu, kg/yr</t>
  </si>
  <si>
    <t>Materials in Cells Rejected after Testing, kg/year</t>
  </si>
  <si>
    <t>Positive terminal, kg/yr</t>
  </si>
  <si>
    <t>Negative terminal, kg/yr</t>
  </si>
  <si>
    <t>Cell container, kg/yr</t>
  </si>
  <si>
    <t>Elemental Breakdown, kg/yr</t>
  </si>
  <si>
    <t>Metals from Current Collectors and Terminals</t>
  </si>
  <si>
    <t>Total Recoverable Materials from Plant, kg/year</t>
  </si>
  <si>
    <t>Thermal Modeling</t>
  </si>
  <si>
    <t>Thermal Input</t>
  </si>
  <si>
    <t>Average operating temperature, °C</t>
  </si>
  <si>
    <r>
      <t xml:space="preserve">Coolant temperature at inlet to pack (default = 15), </t>
    </r>
    <r>
      <rPr>
        <sz val="10"/>
        <rFont val="Calibri"/>
        <family val="2"/>
      </rPr>
      <t>°</t>
    </r>
    <r>
      <rPr>
        <sz val="10"/>
        <rFont val="Arial"/>
        <family val="2"/>
      </rPr>
      <t>C</t>
    </r>
  </si>
  <si>
    <r>
      <t xml:space="preserve">Total rise in coolant temperature (default = 5), </t>
    </r>
    <r>
      <rPr>
        <sz val="10"/>
        <rFont val="Calibri"/>
        <family val="2"/>
      </rPr>
      <t>°</t>
    </r>
    <r>
      <rPr>
        <sz val="10"/>
        <rFont val="Arial"/>
        <family val="2"/>
      </rPr>
      <t>C</t>
    </r>
  </si>
  <si>
    <t>Available energy, kWh</t>
  </si>
  <si>
    <t>Estimated heat capacity of battery (default = 0.85), J/g-°C</t>
  </si>
  <si>
    <t>Mass of battery pack less 50% of jacket mass kg</t>
  </si>
  <si>
    <t>Designed battery system power for short bursts, kW</t>
  </si>
  <si>
    <t>Duration of short burst power, s</t>
  </si>
  <si>
    <t>Energy requirement for pack on UDDS, Wh/mile</t>
  </si>
  <si>
    <t>Energy requirement for pack on UDDS (override), Wh/mile</t>
  </si>
  <si>
    <t>Cooling Requirements</t>
  </si>
  <si>
    <t>Heat Generation in Battery System</t>
  </si>
  <si>
    <t>Estimation of Power Requirement for Vehicle at Designated Speed</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</si>
  <si>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</si>
  <si>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</si>
  <si>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</si>
  <si>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</si>
  <si>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Designated constant speed at energy requirement, mph</t>
  </si>
  <si>
    <t>Total power at designated speed, kW</t>
  </si>
  <si>
    <t>Heat Generation in Battery System at Sustained Speed</t>
  </si>
  <si>
    <t>Override battery power for sustained speed</t>
  </si>
  <si>
    <t>Sustained battery power (C/3), kW</t>
  </si>
  <si>
    <t>Sustained battery power at speed, kW</t>
  </si>
  <si>
    <t>Selected sustained battery power</t>
  </si>
  <si>
    <t>Applicable battery resistance, ohms</t>
  </si>
  <si>
    <t>Voltage on discharge, V</t>
  </si>
  <si>
    <t>Current on discharge, I</t>
  </si>
  <si>
    <t>Heat generation during sustained discharge, W</t>
  </si>
  <si>
    <t>Efficiency for sustained discharge (adiabatic), %</t>
  </si>
  <si>
    <r>
      <t xml:space="preserve">Average battery temperature at end of sustained discharge (adiabatic), </t>
    </r>
    <r>
      <rPr>
        <sz val="10"/>
        <rFont val="Calibri"/>
        <family val="2"/>
      </rPr>
      <t>°</t>
    </r>
    <r>
      <rPr>
        <sz val="10"/>
        <rFont val="Arial"/>
        <family val="2"/>
      </rPr>
      <t>C</t>
    </r>
  </si>
  <si>
    <t>Heat Generation for Adiabatic Pulse</t>
  </si>
  <si>
    <t>Heat generation, W or joules/sec</t>
  </si>
  <si>
    <t>Total heat generated during pulse, joules</t>
  </si>
  <si>
    <t>Average temperature at end of adiabatic pulse, °C</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</si>
  <si>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</si>
  <si>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</si>
  <si>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</si>
  <si>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</si>
  <si>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</si>
  <si>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Cooling required at steady state per pack, W</t>
  </si>
  <si>
    <t>Summary of Cooling Requirements</t>
  </si>
  <si>
    <t>Override heat generation rate, W</t>
  </si>
  <si>
    <t>Heat generation with hot start considerations, W</t>
  </si>
  <si>
    <t>Selected heat generation rate for pack, W</t>
  </si>
  <si>
    <t>Temperature in Cell at Sustained Speed (w/ Cooling)</t>
  </si>
  <si>
    <t>Thermal Conductivities</t>
  </si>
  <si>
    <t>Layer Thicknesses, microns</t>
  </si>
  <si>
    <r>
      <t xml:space="preserve">Layer thickness: positive foil, </t>
    </r>
    <r>
      <rPr>
        <sz val="10"/>
        <rFont val="Calibri"/>
        <family val="2"/>
      </rPr>
      <t>µm</t>
    </r>
  </si>
  <si>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</si>
  <si>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</si>
  <si>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</si>
  <si>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</si>
  <si>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</si>
  <si>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</si>
  <si>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</si>
  <si>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</si>
  <si>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</si>
  <si>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</si>
  <si>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</si>
  <si>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</si>
  <si>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</si>
  <si>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</si>
  <si>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</si>
  <si>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</si>
  <si>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Cooling of Modules with 50/50% Ethylene Glycol/Water at Steady State</t>
  </si>
  <si>
    <t>Temperature from Cell Center to Cooling Panel Wall</t>
  </si>
  <si>
    <t>Heat rejection per cell, W</t>
  </si>
  <si>
    <t>Length of aluminum conductor, cm</t>
  </si>
  <si>
    <t>Total conduction thickness including pouch aluminum, cm</t>
  </si>
  <si>
    <t>Thickness of cell, cm</t>
  </si>
  <si>
    <t>Width of cell, cm</t>
  </si>
  <si>
    <t>Thickness of cell edge, cm</t>
  </si>
  <si>
    <t>Heat transfer through cell edges per unit temperature differential, W/°C</t>
  </si>
  <si>
    <t>Heat transfer through cell sides per unit temperature differential, W/°C</t>
  </si>
  <si>
    <t>Temperature drop from cell center to module wall, °C</t>
  </si>
  <si>
    <t>Temperature Drop for Cooling Panel Wall to Bulk Fluid</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</si>
  <si>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</si>
  <si>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</si>
  <si>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</si>
  <si>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</si>
  <si>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</si>
  <si>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Coolant conductivity (k), W/cm-°C</t>
  </si>
  <si>
    <t>Prandlt Number, Pr</t>
  </si>
  <si>
    <t>Graetz number, Gz</t>
  </si>
  <si>
    <t>Mean Nusselt number, Nu</t>
  </si>
  <si>
    <t>h = Nu*k/Dh, W/cm²-°C</t>
  </si>
  <si>
    <t>Effective area, cm²</t>
  </si>
  <si>
    <t>Temperature drop from module wall to bulk fluid at steady state, °C</t>
  </si>
  <si>
    <t xml:space="preserve">Temperature Drop From Center of Cell to Bulk Fluid </t>
  </si>
  <si>
    <t>Temperature drop from cell center to bulk fluid, °C</t>
  </si>
  <si>
    <t>Maximum temperature of center of cells, °C</t>
  </si>
  <si>
    <t>Power Requirements for Pump</t>
  </si>
  <si>
    <t>Volume of 50/50% ethylene glycol/water solution within battery, L</t>
  </si>
  <si>
    <t>Mass of 50/50% ethylene glycol/water solution within battery, kg</t>
  </si>
  <si>
    <r>
      <t>Required rate of fluid flow (Q), cm</t>
    </r>
    <r>
      <rPr>
        <sz val="10"/>
        <rFont val="Calibri"/>
        <family val="2"/>
      </rPr>
      <t>³</t>
    </r>
    <r>
      <rPr>
        <sz val="10"/>
        <rFont val="Arial"/>
        <family val="2"/>
      </rPr>
      <t>/s</t>
    </r>
  </si>
  <si>
    <t>Fluid mass rate (G), g/sec-cm²</t>
  </si>
  <si>
    <t>Flow passage thickness, cm</t>
  </si>
  <si>
    <t>Flow passage width, cm</t>
  </si>
  <si>
    <t>Hydraulic diameter (Dh), cm</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</si>
  <si>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</si>
  <si>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</si>
  <si>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</si>
  <si>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</si>
  <si>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</si>
  <si>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</si>
  <si>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connections and turns (default = 200), %</t>
  </si>
  <si>
    <t>Total efficiency of pump and motor (default = 50), %</t>
  </si>
  <si>
    <t>Power to pump through coolant flow system in pack, W</t>
  </si>
  <si>
    <t>Power to pump through heat exchanger, W</t>
  </si>
  <si>
    <t>Total pumping power, W</t>
  </si>
  <si>
    <t>Thermal System Design</t>
  </si>
  <si>
    <t>Cooling System Design</t>
  </si>
  <si>
    <t>Cooling system type</t>
  </si>
  <si>
    <t>Cooling system power requirement for entire battery system, W</t>
  </si>
  <si>
    <t>Cooling adequacy number for sustained discharge</t>
  </si>
  <si>
    <t>Adequacy of cooling during sustained discharge</t>
  </si>
  <si>
    <t>Temperature rise during adiabatic pulse, °C</t>
  </si>
  <si>
    <t>Cost of baseline thermal system, $/pack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</si>
  <si>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</si>
  <si>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</si>
  <si>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</si>
  <si>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</si>
  <si>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</si>
  <si>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</si>
  <si>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Reference Tables for Cooling System Design</t>
  </si>
  <si>
    <t>Temperature Ranges for Determining Adequacy of Cooling</t>
  </si>
  <si>
    <t>Adequacy of Cooling</t>
  </si>
  <si>
    <r>
      <t>Max allowable change in temperature (</t>
    </r>
    <r>
      <rPr>
        <b/>
        <sz val="10"/>
        <rFont val="Calibri"/>
        <family val="2"/>
      </rPr>
      <t>°</t>
    </r>
    <r>
      <rPr>
        <b/>
        <sz val="10"/>
        <rFont val="Arial"/>
        <family val="2"/>
      </rPr>
      <t>C) during sustained discharge</t>
    </r>
  </si>
  <si>
    <t>Excellent</t>
  </si>
  <si>
    <t>Good</t>
  </si>
  <si>
    <t>Fair</t>
  </si>
  <si>
    <t>Poor</t>
  </si>
  <si>
    <t>Cooling System Parameters for Use of Vehicle Air Conditioner</t>
  </si>
  <si>
    <t>Cooling</t>
  </si>
  <si>
    <t>Added</t>
  </si>
  <si>
    <t>Performance</t>
  </si>
  <si>
    <t>Capacity, W</t>
  </si>
  <si>
    <t>Mass, kg</t>
  </si>
  <si>
    <t>Volume, L</t>
  </si>
  <si>
    <t>Coefficient</t>
  </si>
  <si>
    <t>Cost, $/pack</t>
  </si>
  <si>
    <t>Refrig 1</t>
  </si>
  <si>
    <t>Refrig 2</t>
  </si>
  <si>
    <t>Refrig 3</t>
  </si>
  <si>
    <t>Refrig 4</t>
  </si>
  <si>
    <t>Data to Meet USABC Guidelines</t>
  </si>
  <si>
    <t>Summary of Battery Parameters (For Reference Below)</t>
  </si>
  <si>
    <t>Number of cells per battery system</t>
  </si>
  <si>
    <t>Number of modules per battery system</t>
  </si>
  <si>
    <t>USABC Parameters</t>
  </si>
  <si>
    <t>Subsystem</t>
  </si>
  <si>
    <t>Contents</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</si>
  <si>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</si>
  <si>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</si>
  <si>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</si>
  <si>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</si>
  <si>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</si>
  <si>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</si>
  <si>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</si>
  <si>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</si>
  <si>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</si>
  <si>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</si>
  <si>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</si>
  <si>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</si>
  <si>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</si>
  <si>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</si>
  <si>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</si>
  <si>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</si>
  <si>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</si>
  <si>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</si>
  <si>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</si>
  <si>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</si>
  <si>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t>
  </si>
  <si>
    <t>Cost, $</t>
  </si>
  <si>
    <t>Chemistry Couple Generator / N:P modifications</t>
  </si>
  <si>
    <t>Step 1: Choose couple and formation information</t>
  </si>
  <si>
    <t>Select Method</t>
  </si>
  <si>
    <t>Create New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</si>
  <si>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</si>
  <si>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</si>
  <si>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</si>
  <si>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</si>
  <si>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</si>
  <si>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</si>
  <si>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</si>
  <si>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</si>
  <si>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</si>
  <si>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</si>
  <si>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</si>
  <si>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</si>
  <si>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</si>
  <si>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</si>
  <si>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</si>
  <si>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</si>
  <si>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</si>
  <si>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</si>
  <si>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</si>
  <si>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</si>
  <si>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</si>
  <si>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</si>
  <si>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</si>
  <si>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</si>
  <si>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</si>
  <si>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</si>
  <si>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</si>
  <si>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</si>
  <si>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</si>
  <si>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</si>
  <si>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</si>
  <si>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</si>
  <si>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</si>
  <si>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</si>
  <si>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</si>
  <si>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</si>
  <si>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</si>
  <si>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</si>
  <si>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</si>
  <si>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</si>
  <si>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</si>
  <si>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</si>
  <si>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</si>
  <si>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</si>
  <si>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</si>
  <si>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</si>
  <si>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</si>
  <si>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</si>
  <si>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</si>
  <si>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</si>
  <si>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</si>
  <si>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</si>
  <si>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</si>
  <si>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</si>
  <si>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</si>
  <si>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</si>
  <si>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</si>
  <si>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</si>
  <si>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</si>
  <si>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</si>
  <si>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</si>
  <si>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</si>
  <si>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</si>
  <si>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</si>
  <si>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</si>
  <si>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</si>
  <si>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</si>
  <si>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</si>
  <si>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</si>
  <si>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</si>
  <si>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</si>
  <si>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</si>
  <si>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</si>
  <si>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</si>
  <si>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</si>
  <si>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</si>
  <si>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</si>
  <si>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</si>
  <si>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</si>
  <si>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</si>
  <si>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</si>
  <si>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</si>
  <si>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</si>
  <si>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</si>
  <si>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</si>
  <si>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</si>
  <si>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</si>
  <si>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</si>
  <si>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</si>
  <si>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</si>
  <si>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</si>
  <si>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</si>
  <si>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</si>
  <si>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</si>
  <si>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</si>
  <si>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</si>
  <si>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</si>
  <si>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</si>
  <si>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</si>
  <si>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</si>
  <si>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</si>
  <si>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</si>
  <si>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</si>
  <si>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</si>
  <si>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</si>
  <si>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</si>
  <si>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</si>
  <si>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</si>
  <si>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</si>
  <si>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</si>
  <si>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</si>
  <si>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</si>
  <si>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</si>
  <si>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</si>
  <si>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</si>
  <si>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</si>
  <si>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</si>
  <si>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</si>
  <si>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</si>
  <si>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</si>
  <si>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</si>
  <si>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</si>
  <si>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</si>
  <si>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</si>
  <si>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</si>
  <si>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</si>
  <si>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</si>
  <si>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</si>
  <si>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</si>
  <si>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</si>
  <si>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</si>
  <si>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</si>
  <si>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</si>
  <si>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</si>
  <si>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</si>
  <si>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</si>
  <si>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</si>
  <si>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</si>
  <si>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</si>
  <si>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</si>
  <si>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</si>
  <si>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</si>
  <si>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</si>
  <si>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</si>
  <si>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</si>
  <si>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</si>
  <si>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</si>
  <si>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</si>
  <si>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 Cell Thickness</t>
  </si>
  <si>
    <t>Default time for power pulses</t>
  </si>
  <si>
    <t>SOC for full power</t>
  </si>
  <si>
    <t>SOC at average operation</t>
  </si>
  <si>
    <t>Upper SOC Limit</t>
  </si>
  <si>
    <t>Lower SOC Limit</t>
  </si>
  <si>
    <t>% of SOC above lower SOC for reserve safety limit</t>
  </si>
  <si>
    <t>Allow for charging considerations</t>
  </si>
  <si>
    <t>Ideal chemistry couple</t>
  </si>
  <si>
    <t>Either</t>
  </si>
  <si>
    <t>Energy</t>
  </si>
  <si>
    <t>Additional for multiple packs, $/additional pack</t>
  </si>
  <si>
    <t>BMS Considerations</t>
  </si>
  <si>
    <t>Add Charger Fuse</t>
  </si>
  <si>
    <t>Add Main Contactor</t>
  </si>
  <si>
    <t>Thermal Considerations</t>
  </si>
  <si>
    <t>Require refridge 4 system when fast charge is enabled</t>
  </si>
  <si>
    <t>Size cooling system from sustained speed</t>
  </si>
  <si>
    <t>Maximum sustained vehicle speed at maximum cell temperature</t>
  </si>
  <si>
    <t>Default thickness of aluminum conductors, cm</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</si>
  <si>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</si>
  <si>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</si>
  <si>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</si>
  <si>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</si>
  <si>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</si>
  <si>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</si>
  <si>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</si>
  <si>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</si>
  <si>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</si>
  <si>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</si>
  <si>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</si>
  <si>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Current Iteration</t>
  </si>
  <si>
    <t>Approx a 12V battery with varying power to energy ratios</t>
  </si>
  <si>
    <t>Dashboard Row</t>
  </si>
  <si>
    <t>Target Pack Power, kW</t>
  </si>
  <si>
    <t>Pack capacity (Ah)</t>
  </si>
  <si>
    <t>Pack energy (kWh)</t>
  </si>
  <si>
    <t>Approx a 48V battery with varying power to energy ratios</t>
  </si>
  <si>
    <t xml:space="preserve">This sheet provides the series of lists that are in the document and where they are pulled from. </t>
  </si>
  <si>
    <t># of Chemistries in Library</t>
  </si>
  <si>
    <t>List of Chemistries Couples in Library</t>
  </si>
  <si>
    <t>Col Val</t>
  </si>
  <si>
    <t>Coolant Type</t>
  </si>
  <si>
    <t>Column1</t>
  </si>
  <si>
    <t>microHEV</t>
  </si>
  <si>
    <t>EG-W</t>
  </si>
  <si>
    <t>CA</t>
  </si>
  <si>
    <t>CoolA</t>
  </si>
  <si>
    <t>Fast Charge?</t>
  </si>
  <si>
    <t>Column2</t>
  </si>
  <si>
    <t>S</t>
  </si>
  <si>
    <t>List of Variables</t>
  </si>
  <si>
    <t>Molecular Weight Calculations</t>
  </si>
  <si>
    <t>Abreviation</t>
  </si>
  <si>
    <t>Units</t>
  </si>
  <si>
    <t>MW (g/mol)</t>
  </si>
  <si>
    <t>Actual Capacity mAh/g</t>
  </si>
  <si>
    <t>Theoretical Capacity mAh/g</t>
  </si>
  <si>
    <t>Full Name</t>
  </si>
  <si>
    <t>Atom</t>
  </si>
  <si>
    <t>Li</t>
  </si>
  <si>
    <t>Fe</t>
  </si>
  <si>
    <t>Ti</t>
  </si>
  <si>
    <t>O</t>
  </si>
  <si>
    <t>Boltzmann constant</t>
  </si>
  <si>
    <t>k_b</t>
  </si>
  <si>
    <t>J/K</t>
  </si>
  <si>
    <t>Atomic MW</t>
  </si>
  <si>
    <t>Avogadro constant</t>
  </si>
  <si>
    <t>N_a</t>
  </si>
  <si>
    <t>mol -1</t>
  </si>
  <si>
    <t xml:space="preserve">Li(Ni1/3Mn1/3Co1/3)O2 </t>
  </si>
  <si>
    <t>Gas Constant</t>
  </si>
  <si>
    <t>R</t>
  </si>
  <si>
    <t>J/(mol K)</t>
  </si>
  <si>
    <t>Li(Ni0.6Mn0.2Co0.2)O2</t>
  </si>
  <si>
    <t>Density of Al</t>
  </si>
  <si>
    <t>rho_Al</t>
  </si>
  <si>
    <t>g/cm^3</t>
  </si>
  <si>
    <t>Li(Ni0.5Mn0.3Co0.2)O2</t>
  </si>
  <si>
    <t>Method 2: Purchase land and building for 100% utilization, but only purchase equipment for current production levels</t>
  </si>
  <si>
    <t>Density of Cu</t>
  </si>
  <si>
    <t>rho_Cu</t>
  </si>
  <si>
    <t>Li(Ni0.8Mn0.1Co0.1)O2</t>
  </si>
  <si>
    <t>Method 3: Purchase land, building, and equipment for full sized plant at 100% utilization</t>
  </si>
  <si>
    <t>Density of PP</t>
  </si>
  <si>
    <t>rho_PP</t>
  </si>
  <si>
    <t>LiNi0.80Co0.15Al0.05O2-Graphite</t>
  </si>
  <si>
    <t>Density of PET</t>
  </si>
  <si>
    <t>rho_PET</t>
  </si>
  <si>
    <t>LiFePO4</t>
  </si>
  <si>
    <t>multipack configs</t>
  </si>
  <si>
    <t>Heat Capacity of Cu</t>
  </si>
  <si>
    <t>Cp_Cu</t>
  </si>
  <si>
    <t>J/(g K)</t>
  </si>
  <si>
    <t>Manganese-Spinel</t>
  </si>
  <si>
    <t>Heat Capacity of Al</t>
  </si>
  <si>
    <t>Cp_Al</t>
  </si>
  <si>
    <t>Li4Ti5O12</t>
  </si>
  <si>
    <t>Density of PE</t>
  </si>
  <si>
    <t>rho_PE</t>
  </si>
  <si>
    <t>Graphite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</si>
  <si>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</si>
  <si>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</si>
  <si>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</si>
  <si>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</si>
  <si>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</si>
  <si>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</si>
  <si>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</si>
  <si>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</si>
  <si>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</si>
  <si>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</si>
  <si>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</si>
  <si>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</si>
  <si>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SOC range</t>
  </si>
  <si>
    <t>SOC index</t>
  </si>
  <si>
    <t>Positive/Negative</t>
  </si>
  <si>
    <t>x, lithium fraction</t>
  </si>
  <si>
    <t>Voltage (red values are extrapolated)</t>
  </si>
  <si>
    <t>Summary Box (Can be moved/dragged around)</t>
  </si>
  <si>
    <t xml:space="preserve"> Battery 4</t>
  </si>
  <si>
    <t>Purchased Mateials Costs, Detailed Braekdown</t>
  </si>
  <si>
    <t>Ingot, $/kg:</t>
  </si>
  <si>
    <t>Cu Ingot</t>
  </si>
  <si>
    <t>Al Ingot</t>
  </si>
  <si>
    <t>Steel Ingot</t>
  </si>
  <si>
    <t>S.S Ingot</t>
  </si>
  <si>
    <t>Cost per Mass, $/kg</t>
  </si>
  <si>
    <t>Ingot</t>
  </si>
  <si>
    <t>Form Factor</t>
  </si>
  <si>
    <t>per Item, $</t>
  </si>
  <si>
    <t>Total, $</t>
  </si>
  <si>
    <t>Positive terminal (Al)</t>
  </si>
  <si>
    <t>Negative terminal (Cu)</t>
  </si>
  <si>
    <t>Cell Container</t>
  </si>
  <si>
    <t>Heat conductor (Al)</t>
  </si>
  <si>
    <t>*Scale exponent for "plus cost" (p)</t>
  </si>
  <si>
    <t>Module management system (MMS)</t>
  </si>
  <si>
    <t>Fabrication Cost</t>
  </si>
  <si>
    <t>per Mass, $/kg</t>
  </si>
  <si>
    <t>Plus per Item, $</t>
  </si>
  <si>
    <t>Cell interconnect (Cu)</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</si>
  <si>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</si>
  <si>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</si>
  <si>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</si>
  <si>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</si>
  <si>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</si>
  <si>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</si>
  <si>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</si>
  <si>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Module Interconnects and signal wiring</t>
  </si>
  <si>
    <t>Bus bars</t>
  </si>
  <si>
    <t>Cooling panels, S.S.</t>
  </si>
  <si>
    <t>Coolant manifolds</t>
  </si>
  <si>
    <t>Pack terminals and seals</t>
  </si>
  <si>
    <t>Pack jacket steel</t>
  </si>
  <si>
    <t>Pack jacket aluminum</t>
  </si>
  <si>
    <r>
      <t>Pack jack insulation, $/m</t>
    </r>
    <r>
      <rPr>
        <vertAlign val="superscript"/>
        <sz val="10"/>
        <rFont val="Arial"/>
        <family val="2"/>
      </rPr>
      <t>2</t>
    </r>
  </si>
  <si>
    <t>Battery  Pack Integration System</t>
  </si>
  <si>
    <t>MicroHEV</t>
  </si>
  <si>
    <t>PHEV and EV</t>
  </si>
  <si>
    <t>Moles per Mole of Active Material</t>
  </si>
  <si>
    <t>Current and voltage sensing, $</t>
  </si>
  <si>
    <t>Module controls, $/module</t>
  </si>
  <si>
    <t>Auto. battery disconnect, $</t>
  </si>
  <si>
    <t>Manual disconnect per pack, $</t>
  </si>
  <si>
    <t>Additional for parallel modules and packs, $ per string</t>
  </si>
  <si>
    <t>Thermal Controls</t>
  </si>
  <si>
    <t>and EV</t>
  </si>
  <si>
    <t>Thermal system*, $</t>
  </si>
  <si>
    <t>Additions to AC system**, $/kW</t>
  </si>
  <si>
    <t>Heating system**, $/kW/pack</t>
  </si>
  <si>
    <t>**No charge for cabin air cooling</t>
  </si>
  <si>
    <t>Si</t>
  </si>
  <si>
    <t>V</t>
  </si>
  <si>
    <t>Angle Iron Sizing</t>
  </si>
  <si>
    <t>Warnings and Errors</t>
  </si>
  <si>
    <t>Size</t>
  </si>
  <si>
    <t>Estimated Pack Volume, L</t>
  </si>
  <si>
    <t>H, mm</t>
  </si>
  <si>
    <t>L, mm</t>
  </si>
  <si>
    <t>T, mm</t>
  </si>
  <si>
    <t>V/L, mm^3/mm</t>
  </si>
  <si>
    <t>Error</t>
  </si>
  <si>
    <t>30 x 30 x 3</t>
  </si>
  <si>
    <t>40 x 40 x 4</t>
  </si>
  <si>
    <t>Pack Manufacturing Strategy</t>
  </si>
  <si>
    <t>Selected Value</t>
  </si>
  <si>
    <t>Purchase Cells</t>
  </si>
  <si>
    <t>Purchase Module</t>
  </si>
  <si>
    <t>Pack Cost Options</t>
  </si>
  <si>
    <t>Pack Profits</t>
  </si>
  <si>
    <t>Pack Warranty</t>
  </si>
  <si>
    <t>Cost to build - excludes pack profit/warranty</t>
  </si>
  <si>
    <t>Fitted parameters for estimating positive electrode thickness</t>
  </si>
  <si>
    <t>Positive electrode thickness from fast charge, µm</t>
  </si>
  <si>
    <t>Negative electrode thickness from fast charge, µm</t>
  </si>
  <si>
    <t>α1</t>
  </si>
  <si>
    <t>α2</t>
  </si>
  <si>
    <t>α3</t>
  </si>
  <si>
    <t>α4</t>
  </si>
  <si>
    <t>β1</t>
  </si>
  <si>
    <t>β2</t>
  </si>
  <si>
    <t>β3</t>
  </si>
  <si>
    <t>β4</t>
  </si>
  <si>
    <t>Max current density, mA/cm²</t>
  </si>
  <si>
    <t>Purchase cells from battery manufacturer</t>
  </si>
  <si>
    <t>Purchase modules from battery manufacturer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</si>
</sst>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_);[Red]\(#,##0.0000\)"/>
    <numFmt numFmtId="180" formatCode="0.0%"/>
    <numFmt numFmtId="181" formatCode="&quot;$&quot;#,##0.00"/>
    <numFmt numFmtId="182" formatCode="&quot;$&quot;#,##0"/>
    <numFmt numFmtId="183" formatCode="_([$$-409]* #,##0_);_([$$-409]* \(#,##0\);_([$$-409]* &quot;-&quot;??_);_(@_)"/>
    <numFmt numFmtId="184" formatCode="_(* #,##0.00000_);_(* \(#,##0.00000\);_(* &quot;-&quot;??_);_(@_)"/>
    <numFmt numFmtId="185" formatCode="0.00000000"/>
    <numFmt numFmtId="186" formatCode="_(&quot;$&quot;* #,##0_);_(&quot;$&quot;* \(#,##0\);_(&quot;$&quot;* &quot;-&quot;??_);_(@_)"/>
    <numFmt numFmtId="187" formatCode="#,##0.0_);\(#,##0.0\)"/>
  </numFmts>
  <fonts count="110"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sz val="11"/>
      <color rgb="FF7030A0"/>
      <name val="Times New Roman"/>
      <family val="1"/>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b/>
      <sz val="10"/>
      <name val="Calibri"/>
      <family val="2"/>
    </font>
    <font>
      <sz val="14"/>
      <color rgb="FF000000"/>
      <name val="Times New Roman"/>
      <family val="1"/>
    </font>
    <font>
      <sz val="16"/>
      <color rgb="FF000000"/>
      <name val="Arial"/>
      <family val="2"/>
    </font>
    <font>
      <sz val="10"/>
      <color rgb="FF000000"/>
      <name val="Arial"/>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73">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s>
  <cellStyleXfs count="11">
    <xf numFmtId="0" fontId="0" fillId="0" borderId="0"/>
    <xf numFmtId="0" fontId="7" fillId="0" borderId="0" applyNumberForma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31" fillId="6" borderId="0" applyNumberFormat="0" applyBorder="0" applyAlignment="0" applyProtection="0"/>
    <xf numFmtId="0" fontId="33" fillId="0" borderId="0" applyNumberFormat="0" applyFill="0" applyBorder="0" applyAlignment="0" applyProtection="0"/>
    <xf numFmtId="44" fontId="35" fillId="0" borderId="0" applyFont="0" applyFill="0" applyBorder="0" applyAlignment="0" applyProtection="0"/>
    <xf numFmtId="0" fontId="1" fillId="0" borderId="0"/>
  </cellStyleXfs>
  <cellXfs count="1553">
    <xf numFmtId="0" fontId="0" fillId="0" borderId="0" xfId="0"/>
    <xf numFmtId="0" fontId="12" fillId="20" borderId="5" xfId="0" applyFont="1" applyFill="1" applyBorder="1" applyAlignment="1">
      <alignment horizontal="center" vertical="center"/>
    </xf>
    <xf numFmtId="1" fontId="0" fillId="0" borderId="0" xfId="0" applyNumberFormat="1" applyAlignment="1">
      <alignment horizontal="center"/>
    </xf>
    <xf numFmtId="165" fontId="0" fillId="0" borderId="0" xfId="0" applyNumberFormat="1" applyAlignment="1">
      <alignment horizontal="center"/>
    </xf>
    <xf numFmtId="2" fontId="9" fillId="0" borderId="0" xfId="0" applyNumberFormat="1" applyFont="1" applyBorder="1" applyAlignment="1">
      <alignment horizontal="center"/>
    </xf>
    <xf numFmtId="0" fontId="0" fillId="0" borderId="0" xfId="0" applyBorder="1"/>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applyBorder="1"/>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7" fillId="0" borderId="0" xfId="0" applyFont="1" applyAlignment="1">
      <alignment horizontal="left"/>
    </xf>
    <xf numFmtId="2" fontId="9" fillId="0" borderId="0" xfId="0" applyNumberFormat="1" applyFont="1" applyBorder="1" applyAlignment="1">
      <alignment horizontal="left"/>
    </xf>
    <xf numFmtId="43" fontId="0" fillId="0" borderId="0" xfId="2" applyFont="1"/>
    <xf numFmtId="43" fontId="0" fillId="0" borderId="0" xfId="2" applyFont="1" applyAlignment="1">
      <alignment horizontal="center"/>
    </xf>
    <xf numFmtId="43" fontId="0" fillId="0" borderId="0" xfId="0" applyNumberFormat="1"/>
    <xf numFmtId="43" fontId="3" fillId="0" borderId="0" xfId="2" applyFont="1" applyBorder="1" applyAlignment="1">
      <alignment horizontal="left"/>
    </xf>
    <xf numFmtId="43" fontId="3" fillId="0" borderId="0" xfId="0" applyNumberFormat="1" applyFont="1" applyBorder="1" applyAlignment="1">
      <alignment horizontal="left"/>
    </xf>
    <xf numFmtId="2" fontId="3" fillId="0" borderId="0" xfId="0" applyNumberFormat="1" applyFont="1" applyBorder="1" applyAlignment="1">
      <alignment horizontal="left"/>
    </xf>
    <xf numFmtId="171" fontId="0" fillId="0" borderId="0" xfId="2" applyNumberFormat="1" applyFont="1"/>
    <xf numFmtId="0" fontId="7" fillId="0" borderId="1" xfId="0" applyFont="1" applyBorder="1"/>
    <xf numFmtId="0" fontId="4" fillId="0" borderId="0" xfId="0" applyFont="1" applyBorder="1"/>
    <xf numFmtId="0" fontId="7" fillId="0" borderId="0" xfId="0" applyFont="1" applyBorder="1"/>
    <xf numFmtId="0" fontId="10" fillId="0" borderId="0" xfId="0" applyFont="1" applyAlignment="1">
      <alignment horizontal="center"/>
    </xf>
    <xf numFmtId="166" fontId="0" fillId="0" borderId="0" xfId="0" applyNumberFormat="1" applyAlignment="1">
      <alignment horizontal="center"/>
    </xf>
    <xf numFmtId="170" fontId="7" fillId="0" borderId="0" xfId="2" applyNumberFormat="1" applyFont="1" applyAlignment="1">
      <alignment horizontal="center"/>
    </xf>
    <xf numFmtId="0" fontId="7" fillId="0" borderId="0" xfId="0" applyFont="1" applyBorder="1" applyAlignment="1"/>
    <xf numFmtId="0" fontId="7" fillId="0" borderId="1" xfId="0" applyFont="1" applyBorder="1" applyAlignment="1">
      <alignment horizontal="left"/>
    </xf>
    <xf numFmtId="170" fontId="7" fillId="0" borderId="1" xfId="2" applyNumberFormat="1" applyFont="1" applyBorder="1" applyAlignment="1">
      <alignment horizontal="center"/>
    </xf>
    <xf numFmtId="0" fontId="11" fillId="0" borderId="0" xfId="0" applyFont="1"/>
    <xf numFmtId="0" fontId="7" fillId="0" borderId="0" xfId="0" applyFont="1" applyFill="1" applyBorder="1"/>
    <xf numFmtId="166" fontId="0" fillId="0" borderId="0" xfId="0" applyNumberFormat="1"/>
    <xf numFmtId="172" fontId="0" fillId="0" borderId="0" xfId="0" applyNumberFormat="1"/>
    <xf numFmtId="2" fontId="0" fillId="0" borderId="0" xfId="0" applyNumberFormat="1"/>
    <xf numFmtId="170"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2" fontId="0" fillId="0" borderId="0" xfId="0" applyNumberFormat="1" applyFill="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170" fontId="0" fillId="0" borderId="0" xfId="2" applyNumberFormat="1" applyFont="1"/>
    <xf numFmtId="169" fontId="0" fillId="0" borderId="0" xfId="2" applyNumberFormat="1" applyFont="1" applyAlignment="1">
      <alignment horizontal="right"/>
    </xf>
    <xf numFmtId="170" fontId="0" fillId="0" borderId="0" xfId="2" applyNumberFormat="1" applyFont="1" applyAlignment="1">
      <alignment horizontal="right"/>
    </xf>
    <xf numFmtId="169" fontId="0" fillId="0" borderId="0" xfId="0" applyNumberFormat="1"/>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1" fontId="7" fillId="0" borderId="0" xfId="0" applyNumberFormat="1" applyFont="1" applyAlignment="1">
      <alignment horizontal="center"/>
    </xf>
    <xf numFmtId="0" fontId="0" fillId="0" borderId="2" xfId="0"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1" fontId="3" fillId="0" borderId="0" xfId="0" applyNumberFormat="1" applyFont="1" applyFill="1" applyBorder="1" applyAlignment="1">
      <alignment horizontal="center"/>
    </xf>
    <xf numFmtId="166" fontId="0" fillId="0" borderId="0" xfId="0" applyNumberFormat="1" applyFill="1" applyAlignment="1">
      <alignment horizontal="center"/>
    </xf>
    <xf numFmtId="1" fontId="13"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70" fontId="0" fillId="0" borderId="0" xfId="0" applyNumberFormat="1" applyBorder="1"/>
    <xf numFmtId="168" fontId="0" fillId="0" borderId="0" xfId="0" applyNumberFormat="1" applyAlignment="1">
      <alignment horizontal="center"/>
    </xf>
    <xf numFmtId="38" fontId="13" fillId="0" borderId="0" xfId="2" applyNumberFormat="1" applyFont="1" applyAlignment="1">
      <alignment horizontal="right"/>
    </xf>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4" fillId="0" borderId="0" xfId="0" applyFont="1" applyFill="1" applyBorder="1"/>
    <xf numFmtId="4" fontId="0" fillId="0" borderId="0" xfId="0" applyNumberFormat="1" applyFill="1" applyAlignment="1">
      <alignment horizontal="center"/>
    </xf>
    <xf numFmtId="170" fontId="0" fillId="0" borderId="0" xfId="2" applyNumberFormat="1" applyFont="1" applyAlignment="1">
      <alignment horizontal="center"/>
    </xf>
    <xf numFmtId="168" fontId="0" fillId="2"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65" fontId="3" fillId="0" borderId="0" xfId="0" applyNumberFormat="1" applyFont="1" applyAlignment="1">
      <alignment horizontal="center"/>
    </xf>
    <xf numFmtId="0" fontId="0" fillId="0" borderId="0" xfId="0" applyAlignment="1">
      <alignment horizontal="center"/>
    </xf>
    <xf numFmtId="0" fontId="18" fillId="0" borderId="0" xfId="0" applyFont="1"/>
    <xf numFmtId="1" fontId="3" fillId="0" borderId="0" xfId="0" applyNumberFormat="1" applyFont="1" applyAlignment="1">
      <alignment horizontal="center"/>
    </xf>
    <xf numFmtId="0" fontId="20" fillId="0" borderId="0" xfId="0" applyFont="1"/>
    <xf numFmtId="165" fontId="3" fillId="0" borderId="0" xfId="0" applyNumberFormat="1" applyFont="1" applyFill="1" applyAlignment="1">
      <alignment horizontal="center"/>
    </xf>
    <xf numFmtId="0" fontId="3" fillId="0" borderId="0" xfId="0" applyFont="1" applyFill="1"/>
    <xf numFmtId="0" fontId="0" fillId="0" borderId="0" xfId="0" applyAlignment="1">
      <alignment vertical="center"/>
    </xf>
    <xf numFmtId="0" fontId="13" fillId="0" borderId="0" xfId="0" applyFont="1" applyFill="1" applyBorder="1" applyAlignment="1">
      <alignment horizontal="center"/>
    </xf>
    <xf numFmtId="2" fontId="3" fillId="0" borderId="0" xfId="0" applyNumberFormat="1" applyFont="1" applyAlignment="1">
      <alignment horizontal="center"/>
    </xf>
    <xf numFmtId="43" fontId="0" fillId="0" borderId="0" xfId="2" applyFont="1" applyBorder="1" applyAlignment="1">
      <alignment horizontal="center"/>
    </xf>
    <xf numFmtId="0" fontId="0" fillId="5" borderId="0" xfId="0" applyFill="1" applyAlignment="1">
      <alignment horizontal="center"/>
    </xf>
    <xf numFmtId="0" fontId="21" fillId="0" borderId="0" xfId="0" applyFont="1"/>
    <xf numFmtId="168" fontId="0" fillId="0" borderId="0" xfId="0" applyNumberFormat="1" applyFill="1" applyAlignment="1">
      <alignment horizontal="center"/>
    </xf>
    <xf numFmtId="0" fontId="0" fillId="5" borderId="0" xfId="0" applyFill="1"/>
    <xf numFmtId="0" fontId="3" fillId="5" borderId="0" xfId="0" applyFont="1" applyFill="1" applyAlignment="1">
      <alignment horizontal="left"/>
    </xf>
    <xf numFmtId="0" fontId="3" fillId="0" borderId="0" xfId="0" applyFont="1" applyFill="1" applyAlignment="1">
      <alignment horizontal="left"/>
    </xf>
    <xf numFmtId="166" fontId="3" fillId="0" borderId="0" xfId="0" applyNumberFormat="1" applyFont="1" applyAlignment="1">
      <alignment horizontal="center"/>
    </xf>
    <xf numFmtId="0" fontId="3" fillId="5" borderId="0" xfId="0" applyFont="1" applyFill="1" applyAlignment="1">
      <alignment horizontal="center"/>
    </xf>
    <xf numFmtId="170" fontId="0" fillId="0" borderId="0" xfId="2" applyNumberFormat="1" applyFont="1" applyBorder="1" applyAlignment="1">
      <alignment horizontal="center"/>
    </xf>
    <xf numFmtId="166" fontId="3" fillId="0" borderId="0" xfId="0" applyNumberFormat="1" applyFont="1"/>
    <xf numFmtId="0" fontId="4" fillId="0" borderId="0" xfId="0" applyFont="1" applyAlignment="1"/>
    <xf numFmtId="0" fontId="20" fillId="0" borderId="0" xfId="0" applyFont="1" applyAlignment="1">
      <alignment horizontal="right"/>
    </xf>
    <xf numFmtId="0" fontId="18" fillId="0" borderId="0" xfId="0" applyFont="1" applyBorder="1"/>
    <xf numFmtId="0" fontId="18" fillId="0" borderId="0" xfId="0" applyFont="1" applyBorder="1" applyAlignment="1">
      <alignment horizontal="left"/>
    </xf>
    <xf numFmtId="0" fontId="18" fillId="0" borderId="0" xfId="0" applyFont="1" applyAlignment="1">
      <alignment horizontal="center"/>
    </xf>
    <xf numFmtId="166" fontId="18" fillId="0" borderId="0" xfId="0" applyNumberFormat="1" applyFont="1" applyBorder="1" applyAlignment="1">
      <alignment horizontal="center"/>
    </xf>
    <xf numFmtId="0" fontId="18" fillId="0" borderId="0" xfId="0" applyFont="1" applyFill="1" applyBorder="1"/>
    <xf numFmtId="0" fontId="18" fillId="0" borderId="1" xfId="0" applyFont="1" applyBorder="1" applyAlignment="1">
      <alignment horizontal="center"/>
    </xf>
    <xf numFmtId="170" fontId="18" fillId="0" borderId="0" xfId="2" applyNumberFormat="1" applyFont="1" applyAlignment="1">
      <alignment horizontal="center"/>
    </xf>
    <xf numFmtId="0" fontId="18" fillId="0" borderId="0" xfId="0" applyFont="1" applyBorder="1" applyAlignment="1">
      <alignment horizontal="center"/>
    </xf>
    <xf numFmtId="0" fontId="0" fillId="0" borderId="0" xfId="0" applyFill="1" applyProtection="1">
      <protection locked="0"/>
    </xf>
    <xf numFmtId="0" fontId="4" fillId="0" borderId="0" xfId="0" applyNumberFormat="1" applyFont="1" applyFill="1" applyAlignment="1"/>
    <xf numFmtId="165" fontId="3" fillId="0" borderId="0" xfId="0" applyNumberFormat="1" applyFont="1" applyBorder="1" applyAlignment="1">
      <alignment horizontal="center"/>
    </xf>
    <xf numFmtId="1" fontId="0" fillId="0" borderId="0" xfId="0" applyNumberFormat="1" applyBorder="1"/>
    <xf numFmtId="176" fontId="3" fillId="5" borderId="0" xfId="0" applyNumberFormat="1" applyFont="1" applyFill="1" applyAlignment="1">
      <alignment horizontal="center"/>
    </xf>
    <xf numFmtId="165" fontId="3" fillId="0" borderId="0" xfId="0" applyNumberFormat="1" applyFont="1" applyFill="1" applyBorder="1" applyAlignment="1">
      <alignment horizontal="center"/>
    </xf>
    <xf numFmtId="0" fontId="24" fillId="0" borderId="0" xfId="0" applyFont="1"/>
    <xf numFmtId="0" fontId="22" fillId="0" borderId="0" xfId="0" applyFont="1"/>
    <xf numFmtId="165" fontId="3" fillId="0" borderId="0" xfId="0" applyNumberFormat="1" applyFont="1"/>
    <xf numFmtId="0" fontId="25" fillId="0" borderId="0" xfId="0" applyFont="1"/>
    <xf numFmtId="0" fontId="20" fillId="0" borderId="0" xfId="0" applyFont="1" applyFill="1" applyBorder="1"/>
    <xf numFmtId="1" fontId="0" fillId="5" borderId="0" xfId="0" applyNumberFormat="1" applyFill="1" applyAlignment="1">
      <alignment horizontal="center"/>
    </xf>
    <xf numFmtId="165" fontId="0" fillId="5" borderId="0" xfId="0" applyNumberFormat="1" applyFill="1" applyAlignment="1">
      <alignment horizontal="center"/>
    </xf>
    <xf numFmtId="175" fontId="3" fillId="0" borderId="0" xfId="0" applyNumberFormat="1" applyFont="1" applyBorder="1" applyAlignment="1">
      <alignment horizontal="center"/>
    </xf>
    <xf numFmtId="166" fontId="3" fillId="0" borderId="0" xfId="2" applyNumberFormat="1" applyFont="1" applyFill="1" applyBorder="1" applyAlignment="1">
      <alignment horizontal="right"/>
    </xf>
    <xf numFmtId="0" fontId="7" fillId="0" borderId="0" xfId="0" applyFont="1"/>
    <xf numFmtId="0" fontId="3" fillId="0" borderId="0" xfId="0" applyFont="1"/>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2"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0" fillId="0" borderId="0" xfId="0" applyFont="1" applyFill="1" applyBorder="1" applyAlignment="1">
      <alignment horizontal="center"/>
    </xf>
    <xf numFmtId="166" fontId="3" fillId="0" borderId="0" xfId="2" applyNumberFormat="1" applyFont="1" applyFill="1" applyBorder="1" applyAlignment="1">
      <alignment horizontal="center"/>
    </xf>
    <xf numFmtId="175" fontId="3" fillId="0" borderId="0" xfId="0" applyNumberFormat="1" applyFont="1" applyFill="1" applyBorder="1" applyAlignment="1">
      <alignment horizontal="center"/>
    </xf>
    <xf numFmtId="1" fontId="7"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165" fontId="14" fillId="0" borderId="0" xfId="0" applyNumberFormat="1" applyFont="1" applyFill="1" applyAlignment="1">
      <alignment horizontal="center"/>
    </xf>
    <xf numFmtId="1" fontId="3" fillId="0" borderId="0" xfId="0" applyNumberFormat="1" applyFont="1" applyFill="1" applyAlignment="1">
      <alignment horizontal="center"/>
    </xf>
    <xf numFmtId="170" fontId="3" fillId="0" borderId="0" xfId="2" applyNumberFormat="1" applyFont="1" applyBorder="1" applyAlignment="1">
      <alignment horizontal="center"/>
    </xf>
    <xf numFmtId="43"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4" fontId="3" fillId="0" borderId="0" xfId="2" applyNumberFormat="1" applyFont="1"/>
    <xf numFmtId="171"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applyAlignment="1"/>
    <xf numFmtId="40" fontId="3" fillId="0" borderId="0" xfId="2" applyNumberFormat="1" applyFont="1" applyAlignment="1">
      <alignment horizontal="right"/>
    </xf>
    <xf numFmtId="40" fontId="3" fillId="0" borderId="0" xfId="2" applyNumberFormat="1" applyFont="1" applyAlignment="1">
      <alignment horizontal="center"/>
    </xf>
    <xf numFmtId="43" fontId="3" fillId="0" borderId="0" xfId="2" applyFont="1" applyAlignment="1">
      <alignment horizontal="center"/>
    </xf>
    <xf numFmtId="172" fontId="3" fillId="0" borderId="0" xfId="2" applyNumberFormat="1" applyFont="1" applyAlignment="1">
      <alignment horizontal="right"/>
    </xf>
    <xf numFmtId="169" fontId="3" fillId="0" borderId="0" xfId="2" applyNumberFormat="1" applyFont="1" applyBorder="1" applyAlignment="1">
      <alignment horizontal="center"/>
    </xf>
    <xf numFmtId="172" fontId="3" fillId="0" borderId="0" xfId="2" applyNumberFormat="1" applyFont="1" applyBorder="1" applyAlignment="1">
      <alignment horizontal="center"/>
    </xf>
    <xf numFmtId="179" fontId="3" fillId="0" borderId="0" xfId="2" applyNumberFormat="1" applyFont="1" applyAlignment="1">
      <alignment horizontal="right"/>
    </xf>
    <xf numFmtId="173" fontId="3" fillId="0" borderId="0" xfId="2" applyNumberFormat="1" applyFont="1" applyBorder="1" applyAlignment="1">
      <alignment horizontal="center"/>
    </xf>
    <xf numFmtId="172" fontId="3" fillId="0" borderId="0" xfId="0" applyNumberFormat="1" applyFont="1"/>
    <xf numFmtId="170" fontId="3" fillId="0" borderId="0" xfId="2" applyNumberFormat="1" applyFont="1" applyAlignment="1">
      <alignment horizontal="center"/>
    </xf>
    <xf numFmtId="172" fontId="3" fillId="0" borderId="0" xfId="2" applyNumberFormat="1" applyFont="1" applyAlignment="1">
      <alignment horizontal="center"/>
    </xf>
    <xf numFmtId="43" fontId="3" fillId="0" borderId="0" xfId="2" applyNumberFormat="1" applyFont="1" applyBorder="1" applyAlignment="1">
      <alignment horizontal="center"/>
    </xf>
    <xf numFmtId="0" fontId="4" fillId="0" borderId="0" xfId="0" applyFont="1" applyFill="1" applyBorder="1" applyAlignment="1">
      <alignment horizontal="center"/>
    </xf>
    <xf numFmtId="2" fontId="22" fillId="0" borderId="0" xfId="0" applyNumberFormat="1" applyFont="1" applyFill="1" applyAlignment="1">
      <alignment horizontal="center"/>
    </xf>
    <xf numFmtId="170" fontId="3" fillId="0" borderId="0" xfId="2" applyNumberFormat="1" applyFont="1" applyFill="1" applyBorder="1" applyAlignment="1">
      <alignment horizontal="center"/>
    </xf>
    <xf numFmtId="166" fontId="3" fillId="0" borderId="0" xfId="0" applyNumberFormat="1" applyFont="1" applyFill="1" applyAlignment="1">
      <alignment horizontal="center"/>
    </xf>
    <xf numFmtId="0" fontId="12" fillId="0" borderId="0" xfId="0" applyFont="1" applyAlignment="1"/>
    <xf numFmtId="0" fontId="3" fillId="0" borderId="0" xfId="0" applyFont="1" applyAlignment="1">
      <alignment horizontal="center"/>
    </xf>
    <xf numFmtId="2" fontId="3" fillId="0" borderId="0" xfId="0" applyNumberFormat="1" applyFont="1" applyFill="1" applyAlignment="1">
      <alignment horizontal="center"/>
    </xf>
    <xf numFmtId="43" fontId="3" fillId="0" borderId="0" xfId="0" applyNumberFormat="1" applyFont="1"/>
    <xf numFmtId="170" fontId="3" fillId="0" borderId="0" xfId="2" applyNumberFormat="1" applyFont="1" applyBorder="1" applyAlignment="1">
      <alignment horizontal="left"/>
    </xf>
    <xf numFmtId="38" fontId="3" fillId="0" borderId="0" xfId="2"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20" fillId="0" borderId="0" xfId="0" applyNumberFormat="1" applyFont="1" applyAlignment="1">
      <alignment horizontal="center"/>
    </xf>
    <xf numFmtId="0" fontId="22" fillId="0" borderId="0" xfId="0" applyFont="1" applyFill="1"/>
    <xf numFmtId="167" fontId="20" fillId="0" borderId="0" xfId="0" applyNumberFormat="1" applyFont="1" applyFill="1" applyBorder="1" applyAlignment="1">
      <alignment horizontal="left"/>
    </xf>
    <xf numFmtId="166" fontId="7"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2" applyNumberFormat="1" applyFont="1" applyFill="1" applyBorder="1"/>
    <xf numFmtId="165" fontId="3" fillId="0" borderId="0" xfId="0" applyNumberFormat="1" applyFont="1" applyFill="1" applyBorder="1"/>
    <xf numFmtId="0" fontId="13"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2" fillId="0" borderId="0" xfId="0" applyNumberFormat="1" applyFont="1" applyFill="1" applyBorder="1" applyAlignment="1">
      <alignment horizontal="center"/>
    </xf>
    <xf numFmtId="165" fontId="12" fillId="0" borderId="0" xfId="0" applyNumberFormat="1" applyFont="1" applyFill="1" applyBorder="1" applyAlignment="1">
      <alignment horizontal="center"/>
    </xf>
    <xf numFmtId="166" fontId="4" fillId="0" borderId="0" xfId="2" applyNumberFormat="1" applyFont="1" applyFill="1" applyAlignment="1">
      <alignment horizontal="center"/>
    </xf>
    <xf numFmtId="0" fontId="20" fillId="0" borderId="0" xfId="0" applyFont="1" applyFill="1"/>
    <xf numFmtId="170"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43" fontId="3" fillId="0" borderId="0" xfId="2" applyNumberFormat="1" applyFont="1" applyAlignment="1">
      <alignment horizontal="center"/>
    </xf>
    <xf numFmtId="174" fontId="0" fillId="0" borderId="0" xfId="0" applyNumberFormat="1"/>
    <xf numFmtId="38" fontId="3" fillId="5" borderId="0" xfId="2" applyNumberFormat="1" applyFont="1" applyFill="1" applyBorder="1" applyAlignment="1">
      <alignment horizontal="right"/>
    </xf>
    <xf numFmtId="0" fontId="20" fillId="0" borderId="0" xfId="0" applyFont="1" applyBorder="1" applyAlignment="1">
      <alignment horizontal="center"/>
    </xf>
    <xf numFmtId="38" fontId="3" fillId="5" borderId="0" xfId="2" applyNumberFormat="1" applyFont="1" applyFill="1" applyAlignment="1">
      <alignment horizontal="right"/>
    </xf>
    <xf numFmtId="170" fontId="7" fillId="0" borderId="0" xfId="2" applyNumberFormat="1" applyFont="1" applyFill="1"/>
    <xf numFmtId="170" fontId="3" fillId="0" borderId="0" xfId="2" applyNumberFormat="1" applyFont="1"/>
    <xf numFmtId="37" fontId="3" fillId="0" borderId="0" xfId="2" applyNumberFormat="1" applyFont="1" applyFill="1" applyAlignment="1">
      <alignment horizontal="center"/>
    </xf>
    <xf numFmtId="0" fontId="3" fillId="0" borderId="0" xfId="0" applyFont="1" applyBorder="1" applyAlignment="1">
      <alignment horizontal="right"/>
    </xf>
    <xf numFmtId="170" fontId="7" fillId="0" borderId="0" xfId="2" applyNumberFormat="1" applyFont="1" applyFill="1" applyBorder="1"/>
    <xf numFmtId="165" fontId="22" fillId="0" borderId="0" xfId="0" applyNumberFormat="1" applyFont="1" applyFill="1" applyBorder="1" applyAlignment="1">
      <alignment horizontal="center"/>
    </xf>
    <xf numFmtId="165"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0" fontId="3" fillId="0" borderId="0" xfId="2" applyNumberFormat="1" applyFont="1" applyFill="1" applyBorder="1" applyAlignment="1">
      <alignment horizontal="right"/>
    </xf>
    <xf numFmtId="169" fontId="3" fillId="0" borderId="0" xfId="2" applyNumberFormat="1" applyFont="1" applyFill="1" applyBorder="1" applyAlignment="1">
      <alignment horizontal="right"/>
    </xf>
    <xf numFmtId="165" fontId="20" fillId="0" borderId="0" xfId="0" applyNumberFormat="1" applyFont="1" applyFill="1" applyBorder="1" applyAlignment="1">
      <alignment horizontal="left"/>
    </xf>
    <xf numFmtId="175" fontId="20" fillId="0" borderId="0" xfId="0" applyNumberFormat="1" applyFont="1" applyFill="1" applyBorder="1" applyAlignment="1">
      <alignment horizontal="left"/>
    </xf>
    <xf numFmtId="165" fontId="32" fillId="0" borderId="0" xfId="0" applyNumberFormat="1" applyFont="1" applyFill="1" applyAlignment="1">
      <alignment horizontal="center"/>
    </xf>
    <xf numFmtId="165" fontId="32" fillId="0" borderId="0" xfId="0" applyNumberFormat="1" applyFont="1" applyAlignment="1">
      <alignment horizontal="center"/>
    </xf>
    <xf numFmtId="1" fontId="32" fillId="0" borderId="0" xfId="0" applyNumberFormat="1" applyFont="1" applyAlignment="1">
      <alignment horizontal="center"/>
    </xf>
    <xf numFmtId="3" fontId="32" fillId="0" borderId="0" xfId="0" applyNumberFormat="1" applyFont="1" applyAlignment="1">
      <alignment horizontal="center"/>
    </xf>
    <xf numFmtId="2" fontId="32" fillId="0" borderId="0" xfId="0" applyNumberFormat="1" applyFont="1" applyAlignment="1">
      <alignment horizontal="center"/>
    </xf>
    <xf numFmtId="2" fontId="32" fillId="0" borderId="0" xfId="0" applyNumberFormat="1" applyFont="1" applyFill="1" applyAlignment="1">
      <alignment horizontal="center"/>
    </xf>
    <xf numFmtId="0" fontId="32" fillId="0" borderId="0" xfId="0" applyFont="1"/>
    <xf numFmtId="1" fontId="32" fillId="0" borderId="0" xfId="0" applyNumberFormat="1" applyFont="1" applyFill="1" applyAlignment="1">
      <alignment horizontal="center"/>
    </xf>
    <xf numFmtId="1" fontId="7" fillId="0" borderId="0" xfId="0" applyNumberFormat="1" applyFont="1" applyBorder="1"/>
    <xf numFmtId="1" fontId="0" fillId="0" borderId="0" xfId="2" applyNumberFormat="1" applyFont="1" applyBorder="1" applyAlignment="1">
      <alignment horizontal="center"/>
    </xf>
    <xf numFmtId="165" fontId="18" fillId="0" borderId="0" xfId="0" applyNumberFormat="1" applyFont="1"/>
    <xf numFmtId="0" fontId="34"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Fill="1" applyBorder="1" applyAlignment="1">
      <alignment horizontal="left"/>
    </xf>
    <xf numFmtId="1" fontId="14" fillId="0" borderId="0" xfId="0" applyNumberFormat="1" applyFont="1" applyFill="1" applyAlignment="1">
      <alignment horizontal="center"/>
    </xf>
    <xf numFmtId="0" fontId="3" fillId="11" borderId="0" xfId="0" applyFont="1" applyFill="1" applyBorder="1" applyAlignment="1">
      <alignment horizontal="center"/>
    </xf>
    <xf numFmtId="2" fontId="3" fillId="11" borderId="0" xfId="0" applyNumberFormat="1" applyFont="1" applyFill="1" applyBorder="1" applyAlignment="1">
      <alignment horizontal="center"/>
    </xf>
    <xf numFmtId="1" fontId="3" fillId="11" borderId="0" xfId="0" applyNumberFormat="1" applyFont="1" applyFill="1" applyBorder="1" applyAlignment="1">
      <alignment horizontal="center"/>
    </xf>
    <xf numFmtId="2" fontId="3" fillId="11" borderId="0" xfId="3" applyNumberFormat="1" applyFont="1" applyFill="1" applyBorder="1" applyAlignment="1">
      <alignment horizontal="center"/>
    </xf>
    <xf numFmtId="165" fontId="22" fillId="0" borderId="0" xfId="0" applyNumberFormat="1" applyFont="1" applyFill="1" applyBorder="1" applyAlignment="1">
      <alignment horizontal="left"/>
    </xf>
    <xf numFmtId="0" fontId="39" fillId="0" borderId="0" xfId="0" applyFont="1" applyAlignment="1">
      <alignment horizontal="center" wrapText="1"/>
    </xf>
    <xf numFmtId="0" fontId="3" fillId="0" borderId="13" xfId="4" applyFont="1" applyBorder="1" applyAlignment="1">
      <alignment wrapText="1"/>
    </xf>
    <xf numFmtId="0" fontId="7" fillId="0" borderId="18" xfId="4" applyFont="1" applyBorder="1"/>
    <xf numFmtId="0" fontId="3" fillId="0" borderId="18" xfId="4" applyBorder="1"/>
    <xf numFmtId="0" fontId="0" fillId="0" borderId="18" xfId="0" applyBorder="1"/>
    <xf numFmtId="0" fontId="3" fillId="0" borderId="18" xfId="0" applyFont="1" applyBorder="1" applyAlignment="1">
      <alignment vertical="center" wrapText="1"/>
    </xf>
    <xf numFmtId="0" fontId="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3" fillId="0" borderId="22" xfId="0" applyFont="1" applyBorder="1"/>
    <xf numFmtId="0" fontId="0" fillId="0" borderId="24" xfId="0" applyBorder="1"/>
    <xf numFmtId="0" fontId="0" fillId="0" borderId="25" xfId="0" applyBorder="1"/>
    <xf numFmtId="0" fontId="0" fillId="0" borderId="26" xfId="0" applyBorder="1"/>
    <xf numFmtId="0" fontId="3" fillId="0" borderId="28" xfId="0" applyFont="1" applyBorder="1"/>
    <xf numFmtId="2" fontId="3" fillId="0" borderId="17" xfId="0" applyNumberFormat="1" applyFont="1" applyBorder="1"/>
    <xf numFmtId="0" fontId="3" fillId="0" borderId="17" xfId="0" applyFont="1" applyBorder="1"/>
    <xf numFmtId="0" fontId="18" fillId="0" borderId="29" xfId="0" applyFont="1" applyBorder="1"/>
    <xf numFmtId="0" fontId="18" fillId="0" borderId="20" xfId="0" applyFont="1" applyBorder="1"/>
    <xf numFmtId="0" fontId="18" fillId="0" borderId="30" xfId="0" applyFont="1" applyBorder="1"/>
    <xf numFmtId="0" fontId="4" fillId="0" borderId="27" xfId="0" applyFont="1" applyBorder="1" applyAlignment="1">
      <alignment vertical="center" wrapText="1"/>
    </xf>
    <xf numFmtId="0" fontId="4" fillId="0" borderId="19" xfId="0" applyFont="1" applyBorder="1" applyAlignment="1">
      <alignment vertical="center" wrapText="1"/>
    </xf>
    <xf numFmtId="0" fontId="3" fillId="0" borderId="18" xfId="0" applyFont="1" applyFill="1" applyBorder="1"/>
    <xf numFmtId="11" fontId="0" fillId="0" borderId="18" xfId="0" applyNumberFormat="1" applyFill="1" applyBorder="1"/>
    <xf numFmtId="0" fontId="0" fillId="0" borderId="18" xfId="0" applyFill="1" applyBorder="1"/>
    <xf numFmtId="0" fontId="3" fillId="0" borderId="17" xfId="0" applyFont="1" applyBorder="1" applyAlignment="1">
      <alignment horizontal="center"/>
    </xf>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0" fontId="7" fillId="0" borderId="30" xfId="0" applyFont="1" applyBorder="1"/>
    <xf numFmtId="0" fontId="3" fillId="0" borderId="33" xfId="0" applyFont="1" applyBorder="1" applyAlignment="1">
      <alignment vertical="center" wrapText="1"/>
    </xf>
    <xf numFmtId="0" fontId="3" fillId="0" borderId="20" xfId="0" applyFont="1" applyBorder="1" applyAlignment="1">
      <alignment vertical="center" wrapText="1"/>
    </xf>
    <xf numFmtId="0" fontId="0" fillId="0" borderId="20" xfId="0" applyBorder="1"/>
    <xf numFmtId="0" fontId="0" fillId="0" borderId="30" xfId="0" applyBorder="1"/>
    <xf numFmtId="0" fontId="3" fillId="0" borderId="17" xfId="0" applyFont="1" applyBorder="1" applyAlignment="1">
      <alignment vertical="center" wrapText="1"/>
    </xf>
    <xf numFmtId="0" fontId="0" fillId="0" borderId="17" xfId="0" applyBorder="1"/>
    <xf numFmtId="0" fontId="0" fillId="0" borderId="34" xfId="0" applyBorder="1"/>
    <xf numFmtId="0" fontId="4" fillId="0" borderId="35" xfId="0" applyFont="1" applyBorder="1" applyAlignment="1">
      <alignment vertical="center" wrapText="1"/>
    </xf>
    <xf numFmtId="0" fontId="4" fillId="0" borderId="36" xfId="0" applyFont="1" applyBorder="1" applyAlignment="1">
      <alignment vertical="center" wrapText="1"/>
    </xf>
    <xf numFmtId="0" fontId="4" fillId="0" borderId="36" xfId="0" applyFont="1" applyBorder="1"/>
    <xf numFmtId="0" fontId="4" fillId="0" borderId="25" xfId="0" applyFont="1" applyBorder="1"/>
    <xf numFmtId="0" fontId="4" fillId="0" borderId="26" xfId="0" applyFont="1" applyBorder="1"/>
    <xf numFmtId="0" fontId="7" fillId="0" borderId="39" xfId="0" applyFont="1" applyBorder="1"/>
    <xf numFmtId="0" fontId="7" fillId="0" borderId="16" xfId="0" applyFont="1" applyBorder="1"/>
    <xf numFmtId="1" fontId="20" fillId="4" borderId="0" xfId="0" applyNumberFormat="1" applyFont="1" applyFill="1" applyAlignment="1">
      <alignment horizontal="center"/>
    </xf>
    <xf numFmtId="0" fontId="7" fillId="0" borderId="37" xfId="0" applyFont="1" applyBorder="1" applyAlignment="1">
      <alignment horizontal="center" vertical="center"/>
    </xf>
    <xf numFmtId="0" fontId="18" fillId="0" borderId="2" xfId="0" applyFont="1" applyBorder="1" applyAlignment="1">
      <alignment horizontal="center" wrapText="1"/>
    </xf>
    <xf numFmtId="0" fontId="18" fillId="0" borderId="3" xfId="0" applyFont="1" applyBorder="1" applyAlignment="1">
      <alignment horizontal="center" wrapText="1"/>
    </xf>
    <xf numFmtId="2" fontId="40" fillId="4" borderId="18" xfId="0" applyNumberFormat="1" applyFont="1" applyFill="1" applyBorder="1" applyAlignment="1">
      <alignment horizontal="center"/>
    </xf>
    <xf numFmtId="0" fontId="10" fillId="0" borderId="0" xfId="0" applyFont="1" applyAlignment="1">
      <alignment wrapText="1"/>
    </xf>
    <xf numFmtId="0" fontId="10" fillId="0" borderId="0" xfId="0" applyFont="1" applyAlignment="1"/>
    <xf numFmtId="0" fontId="17" fillId="0" borderId="0" xfId="0" applyFont="1" applyBorder="1" applyAlignment="1">
      <alignment vertical="center"/>
    </xf>
    <xf numFmtId="0" fontId="10" fillId="0" borderId="7" xfId="0" applyFont="1" applyBorder="1"/>
    <xf numFmtId="0" fontId="10" fillId="0" borderId="0" xfId="0" applyFont="1" applyBorder="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0" xfId="0" applyFont="1" applyBorder="1"/>
    <xf numFmtId="0" fontId="10" fillId="0" borderId="3" xfId="0" applyFont="1" applyBorder="1"/>
    <xf numFmtId="0" fontId="10" fillId="0" borderId="0" xfId="0" applyFont="1" applyBorder="1" applyAlignment="1">
      <alignment vertical="center" wrapText="1"/>
    </xf>
    <xf numFmtId="0" fontId="36" fillId="0" borderId="8" xfId="0" applyFont="1" applyBorder="1" applyAlignment="1">
      <alignment vertical="center"/>
    </xf>
    <xf numFmtId="0" fontId="10" fillId="0" borderId="6" xfId="0" applyFont="1" applyBorder="1"/>
    <xf numFmtId="0" fontId="10" fillId="0" borderId="4" xfId="0" applyFont="1" applyBorder="1"/>
    <xf numFmtId="0" fontId="47"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0" xfId="0" applyFont="1" applyBorder="1" applyAlignment="1">
      <alignment wrapText="1"/>
    </xf>
    <xf numFmtId="0" fontId="10" fillId="0" borderId="0" xfId="0" applyFont="1" applyBorder="1" applyAlignment="1">
      <alignment horizontal="center"/>
    </xf>
    <xf numFmtId="0" fontId="10" fillId="0" borderId="0" xfId="0" applyFont="1" applyFill="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6" fillId="0" borderId="0" xfId="0" applyFont="1" applyFill="1" applyBorder="1" applyAlignment="1">
      <alignment horizontal="center"/>
    </xf>
    <xf numFmtId="0" fontId="46" fillId="0" borderId="0" xfId="0" applyFont="1" applyFill="1" applyBorder="1" applyAlignment="1">
      <alignment horizontal="left"/>
    </xf>
    <xf numFmtId="0" fontId="46" fillId="0" borderId="0" xfId="0" applyFont="1"/>
    <xf numFmtId="0" fontId="23" fillId="5" borderId="15" xfId="0" applyFont="1" applyFill="1" applyBorder="1" applyAlignment="1"/>
    <xf numFmtId="0" fontId="23" fillId="5" borderId="14" xfId="0" applyFont="1" applyFill="1" applyBorder="1" applyAlignment="1"/>
    <xf numFmtId="0" fontId="46" fillId="3" borderId="41" xfId="0" applyFont="1" applyFill="1" applyBorder="1"/>
    <xf numFmtId="0" fontId="4" fillId="0" borderId="13" xfId="0" applyFont="1" applyBorder="1"/>
    <xf numFmtId="0" fontId="51" fillId="0" borderId="0" xfId="0" applyFont="1"/>
    <xf numFmtId="168" fontId="32" fillId="0" borderId="0" xfId="0" applyNumberFormat="1" applyFont="1" applyAlignment="1">
      <alignment horizontal="center"/>
    </xf>
    <xf numFmtId="0" fontId="38" fillId="0" borderId="0" xfId="0" applyFont="1"/>
    <xf numFmtId="8" fontId="3" fillId="0" borderId="0" xfId="0" applyNumberFormat="1" applyFont="1"/>
    <xf numFmtId="3" fontId="3" fillId="0" borderId="0" xfId="0" applyNumberFormat="1" applyFont="1"/>
    <xf numFmtId="0" fontId="0" fillId="0" borderId="8" xfId="0" applyBorder="1"/>
    <xf numFmtId="0" fontId="0" fillId="0" borderId="9" xfId="0" applyBorder="1"/>
    <xf numFmtId="0" fontId="47" fillId="0" borderId="9" xfId="0" applyFont="1" applyBorder="1"/>
    <xf numFmtId="0" fontId="10" fillId="0" borderId="0" xfId="0" applyFont="1" applyFill="1" applyBorder="1"/>
    <xf numFmtId="0" fontId="10" fillId="0" borderId="9" xfId="0" applyFont="1" applyFill="1" applyBorder="1"/>
    <xf numFmtId="0" fontId="50" fillId="0" borderId="0" xfId="0" applyFont="1" applyBorder="1" applyAlignment="1">
      <alignment vertical="center"/>
    </xf>
    <xf numFmtId="3" fontId="46" fillId="0" borderId="0" xfId="2" applyNumberFormat="1" applyFont="1" applyFill="1" applyBorder="1" applyAlignment="1">
      <alignment horizontal="center" vertical="center"/>
    </xf>
    <xf numFmtId="0" fontId="46" fillId="18" borderId="2" xfId="0" applyFont="1" applyFill="1" applyBorder="1"/>
    <xf numFmtId="0" fontId="10" fillId="18" borderId="7" xfId="0" applyFont="1" applyFill="1" applyBorder="1"/>
    <xf numFmtId="0" fontId="46" fillId="19" borderId="3" xfId="0" applyFont="1" applyFill="1" applyBorder="1"/>
    <xf numFmtId="0" fontId="10" fillId="19" borderId="4" xfId="0" applyFont="1" applyFill="1" applyBorder="1"/>
    <xf numFmtId="0" fontId="48" fillId="0" borderId="0" xfId="0" applyFont="1" applyBorder="1"/>
    <xf numFmtId="4" fontId="46" fillId="0" borderId="0" xfId="0" applyNumberFormat="1" applyFont="1"/>
    <xf numFmtId="0" fontId="0" fillId="0" borderId="7" xfId="0" applyBorder="1"/>
    <xf numFmtId="2" fontId="40" fillId="4" borderId="22" xfId="0" applyNumberFormat="1" applyFont="1" applyFill="1" applyBorder="1" applyAlignment="1">
      <alignment horizontal="center"/>
    </xf>
    <xf numFmtId="0" fontId="0" fillId="0" borderId="6" xfId="0" applyBorder="1"/>
    <xf numFmtId="0" fontId="0" fillId="0" borderId="4" xfId="0" applyBorder="1"/>
    <xf numFmtId="43" fontId="3" fillId="0" borderId="0" xfId="0" applyNumberFormat="1" applyFont="1" applyBorder="1" applyAlignment="1"/>
    <xf numFmtId="43" fontId="3" fillId="0" borderId="1" xfId="0" applyNumberFormat="1" applyFont="1" applyBorder="1" applyAlignment="1"/>
    <xf numFmtId="0" fontId="7" fillId="0" borderId="0" xfId="0" applyFont="1" applyAlignment="1">
      <alignment horizontal="right"/>
    </xf>
    <xf numFmtId="183" fontId="3" fillId="0" borderId="0" xfId="0" applyNumberFormat="1" applyFont="1" applyFill="1" applyAlignment="1">
      <alignment horizontal="right"/>
    </xf>
    <xf numFmtId="183" fontId="3" fillId="0" borderId="0" xfId="0" applyNumberFormat="1" applyFont="1" applyFill="1" applyBorder="1" applyAlignment="1">
      <alignment horizontal="right"/>
    </xf>
    <xf numFmtId="0" fontId="21" fillId="0" borderId="0" xfId="0" applyFont="1" applyBorder="1"/>
    <xf numFmtId="0" fontId="3" fillId="0" borderId="0" xfId="0" applyFont="1"/>
    <xf numFmtId="0" fontId="42" fillId="0" borderId="0" xfId="0" applyFont="1"/>
    <xf numFmtId="40" fontId="3" fillId="0" borderId="0" xfId="0" applyNumberFormat="1" applyFont="1"/>
    <xf numFmtId="1" fontId="10" fillId="0" borderId="42" xfId="2" applyNumberFormat="1" applyFont="1" applyFill="1" applyBorder="1" applyAlignment="1">
      <alignment horizontal="center" vertical="center"/>
    </xf>
    <xf numFmtId="0" fontId="4" fillId="0" borderId="51" xfId="0" applyFont="1" applyFill="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6"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2" fillId="0" borderId="0" xfId="4" applyFont="1"/>
    <xf numFmtId="0" fontId="43" fillId="0" borderId="16" xfId="4" applyFont="1" applyBorder="1" applyAlignment="1"/>
    <xf numFmtId="0" fontId="43" fillId="5" borderId="16" xfId="4" applyFont="1" applyFill="1" applyBorder="1" applyAlignment="1">
      <alignment horizontal="center" vertical="center"/>
    </xf>
    <xf numFmtId="0" fontId="43" fillId="0" borderId="14" xfId="4" applyFont="1" applyFill="1" applyBorder="1" applyAlignment="1">
      <alignment horizontal="center"/>
    </xf>
    <xf numFmtId="0" fontId="43" fillId="11" borderId="16" xfId="4" applyFont="1" applyFill="1" applyBorder="1" applyAlignment="1">
      <alignment horizontal="center" vertical="center"/>
    </xf>
    <xf numFmtId="0" fontId="43" fillId="0" borderId="0" xfId="4" applyFont="1" applyBorder="1" applyAlignment="1">
      <alignment horizontal="center"/>
    </xf>
    <xf numFmtId="0" fontId="43" fillId="0" borderId="13" xfId="4" applyFont="1" applyBorder="1" applyAlignment="1">
      <alignment horizontal="left"/>
    </xf>
    <xf numFmtId="0" fontId="43" fillId="5" borderId="13" xfId="4" applyFont="1" applyFill="1" applyBorder="1" applyAlignment="1"/>
    <xf numFmtId="0" fontId="43" fillId="5" borderId="15" xfId="4" applyFont="1" applyFill="1" applyBorder="1" applyAlignment="1"/>
    <xf numFmtId="0" fontId="43" fillId="5" borderId="14" xfId="4" applyFont="1" applyFill="1" applyBorder="1" applyAlignment="1"/>
    <xf numFmtId="0" fontId="43" fillId="0" borderId="0" xfId="4" applyFont="1" applyBorder="1" applyAlignment="1"/>
    <xf numFmtId="0" fontId="43" fillId="0" borderId="16" xfId="4" applyFont="1" applyBorder="1" applyAlignment="1">
      <alignment horizontal="left"/>
    </xf>
    <xf numFmtId="0" fontId="43" fillId="0" borderId="16" xfId="4" applyFont="1" applyBorder="1" applyAlignment="1">
      <alignment vertical="center"/>
    </xf>
    <xf numFmtId="0" fontId="43" fillId="0" borderId="0" xfId="4" applyFont="1" applyBorder="1" applyAlignment="1">
      <alignment horizontal="center" vertical="center" wrapText="1"/>
    </xf>
    <xf numFmtId="0" fontId="18" fillId="0" borderId="0" xfId="4" applyFont="1" applyAlignment="1">
      <alignment horizontal="center"/>
    </xf>
    <xf numFmtId="0" fontId="18" fillId="0" borderId="0" xfId="4" applyFont="1" applyBorder="1"/>
    <xf numFmtId="0" fontId="52" fillId="0" borderId="0" xfId="4" applyFont="1"/>
    <xf numFmtId="0" fontId="42" fillId="0" borderId="8" xfId="4" applyFont="1" applyBorder="1"/>
    <xf numFmtId="0" fontId="42" fillId="0" borderId="0" xfId="4" applyFont="1" applyBorder="1"/>
    <xf numFmtId="0" fontId="42" fillId="0" borderId="9" xfId="4" applyFont="1" applyBorder="1"/>
    <xf numFmtId="0" fontId="21" fillId="0" borderId="9" xfId="4" applyFont="1" applyBorder="1" applyAlignment="1">
      <alignment horizontal="left"/>
    </xf>
    <xf numFmtId="0" fontId="42" fillId="0" borderId="0" xfId="4" applyFont="1" applyBorder="1" applyAlignment="1">
      <alignment horizontal="left"/>
    </xf>
    <xf numFmtId="0" fontId="42" fillId="0" borderId="5" xfId="4" applyFont="1" applyBorder="1"/>
    <xf numFmtId="0" fontId="42" fillId="0" borderId="7" xfId="4" applyFont="1" applyBorder="1"/>
    <xf numFmtId="2" fontId="42" fillId="0" borderId="0" xfId="0" applyNumberFormat="1" applyFont="1" applyFill="1" applyBorder="1" applyAlignment="1">
      <alignment horizontal="center"/>
    </xf>
    <xf numFmtId="0" fontId="42" fillId="0" borderId="9" xfId="4" applyFont="1" applyBorder="1" applyAlignment="1">
      <alignment horizontal="left"/>
    </xf>
    <xf numFmtId="0" fontId="42" fillId="0" borderId="8" xfId="4" applyFont="1" applyBorder="1" applyAlignment="1">
      <alignment horizontal="left"/>
    </xf>
    <xf numFmtId="0" fontId="42" fillId="0" borderId="0" xfId="0" applyFont="1" applyFill="1" applyBorder="1" applyAlignment="1">
      <alignment horizontal="center"/>
    </xf>
    <xf numFmtId="0" fontId="45" fillId="0" borderId="8" xfId="4" applyFont="1" applyBorder="1" applyAlignment="1">
      <alignment horizontal="center"/>
    </xf>
    <xf numFmtId="0" fontId="45" fillId="0" borderId="0" xfId="0" applyFont="1" applyBorder="1" applyAlignment="1">
      <alignment horizontal="right"/>
    </xf>
    <xf numFmtId="0" fontId="42" fillId="0" borderId="6" xfId="4" applyFont="1" applyBorder="1" applyAlignment="1">
      <alignment horizontal="left"/>
    </xf>
    <xf numFmtId="2" fontId="28" fillId="0" borderId="9" xfId="4" applyNumberFormat="1" applyFont="1" applyBorder="1" applyAlignment="1">
      <alignment horizontal="center"/>
    </xf>
    <xf numFmtId="2" fontId="42" fillId="0" borderId="8" xfId="4" applyNumberFormat="1" applyFont="1" applyBorder="1" applyAlignment="1">
      <alignment horizontal="left"/>
    </xf>
    <xf numFmtId="2" fontId="53" fillId="0" borderId="9" xfId="4" applyNumberFormat="1" applyFont="1" applyBorder="1" applyAlignment="1">
      <alignment horizontal="center"/>
    </xf>
    <xf numFmtId="2" fontId="53" fillId="0" borderId="0" xfId="4" applyNumberFormat="1" applyFont="1" applyBorder="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2" fillId="0" borderId="0" xfId="3" applyNumberFormat="1" applyFont="1" applyFill="1" applyBorder="1" applyAlignment="1">
      <alignment horizontal="center"/>
    </xf>
    <xf numFmtId="1" fontId="42" fillId="0" borderId="9" xfId="3" applyNumberFormat="1" applyFont="1" applyBorder="1" applyAlignment="1">
      <alignment horizontal="right"/>
    </xf>
    <xf numFmtId="1" fontId="42" fillId="0" borderId="0" xfId="3" applyNumberFormat="1" applyFont="1" applyBorder="1" applyAlignment="1">
      <alignment horizontal="right"/>
    </xf>
    <xf numFmtId="0" fontId="42" fillId="0" borderId="0" xfId="0" applyFont="1" applyFill="1" applyBorder="1"/>
    <xf numFmtId="0" fontId="21" fillId="0" borderId="9" xfId="4" applyFont="1" applyBorder="1"/>
    <xf numFmtId="0" fontId="42" fillId="0" borderId="8" xfId="4" applyFont="1" applyFill="1" applyBorder="1" applyAlignment="1">
      <alignment horizontal="left"/>
    </xf>
    <xf numFmtId="3" fontId="42" fillId="0" borderId="0" xfId="0" applyNumberFormat="1" applyFont="1" applyFill="1" applyBorder="1" applyAlignment="1">
      <alignment horizontal="center"/>
    </xf>
    <xf numFmtId="0" fontId="42" fillId="0" borderId="0" xfId="4" applyFont="1" applyBorder="1" applyAlignment="1">
      <alignment horizontal="center"/>
    </xf>
    <xf numFmtId="0" fontId="18" fillId="0" borderId="9" xfId="4" applyFont="1" applyBorder="1"/>
    <xf numFmtId="0" fontId="43" fillId="0" borderId="8" xfId="4" applyFont="1" applyBorder="1" applyAlignment="1">
      <alignment horizontal="left"/>
    </xf>
    <xf numFmtId="0" fontId="43" fillId="0" borderId="9" xfId="4" applyFont="1" applyBorder="1"/>
    <xf numFmtId="0" fontId="43" fillId="0" borderId="0" xfId="4" applyFont="1" applyBorder="1"/>
    <xf numFmtId="1" fontId="42" fillId="0" borderId="0" xfId="0" applyNumberFormat="1" applyFont="1" applyFill="1" applyBorder="1" applyAlignment="1">
      <alignment horizontal="center"/>
    </xf>
    <xf numFmtId="1" fontId="42" fillId="0" borderId="0" xfId="3" applyNumberFormat="1" applyFont="1" applyBorder="1" applyAlignment="1">
      <alignment horizontal="center"/>
    </xf>
    <xf numFmtId="0" fontId="43" fillId="0" borderId="8" xfId="4" applyFont="1" applyFill="1" applyBorder="1" applyAlignment="1">
      <alignment horizontal="left"/>
    </xf>
    <xf numFmtId="0" fontId="43" fillId="0" borderId="8" xfId="4" applyFont="1" applyBorder="1"/>
    <xf numFmtId="0" fontId="21" fillId="0" borderId="9" xfId="4" applyFont="1" applyBorder="1" applyAlignment="1">
      <alignment horizontal="center"/>
    </xf>
    <xf numFmtId="167" fontId="42" fillId="0" borderId="0" xfId="0" applyNumberFormat="1" applyFont="1" applyFill="1" applyBorder="1" applyAlignment="1">
      <alignment horizontal="center"/>
    </xf>
    <xf numFmtId="0" fontId="42" fillId="0" borderId="9" xfId="4" applyFont="1" applyBorder="1" applyAlignment="1">
      <alignment horizontal="center"/>
    </xf>
    <xf numFmtId="0" fontId="42" fillId="0" borderId="0" xfId="0" applyFont="1" applyBorder="1" applyAlignment="1">
      <alignment horizontal="center"/>
    </xf>
    <xf numFmtId="0" fontId="42" fillId="0" borderId="9" xfId="4" applyFont="1" applyFill="1" applyBorder="1"/>
    <xf numFmtId="0" fontId="42" fillId="0" borderId="0" xfId="4" applyFont="1" applyFill="1" applyBorder="1"/>
    <xf numFmtId="0" fontId="42" fillId="0" borderId="8" xfId="0" applyFont="1" applyBorder="1"/>
    <xf numFmtId="0" fontId="42" fillId="0" borderId="0" xfId="0" applyFont="1" applyBorder="1"/>
    <xf numFmtId="0" fontId="21" fillId="0" borderId="9" xfId="4" applyFont="1" applyFill="1" applyBorder="1"/>
    <xf numFmtId="0" fontId="42" fillId="0" borderId="0" xfId="4" applyFont="1" applyBorder="1" applyAlignment="1"/>
    <xf numFmtId="1" fontId="55" fillId="0" borderId="9" xfId="4" applyNumberFormat="1" applyFont="1" applyFill="1" applyBorder="1" applyAlignment="1">
      <alignment horizontal="right"/>
    </xf>
    <xf numFmtId="1" fontId="56" fillId="0" borderId="9" xfId="4" applyNumberFormat="1" applyFont="1" applyFill="1" applyBorder="1" applyAlignment="1">
      <alignment horizontal="right"/>
    </xf>
    <xf numFmtId="2" fontId="42" fillId="0" borderId="0" xfId="0" applyNumberFormat="1" applyFont="1" applyFill="1" applyBorder="1"/>
    <xf numFmtId="0" fontId="21" fillId="0" borderId="9" xfId="4" applyFont="1" applyFill="1" applyBorder="1" applyAlignment="1">
      <alignment horizontal="right"/>
    </xf>
    <xf numFmtId="0" fontId="42" fillId="0" borderId="9" xfId="4" applyFont="1" applyFill="1" applyBorder="1" applyAlignment="1">
      <alignment horizontal="right"/>
    </xf>
    <xf numFmtId="2" fontId="55" fillId="0" borderId="9" xfId="4" applyNumberFormat="1" applyFont="1" applyFill="1" applyBorder="1" applyAlignment="1">
      <alignment horizontal="right"/>
    </xf>
    <xf numFmtId="2" fontId="56" fillId="0" borderId="9" xfId="4" applyNumberFormat="1" applyFont="1" applyFill="1" applyBorder="1" applyAlignment="1">
      <alignment horizontal="right"/>
    </xf>
    <xf numFmtId="2" fontId="21" fillId="0" borderId="9" xfId="4" applyNumberFormat="1" applyFont="1" applyFill="1" applyBorder="1" applyAlignment="1">
      <alignment horizontal="right"/>
    </xf>
    <xf numFmtId="2" fontId="42" fillId="0" borderId="9" xfId="4" applyNumberFormat="1" applyFont="1" applyFill="1" applyBorder="1" applyAlignment="1">
      <alignment horizontal="right"/>
    </xf>
    <xf numFmtId="0" fontId="21" fillId="0" borderId="8" xfId="0" applyFont="1" applyBorder="1"/>
    <xf numFmtId="0" fontId="21" fillId="0" borderId="4" xfId="4" applyFont="1" applyBorder="1"/>
    <xf numFmtId="0" fontId="42" fillId="0" borderId="6" xfId="4" applyFont="1" applyBorder="1"/>
    <xf numFmtId="0" fontId="42" fillId="0" borderId="3" xfId="4" applyFont="1" applyBorder="1"/>
    <xf numFmtId="0" fontId="42" fillId="0" borderId="4" xfId="4" applyFont="1" applyBorder="1"/>
    <xf numFmtId="0" fontId="4" fillId="0" borderId="0" xfId="0" applyFont="1" applyAlignment="1">
      <alignment horizontal="center"/>
    </xf>
    <xf numFmtId="0" fontId="3" fillId="11" borderId="0" xfId="0" applyFont="1" applyFill="1" applyAlignment="1">
      <alignment horizontal="center"/>
    </xf>
    <xf numFmtId="0" fontId="3" fillId="0" borderId="0" xfId="0" applyFont="1" applyAlignment="1">
      <alignment horizontal="right"/>
    </xf>
    <xf numFmtId="43" fontId="3" fillId="0" borderId="0" xfId="2" applyFont="1" applyFill="1" applyBorder="1" applyAlignment="1">
      <alignment horizontal="center"/>
    </xf>
    <xf numFmtId="43" fontId="3" fillId="0" borderId="0" xfId="0" applyNumberFormat="1" applyFont="1" applyFill="1" applyBorder="1"/>
    <xf numFmtId="1" fontId="3" fillId="0" borderId="0" xfId="3" applyNumberFormat="1" applyFont="1" applyAlignment="1">
      <alignment horizontal="right"/>
    </xf>
    <xf numFmtId="1" fontId="3" fillId="11" borderId="0" xfId="3" applyNumberFormat="1" applyFont="1" applyFill="1" applyAlignment="1">
      <alignment horizontal="center"/>
    </xf>
    <xf numFmtId="43" fontId="3" fillId="0" borderId="1" xfId="0" applyNumberFormat="1" applyFont="1" applyBorder="1"/>
    <xf numFmtId="43" fontId="3" fillId="0" borderId="0" xfId="2" applyFont="1"/>
    <xf numFmtId="43" fontId="3" fillId="0" borderId="0" xfId="2" applyFont="1" applyFill="1" applyBorder="1"/>
    <xf numFmtId="170" fontId="3" fillId="0" borderId="0" xfId="2" applyNumberFormat="1" applyFont="1" applyFill="1"/>
    <xf numFmtId="1" fontId="3" fillId="0" borderId="0" xfId="0" applyNumberFormat="1" applyFont="1"/>
    <xf numFmtId="2" fontId="3" fillId="0" borderId="0" xfId="0" applyNumberFormat="1" applyFont="1"/>
    <xf numFmtId="165"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11" borderId="0" xfId="0" applyNumberFormat="1" applyFont="1" applyFill="1" applyAlignment="1">
      <alignment horizontal="center"/>
    </xf>
    <xf numFmtId="1" fontId="3" fillId="5" borderId="0" xfId="0" applyNumberFormat="1" applyFont="1" applyFill="1" applyAlignment="1">
      <alignment horizontal="center"/>
    </xf>
    <xf numFmtId="166" fontId="3" fillId="0" borderId="0" xfId="2"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5" borderId="0" xfId="0" applyNumberFormat="1" applyFont="1" applyFill="1" applyAlignment="1">
      <alignment horizontal="center"/>
    </xf>
    <xf numFmtId="176" fontId="3" fillId="0" borderId="0" xfId="0" applyNumberFormat="1" applyFont="1" applyFill="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3" fontId="3" fillId="0" borderId="0" xfId="0" applyNumberFormat="1" applyFont="1" applyAlignment="1">
      <alignment horizontal="right"/>
    </xf>
    <xf numFmtId="165" fontId="3" fillId="0" borderId="0" xfId="0" applyNumberFormat="1" applyFont="1" applyBorder="1"/>
    <xf numFmtId="166" fontId="3" fillId="0" borderId="0" xfId="0" applyNumberFormat="1" applyFont="1" applyBorder="1"/>
    <xf numFmtId="0" fontId="3" fillId="0" borderId="0" xfId="0" applyFont="1" applyFill="1" applyAlignment="1">
      <alignment vertical="center"/>
    </xf>
    <xf numFmtId="0" fontId="21" fillId="0" borderId="0" xfId="0" applyFont="1" applyFill="1"/>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Border="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0" fontId="22" fillId="0" borderId="0" xfId="0" applyNumberFormat="1"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0" fontId="3" fillId="0" borderId="0" xfId="0" applyFont="1" applyFill="1" applyBorder="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0" fontId="3" fillId="0" borderId="0" xfId="0" applyFont="1" applyFill="1" applyAlignment="1">
      <alignment horizontal="left" vertical="center"/>
    </xf>
    <xf numFmtId="170" fontId="3" fillId="0" borderId="0" xfId="0" applyNumberFormat="1" applyFont="1" applyAlignment="1">
      <alignment horizontal="center"/>
    </xf>
    <xf numFmtId="37" fontId="3" fillId="5" borderId="0" xfId="0" applyNumberFormat="1" applyFont="1" applyFill="1" applyAlignment="1">
      <alignment horizontal="right"/>
    </xf>
    <xf numFmtId="182"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NumberFormat="1" applyFont="1" applyFill="1" applyBorder="1" applyAlignment="1">
      <alignment horizontal="center" vertical="center" wrapText="1"/>
    </xf>
    <xf numFmtId="0" fontId="21" fillId="10" borderId="18" xfId="0" applyFont="1" applyFill="1" applyBorder="1" applyAlignment="1">
      <alignment horizontal="left" vertical="center" wrapText="1"/>
    </xf>
    <xf numFmtId="169" fontId="3" fillId="0" borderId="0" xfId="0" applyNumberFormat="1" applyFont="1" applyFill="1" applyBorder="1" applyAlignment="1"/>
    <xf numFmtId="0" fontId="10" fillId="0" borderId="18" xfId="0" applyFont="1" applyBorder="1"/>
    <xf numFmtId="1" fontId="49" fillId="0" borderId="0" xfId="0" applyNumberFormat="1" applyFont="1" applyFill="1" applyAlignment="1">
      <alignment horizontal="left"/>
    </xf>
    <xf numFmtId="2" fontId="3" fillId="0" borderId="0" xfId="0" applyNumberFormat="1" applyFont="1" applyFill="1" applyBorder="1" applyAlignment="1">
      <alignment horizontal="left"/>
    </xf>
    <xf numFmtId="170" fontId="11" fillId="0" borderId="0" xfId="0" applyNumberFormat="1" applyFont="1"/>
    <xf numFmtId="184" fontId="3" fillId="0" borderId="0" xfId="2" applyNumberFormat="1" applyFont="1" applyBorder="1" applyAlignment="1">
      <alignment horizontal="center"/>
    </xf>
    <xf numFmtId="43" fontId="3" fillId="0" borderId="0" xfId="2" applyFont="1" applyFill="1" applyAlignment="1"/>
    <xf numFmtId="2" fontId="3" fillId="5" borderId="0" xfId="0" applyNumberFormat="1" applyFont="1" applyFill="1" applyAlignment="1">
      <alignment horizontal="center"/>
    </xf>
    <xf numFmtId="167" fontId="3" fillId="0" borderId="0" xfId="0" applyNumberFormat="1" applyFont="1" applyFill="1" applyAlignment="1">
      <alignment horizontal="center"/>
    </xf>
    <xf numFmtId="0" fontId="32" fillId="0" borderId="0" xfId="0" applyFont="1" applyFill="1" applyAlignment="1">
      <alignment horizontal="center"/>
    </xf>
    <xf numFmtId="167" fontId="3" fillId="0" borderId="0" xfId="0" applyNumberFormat="1" applyFont="1" applyFill="1" applyAlignment="1">
      <alignment horizontal="right"/>
    </xf>
    <xf numFmtId="185" fontId="3" fillId="0" borderId="0" xfId="0" applyNumberFormat="1" applyFont="1" applyFill="1" applyAlignment="1">
      <alignment horizontal="center"/>
    </xf>
    <xf numFmtId="185" fontId="3" fillId="0" borderId="0" xfId="0" applyNumberFormat="1" applyFont="1"/>
    <xf numFmtId="2" fontId="7" fillId="0" borderId="0" xfId="0" applyNumberFormat="1" applyFont="1" applyFill="1" applyBorder="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2" fillId="5" borderId="0" xfId="0" applyNumberFormat="1" applyFont="1" applyFill="1" applyAlignment="1">
      <alignment horizontal="center"/>
    </xf>
    <xf numFmtId="0" fontId="7" fillId="0" borderId="0" xfId="0" applyFont="1" applyFill="1"/>
    <xf numFmtId="0" fontId="18" fillId="0" borderId="0" xfId="0" applyFont="1" applyAlignment="1">
      <alignment horizontal="left"/>
    </xf>
    <xf numFmtId="2" fontId="3" fillId="5" borderId="0" xfId="0" applyNumberFormat="1" applyFont="1" applyFill="1" applyBorder="1" applyAlignment="1">
      <alignment horizontal="center"/>
    </xf>
    <xf numFmtId="43"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2" fontId="3" fillId="0" borderId="0" xfId="0" applyNumberFormat="1" applyFont="1" applyBorder="1" applyAlignment="1">
      <alignment horizontal="right"/>
    </xf>
    <xf numFmtId="43" fontId="3" fillId="0" borderId="0" xfId="2" applyNumberFormat="1" applyFont="1" applyAlignment="1">
      <alignment horizontal="right"/>
    </xf>
    <xf numFmtId="0" fontId="20" fillId="0" borderId="0" xfId="0" applyFont="1" applyBorder="1"/>
    <xf numFmtId="170" fontId="7" fillId="0" borderId="0" xfId="0" applyNumberFormat="1" applyFont="1" applyAlignment="1">
      <alignment horizontal="center"/>
    </xf>
    <xf numFmtId="0" fontId="22" fillId="0" borderId="0" xfId="0" applyFont="1" applyFill="1" applyBorder="1"/>
    <xf numFmtId="0" fontId="23" fillId="0" borderId="0" xfId="0" applyFont="1" applyBorder="1"/>
    <xf numFmtId="0" fontId="23" fillId="0" borderId="0" xfId="0" applyFont="1" applyBorder="1" applyAlignment="1">
      <alignment horizontal="right"/>
    </xf>
    <xf numFmtId="0" fontId="23" fillId="0" borderId="0" xfId="0" applyFont="1" applyFill="1" applyBorder="1" applyAlignment="1">
      <alignment horizontal="right"/>
    </xf>
    <xf numFmtId="165"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69" fontId="20" fillId="0" borderId="0" xfId="0" applyNumberFormat="1" applyFont="1"/>
    <xf numFmtId="169" fontId="0" fillId="0" borderId="0" xfId="0" applyNumberFormat="1" applyBorder="1"/>
    <xf numFmtId="169" fontId="3" fillId="0" borderId="0" xfId="0" applyNumberFormat="1" applyFont="1" applyBorder="1"/>
    <xf numFmtId="174" fontId="3" fillId="5" borderId="0" xfId="2" applyNumberFormat="1" applyFont="1" applyFill="1" applyAlignment="1">
      <alignment horizontal="right"/>
    </xf>
    <xf numFmtId="179" fontId="3" fillId="5" borderId="0" xfId="2" applyNumberFormat="1" applyFont="1" applyFill="1" applyAlignment="1">
      <alignment horizontal="right"/>
    </xf>
    <xf numFmtId="174" fontId="3" fillId="5" borderId="0" xfId="2" applyNumberFormat="1" applyFont="1" applyFill="1" applyBorder="1" applyAlignment="1">
      <alignment horizontal="right"/>
    </xf>
    <xf numFmtId="169" fontId="3" fillId="5" borderId="0" xfId="2" applyNumberFormat="1" applyFont="1" applyFill="1" applyBorder="1" applyAlignment="1">
      <alignment horizontal="center"/>
    </xf>
    <xf numFmtId="170" fontId="3" fillId="0" borderId="0" xfId="2" applyNumberFormat="1" applyFont="1" applyAlignment="1">
      <alignment horizontal="right"/>
    </xf>
    <xf numFmtId="169" fontId="3" fillId="0" borderId="0" xfId="2" applyNumberFormat="1" applyFont="1" applyAlignment="1">
      <alignment horizontal="right"/>
    </xf>
    <xf numFmtId="169" fontId="3" fillId="5" borderId="0" xfId="0" applyNumberFormat="1" applyFont="1" applyFill="1"/>
    <xf numFmtId="170" fontId="3" fillId="5" borderId="0" xfId="0" applyNumberFormat="1" applyFont="1" applyFill="1"/>
    <xf numFmtId="169" fontId="0" fillId="5" borderId="0" xfId="0" applyNumberFormat="1" applyFill="1"/>
    <xf numFmtId="170" fontId="0" fillId="5" borderId="0" xfId="0" applyNumberFormat="1" applyFill="1"/>
    <xf numFmtId="170" fontId="3" fillId="5" borderId="0" xfId="2" applyNumberFormat="1" applyFont="1" applyFill="1" applyAlignment="1">
      <alignment horizontal="right"/>
    </xf>
    <xf numFmtId="169" fontId="3" fillId="5" borderId="0" xfId="2" applyNumberFormat="1" applyFont="1" applyFill="1" applyAlignment="1">
      <alignment horizontal="right"/>
    </xf>
    <xf numFmtId="2" fontId="23" fillId="0" borderId="0" xfId="0" applyNumberFormat="1" applyFont="1" applyFill="1" applyAlignment="1">
      <alignment horizontal="center"/>
    </xf>
    <xf numFmtId="1" fontId="23" fillId="0" borderId="0" xfId="0" applyNumberFormat="1" applyFont="1" applyFill="1" applyAlignment="1">
      <alignment horizontal="center"/>
    </xf>
    <xf numFmtId="0" fontId="32" fillId="0" borderId="0" xfId="0" applyFont="1" applyFill="1"/>
    <xf numFmtId="0" fontId="32" fillId="0" borderId="0" xfId="0" applyFont="1" applyFill="1" applyBorder="1"/>
    <xf numFmtId="0" fontId="32" fillId="0" borderId="0" xfId="0" applyFont="1" applyBorder="1"/>
    <xf numFmtId="166" fontId="0" fillId="2" borderId="0" xfId="0" applyNumberFormat="1" applyFill="1" applyAlignment="1">
      <alignment horizontal="center"/>
    </xf>
    <xf numFmtId="2" fontId="15" fillId="0" borderId="0" xfId="0" applyNumberFormat="1" applyFont="1" applyFill="1" applyAlignment="1">
      <alignment horizontal="center"/>
    </xf>
    <xf numFmtId="9" fontId="0" fillId="0" borderId="0" xfId="3" applyFont="1"/>
    <xf numFmtId="0" fontId="30" fillId="0" borderId="0" xfId="0" applyFont="1"/>
    <xf numFmtId="44" fontId="3" fillId="0" borderId="0" xfId="5" applyFont="1" applyFill="1"/>
    <xf numFmtId="44" fontId="3" fillId="0" borderId="0" xfId="0" applyNumberFormat="1" applyFont="1"/>
    <xf numFmtId="44" fontId="3" fillId="0" borderId="0" xfId="5" applyFont="1" applyFill="1" applyAlignment="1">
      <alignment horizontal="center"/>
    </xf>
    <xf numFmtId="0" fontId="57" fillId="0" borderId="1" xfId="0" applyFont="1" applyBorder="1" applyAlignment="1">
      <alignment horizontal="right"/>
    </xf>
    <xf numFmtId="2" fontId="3" fillId="0" borderId="0" xfId="5" applyNumberFormat="1" applyFont="1" applyFill="1"/>
    <xf numFmtId="0" fontId="57"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44"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applyAlignment="1"/>
    <xf numFmtId="0" fontId="18" fillId="20" borderId="14" xfId="4" applyFont="1" applyFill="1" applyBorder="1" applyAlignment="1"/>
    <xf numFmtId="0" fontId="12" fillId="20" borderId="13" xfId="4" applyFont="1" applyFill="1" applyBorder="1" applyAlignment="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8" fillId="11" borderId="20" xfId="4" applyFont="1" applyFill="1" applyBorder="1"/>
    <xf numFmtId="0" fontId="48" fillId="12" borderId="20" xfId="4" applyFont="1" applyFill="1" applyBorder="1"/>
    <xf numFmtId="0" fontId="48" fillId="0" borderId="7" xfId="4" applyFont="1" applyBorder="1"/>
    <xf numFmtId="1" fontId="56" fillId="0" borderId="0" xfId="4" applyNumberFormat="1" applyFont="1" applyFill="1" applyBorder="1" applyAlignment="1">
      <alignment horizontal="right"/>
    </xf>
    <xf numFmtId="0" fontId="42" fillId="0" borderId="0" xfId="4" applyFont="1" applyFill="1" applyBorder="1" applyAlignment="1">
      <alignment horizontal="right"/>
    </xf>
    <xf numFmtId="2" fontId="56" fillId="0" borderId="0" xfId="4" applyNumberFormat="1" applyFont="1" applyFill="1" applyBorder="1" applyAlignment="1">
      <alignment horizontal="right"/>
    </xf>
    <xf numFmtId="2" fontId="42" fillId="0" borderId="0" xfId="4" applyNumberFormat="1" applyFont="1" applyFill="1" applyBorder="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48" fillId="0" borderId="0" xfId="0" applyFont="1"/>
    <xf numFmtId="0" fontId="7" fillId="0" borderId="0" xfId="0" applyFont="1" applyBorder="1" applyAlignment="1">
      <alignment horizontal="center" vertical="center" wrapText="1"/>
    </xf>
    <xf numFmtId="0" fontId="7" fillId="0" borderId="0" xfId="0" applyFont="1" applyAlignment="1">
      <alignment horizontal="center" wrapText="1"/>
    </xf>
    <xf numFmtId="181" fontId="0" fillId="11" borderId="0" xfId="0" applyNumberFormat="1" applyFill="1"/>
    <xf numFmtId="181" fontId="0" fillId="0" borderId="0" xfId="0" applyNumberFormat="1" applyFill="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applyBorder="1"/>
    <xf numFmtId="0" fontId="4" fillId="0" borderId="8" xfId="0" applyFont="1" applyBorder="1" applyAlignment="1">
      <alignment horizontal="left"/>
    </xf>
    <xf numFmtId="0" fontId="0" fillId="11" borderId="18" xfId="0" applyFill="1" applyBorder="1" applyAlignment="1">
      <alignment horizontal="center"/>
    </xf>
    <xf numFmtId="0" fontId="10" fillId="0" borderId="0" xfId="0" applyFont="1" applyFill="1" applyBorder="1" applyAlignment="1">
      <alignment vertical="center" wrapText="1"/>
    </xf>
    <xf numFmtId="0" fontId="59" fillId="0" borderId="0" xfId="0" applyFont="1"/>
    <xf numFmtId="0" fontId="60" fillId="0" borderId="0" xfId="0" applyFont="1" applyAlignment="1">
      <alignment horizontal="center"/>
    </xf>
    <xf numFmtId="166" fontId="3" fillId="0" borderId="0" xfId="0" applyNumberFormat="1" applyFont="1" applyAlignment="1">
      <alignment horizontal="center" vertical="center"/>
    </xf>
    <xf numFmtId="166" fontId="32" fillId="0" borderId="0" xfId="0" applyNumberFormat="1" applyFont="1" applyAlignment="1">
      <alignment horizontal="center"/>
    </xf>
    <xf numFmtId="2" fontId="3" fillId="0" borderId="0" xfId="0" applyNumberFormat="1" applyFont="1" applyAlignment="1">
      <alignment horizontal="center" vertical="center"/>
    </xf>
    <xf numFmtId="167" fontId="3" fillId="0" borderId="0" xfId="0" applyNumberFormat="1" applyFont="1" applyAlignment="1">
      <alignment horizontal="center" vertical="center"/>
    </xf>
    <xf numFmtId="0" fontId="18" fillId="0" borderId="8" xfId="0" applyFont="1" applyBorder="1"/>
    <xf numFmtId="0" fontId="48" fillId="0" borderId="9" xfId="0" applyFont="1" applyBorder="1"/>
    <xf numFmtId="0" fontId="10" fillId="11" borderId="16" xfId="0" applyFont="1" applyFill="1" applyBorder="1" applyAlignment="1">
      <alignment horizontal="center"/>
    </xf>
    <xf numFmtId="0" fontId="48" fillId="5" borderId="16" xfId="0" applyFont="1" applyFill="1" applyBorder="1" applyAlignment="1">
      <alignment horizontal="center"/>
    </xf>
    <xf numFmtId="0" fontId="10" fillId="0" borderId="42"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Font="1" applyBorder="1" applyAlignment="1"/>
    <xf numFmtId="0" fontId="49" fillId="13" borderId="13" xfId="4" applyFont="1" applyFill="1" applyBorder="1" applyAlignment="1">
      <alignment horizontal="center"/>
    </xf>
    <xf numFmtId="0" fontId="3" fillId="0" borderId="2" xfId="4" applyFont="1" applyBorder="1" applyAlignment="1"/>
    <xf numFmtId="0" fontId="62" fillId="0" borderId="0" xfId="0" applyFont="1"/>
    <xf numFmtId="0" fontId="62" fillId="0" borderId="0" xfId="0" applyFont="1" applyAlignment="1">
      <alignment horizontal="center"/>
    </xf>
    <xf numFmtId="0" fontId="63" fillId="0" borderId="0" xfId="0" applyFont="1" applyFill="1"/>
    <xf numFmtId="0" fontId="63" fillId="0" borderId="0" xfId="0" applyFont="1" applyFill="1" applyBorder="1"/>
    <xf numFmtId="0" fontId="64" fillId="0" borderId="0" xfId="0" applyFont="1"/>
    <xf numFmtId="0" fontId="65" fillId="0" borderId="0" xfId="0" applyFont="1"/>
    <xf numFmtId="0" fontId="66" fillId="0" borderId="0" xfId="0" applyFont="1" applyFill="1"/>
    <xf numFmtId="3" fontId="3" fillId="0" borderId="0" xfId="2" applyNumberFormat="1" applyFont="1" applyAlignment="1">
      <alignment horizontal="right"/>
    </xf>
    <xf numFmtId="37" fontId="3" fillId="0" borderId="0" xfId="0" applyNumberFormat="1" applyFont="1"/>
    <xf numFmtId="0" fontId="12" fillId="0" borderId="0" xfId="4" applyFont="1" applyFill="1" applyBorder="1" applyAlignment="1">
      <alignment horizontal="center"/>
    </xf>
    <xf numFmtId="1" fontId="3" fillId="0" borderId="0" xfId="2" applyNumberFormat="1" applyFont="1" applyFill="1" applyAlignment="1">
      <alignment horizontal="center"/>
    </xf>
    <xf numFmtId="0" fontId="4" fillId="0" borderId="0" xfId="0" applyFont="1" applyBorder="1" applyAlignment="1">
      <alignment horizontal="left"/>
    </xf>
    <xf numFmtId="0" fontId="4" fillId="0" borderId="0" xfId="0" applyFont="1" applyFill="1" applyBorder="1" applyAlignment="1">
      <alignment horizontal="left"/>
    </xf>
    <xf numFmtId="169" fontId="3" fillId="0" borderId="0" xfId="2" applyNumberFormat="1" applyFont="1" applyFill="1" applyBorder="1" applyAlignment="1"/>
    <xf numFmtId="0" fontId="67" fillId="0" borderId="0" xfId="0" applyFont="1" applyBorder="1" applyAlignment="1">
      <alignment horizontal="left"/>
    </xf>
    <xf numFmtId="0" fontId="67" fillId="0" borderId="0" xfId="0" applyFont="1" applyFill="1" applyBorder="1" applyAlignment="1">
      <alignment horizontal="left"/>
    </xf>
    <xf numFmtId="0" fontId="67" fillId="0" borderId="0" xfId="0" applyFont="1" applyFill="1" applyBorder="1"/>
    <xf numFmtId="0" fontId="67" fillId="0" borderId="0" xfId="0" applyFont="1"/>
    <xf numFmtId="3" fontId="3" fillId="0" borderId="0" xfId="0" applyNumberFormat="1" applyFont="1" applyFill="1" applyAlignment="1">
      <alignment horizontal="center"/>
    </xf>
    <xf numFmtId="0" fontId="67" fillId="0" borderId="0" xfId="0" applyFont="1" applyBorder="1"/>
    <xf numFmtId="0" fontId="0" fillId="0" borderId="0" xfId="0" applyBorder="1" applyAlignment="1">
      <alignment horizontal="center" vertical="center"/>
    </xf>
    <xf numFmtId="0" fontId="0" fillId="0" borderId="0" xfId="0" applyBorder="1"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8" xfId="0" applyFont="1" applyBorder="1" applyAlignment="1">
      <alignment horizontal="center" vertical="center" wrapText="1"/>
    </xf>
    <xf numFmtId="0" fontId="4" fillId="0" borderId="63" xfId="0" applyFont="1" applyBorder="1" applyAlignment="1">
      <alignment horizontal="center" vertical="center" wrapText="1"/>
    </xf>
    <xf numFmtId="0" fontId="4" fillId="0" borderId="63"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7" xfId="0" applyFont="1" applyBorder="1" applyAlignment="1">
      <alignment horizontal="center"/>
    </xf>
    <xf numFmtId="2" fontId="4" fillId="0" borderId="0" xfId="0" applyNumberFormat="1" applyFont="1" applyAlignment="1">
      <alignment horizontal="center"/>
    </xf>
    <xf numFmtId="0" fontId="3" fillId="0" borderId="45" xfId="0" applyFont="1" applyFill="1" applyBorder="1"/>
    <xf numFmtId="0" fontId="7" fillId="0" borderId="0" xfId="0" applyFont="1" applyBorder="1" applyAlignment="1">
      <alignment horizontal="left"/>
    </xf>
    <xf numFmtId="0" fontId="4" fillId="0" borderId="0" xfId="0" applyFont="1" applyBorder="1" applyAlignment="1">
      <alignment horizontal="center"/>
    </xf>
    <xf numFmtId="3" fontId="4" fillId="0" borderId="0" xfId="0" applyNumberFormat="1" applyFont="1" applyBorder="1" applyAlignment="1">
      <alignment horizontal="center"/>
    </xf>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5" xfId="0" applyBorder="1"/>
    <xf numFmtId="0" fontId="18" fillId="0" borderId="8" xfId="0" applyFont="1" applyBorder="1" applyAlignment="1"/>
    <xf numFmtId="0" fontId="18" fillId="0" borderId="0" xfId="0" applyFont="1" applyBorder="1" applyAlignment="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0" fontId="0" fillId="0" borderId="0" xfId="0" applyBorder="1" applyAlignment="1"/>
    <xf numFmtId="0" fontId="0" fillId="0" borderId="8" xfId="0" applyBorder="1" applyAlignment="1"/>
    <xf numFmtId="166" fontId="58" fillId="0" borderId="0" xfId="0" applyNumberFormat="1" applyFont="1" applyBorder="1"/>
    <xf numFmtId="166" fontId="0" fillId="0" borderId="0" xfId="0" applyNumberFormat="1" applyBorder="1"/>
    <xf numFmtId="2" fontId="0" fillId="0" borderId="2" xfId="0" applyNumberFormat="1" applyBorder="1" applyAlignment="1">
      <alignment horizontal="center" vertical="center"/>
    </xf>
    <xf numFmtId="0" fontId="18" fillId="0" borderId="6" xfId="0" applyFont="1" applyBorder="1" applyAlignment="1"/>
    <xf numFmtId="0" fontId="18" fillId="0" borderId="3" xfId="0" applyFont="1" applyBorder="1" applyAlignment="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18" fillId="0" borderId="5" xfId="0" applyFont="1" applyBorder="1" applyAlignment="1"/>
    <xf numFmtId="0" fontId="18" fillId="0" borderId="2" xfId="0" applyFont="1" applyBorder="1" applyAlignment="1"/>
    <xf numFmtId="1" fontId="0" fillId="0" borderId="2" xfId="0" applyNumberFormat="1" applyBorder="1" applyAlignment="1">
      <alignment horizontal="center"/>
    </xf>
    <xf numFmtId="0" fontId="3" fillId="0" borderId="6" xfId="0" applyFont="1" applyBorder="1" applyAlignment="1"/>
    <xf numFmtId="0" fontId="0" fillId="0" borderId="3" xfId="0" applyBorder="1" applyAlignment="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applyFill="1" applyBorder="1" applyAlignment="1"/>
    <xf numFmtId="2" fontId="42" fillId="0" borderId="0" xfId="3" applyNumberFormat="1" applyFont="1" applyFill="1" applyBorder="1" applyAlignment="1">
      <alignment horizontal="center"/>
    </xf>
    <xf numFmtId="166" fontId="42" fillId="0" borderId="0" xfId="4" applyNumberFormat="1" applyFont="1" applyBorder="1" applyAlignment="1">
      <alignment horizontal="center"/>
    </xf>
    <xf numFmtId="2" fontId="42" fillId="0" borderId="0" xfId="4" applyNumberFormat="1" applyFont="1" applyBorder="1" applyAlignment="1">
      <alignment horizontal="center"/>
    </xf>
    <xf numFmtId="166" fontId="42" fillId="0" borderId="0" xfId="4" applyNumberFormat="1" applyFont="1" applyBorder="1"/>
    <xf numFmtId="166" fontId="42" fillId="0" borderId="9" xfId="4" applyNumberFormat="1" applyFont="1" applyBorder="1"/>
    <xf numFmtId="166" fontId="29" fillId="0" borderId="0" xfId="0" applyNumberFormat="1" applyFont="1" applyFill="1" applyAlignment="1">
      <alignment horizontal="left"/>
    </xf>
    <xf numFmtId="0" fontId="70" fillId="0" borderId="0" xfId="0" applyFont="1"/>
    <xf numFmtId="166" fontId="29" fillId="0" borderId="0" xfId="0" applyNumberFormat="1" applyFont="1" applyAlignment="1">
      <alignment horizontal="left"/>
    </xf>
    <xf numFmtId="170" fontId="18" fillId="0" borderId="0" xfId="2" applyNumberFormat="1" applyFont="1" applyBorder="1" applyAlignment="1">
      <alignment horizontal="center"/>
    </xf>
    <xf numFmtId="0" fontId="51" fillId="0" borderId="0" xfId="0" applyFont="1" applyFill="1"/>
    <xf numFmtId="0" fontId="71" fillId="0" borderId="0" xfId="0" applyFont="1"/>
    <xf numFmtId="0" fontId="72" fillId="0" borderId="0" xfId="0" applyFont="1" applyFill="1"/>
    <xf numFmtId="0" fontId="73" fillId="0" borderId="0" xfId="0" applyFont="1"/>
    <xf numFmtId="0" fontId="74" fillId="0" borderId="0" xfId="0" applyFont="1" applyAlignment="1">
      <alignment horizontal="left"/>
    </xf>
    <xf numFmtId="0" fontId="4" fillId="0" borderId="3" xfId="0" applyFont="1" applyBorder="1" applyAlignment="1">
      <alignment horizontal="center"/>
    </xf>
    <xf numFmtId="0" fontId="12" fillId="0" borderId="0" xfId="0" applyFont="1" applyFill="1" applyBorder="1" applyAlignment="1">
      <alignment horizontal="center"/>
    </xf>
    <xf numFmtId="0" fontId="23" fillId="0" borderId="0" xfId="4" applyFont="1" applyFill="1" applyBorder="1" applyAlignment="1">
      <alignment horizontal="center"/>
    </xf>
    <xf numFmtId="170" fontId="3" fillId="0" borderId="0" xfId="2" applyNumberFormat="1" applyFont="1" applyFill="1" applyAlignment="1">
      <alignment horizontal="right"/>
    </xf>
    <xf numFmtId="38" fontId="3" fillId="0" borderId="0" xfId="2" applyNumberFormat="1" applyFont="1" applyFill="1" applyAlignment="1">
      <alignment horizontal="right"/>
    </xf>
    <xf numFmtId="0" fontId="57" fillId="0" borderId="0" xfId="0" applyFont="1" applyBorder="1"/>
    <xf numFmtId="0" fontId="67" fillId="0" borderId="1" xfId="0" applyFont="1" applyBorder="1"/>
    <xf numFmtId="44" fontId="3" fillId="0" borderId="0" xfId="0" applyNumberFormat="1" applyFont="1" applyBorder="1" applyAlignment="1">
      <alignment horizontal="center"/>
    </xf>
    <xf numFmtId="170" fontId="3" fillId="0" borderId="0" xfId="2" applyNumberFormat="1" applyFont="1" applyFill="1" applyBorder="1" applyAlignment="1">
      <alignment horizontal="center" vertical="center"/>
    </xf>
    <xf numFmtId="0" fontId="4" fillId="0" borderId="0" xfId="0" applyFont="1" applyBorder="1" applyAlignment="1"/>
    <xf numFmtId="0" fontId="29" fillId="0" borderId="0" xfId="0" applyFont="1"/>
    <xf numFmtId="165" fontId="7" fillId="0" borderId="0" xfId="4" applyNumberFormat="1" applyFont="1" applyBorder="1" applyAlignment="1">
      <alignment horizontal="center"/>
    </xf>
    <xf numFmtId="2" fontId="3" fillId="0" borderId="0" xfId="4" applyNumberFormat="1" applyFont="1" applyFill="1" applyBorder="1" applyAlignment="1">
      <alignment horizontal="center"/>
    </xf>
    <xf numFmtId="0" fontId="3" fillId="0" borderId="0" xfId="4" applyFont="1" applyBorder="1" applyAlignment="1">
      <alignment horizontal="left"/>
    </xf>
    <xf numFmtId="0" fontId="3" fillId="0" borderId="8" xfId="4" applyFont="1" applyBorder="1"/>
    <xf numFmtId="2" fontId="3" fillId="0" borderId="8" xfId="4" applyNumberFormat="1" applyFont="1" applyBorder="1" applyAlignment="1">
      <alignment horizontal="left"/>
    </xf>
    <xf numFmtId="165" fontId="3" fillId="0" borderId="0" xfId="4" applyNumberFormat="1" applyFont="1" applyFill="1" applyBorder="1" applyAlignment="1">
      <alignment horizontal="center"/>
    </xf>
    <xf numFmtId="0" fontId="3" fillId="0" borderId="8" xfId="4" applyFont="1" applyBorder="1" applyAlignment="1">
      <alignment horizontal="left"/>
    </xf>
    <xf numFmtId="0" fontId="3" fillId="0" borderId="8" xfId="4" applyFont="1" applyFill="1" applyBorder="1" applyAlignment="1">
      <alignment horizontal="left"/>
    </xf>
    <xf numFmtId="3" fontId="7" fillId="0" borderId="0" xfId="4" applyNumberFormat="1" applyFont="1" applyBorder="1" applyAlignment="1">
      <alignment horizontal="center"/>
    </xf>
    <xf numFmtId="1" fontId="3" fillId="0" borderId="0" xfId="4" applyNumberFormat="1" applyFont="1" applyFill="1" applyBorder="1" applyAlignment="1">
      <alignment horizontal="center"/>
    </xf>
    <xf numFmtId="3" fontId="3" fillId="0" borderId="0" xfId="4" applyNumberFormat="1" applyFont="1" applyFill="1" applyBorder="1" applyAlignment="1">
      <alignment horizontal="center"/>
    </xf>
    <xf numFmtId="2" fontId="7" fillId="0" borderId="0" xfId="4" applyNumberFormat="1" applyFont="1" applyBorder="1" applyAlignment="1">
      <alignment horizontal="center"/>
    </xf>
    <xf numFmtId="1" fontId="7" fillId="0" borderId="0" xfId="4" applyNumberFormat="1" applyFont="1" applyBorder="1" applyAlignment="1">
      <alignment horizontal="center"/>
    </xf>
    <xf numFmtId="0" fontId="3" fillId="0" borderId="0" xfId="4" applyFont="1"/>
    <xf numFmtId="0" fontId="7" fillId="0" borderId="8" xfId="4" applyFont="1" applyBorder="1" applyAlignment="1">
      <alignment horizontal="left"/>
    </xf>
    <xf numFmtId="0" fontId="7" fillId="20" borderId="15" xfId="4" applyFont="1" applyFill="1" applyBorder="1" applyAlignment="1"/>
    <xf numFmtId="2" fontId="7" fillId="5" borderId="18" xfId="4" applyNumberFormat="1" applyFont="1" applyFill="1" applyBorder="1" applyAlignment="1">
      <alignment horizontal="center"/>
    </xf>
    <xf numFmtId="0" fontId="3" fillId="0" borderId="8" xfId="4" applyFont="1" applyFill="1"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8" fillId="0" borderId="8" xfId="4" applyFont="1" applyFill="1" applyBorder="1" applyAlignment="1">
      <alignment horizontal="left"/>
    </xf>
    <xf numFmtId="0" fontId="7" fillId="0" borderId="8" xfId="4" applyFont="1" applyFill="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0" fontId="3" fillId="0" borderId="0" xfId="4" applyFont="1" applyBorder="1" applyAlignment="1"/>
    <xf numFmtId="181" fontId="7" fillId="0" borderId="0" xfId="9" applyNumberFormat="1" applyFont="1" applyBorder="1" applyAlignment="1">
      <alignment horizontal="center"/>
    </xf>
    <xf numFmtId="181" fontId="3" fillId="0" borderId="0" xfId="9" applyNumberFormat="1" applyFont="1" applyFill="1" applyBorder="1" applyAlignment="1">
      <alignment horizontal="center" vertical="center"/>
    </xf>
    <xf numFmtId="0" fontId="3" fillId="0" borderId="6" xfId="4" applyFont="1" applyBorder="1"/>
    <xf numFmtId="0" fontId="3" fillId="0" borderId="3" xfId="4" applyFont="1"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applyBorder="1"/>
    <xf numFmtId="2" fontId="10" fillId="0" borderId="0" xfId="4" applyNumberFormat="1" applyFont="1" applyFill="1" applyBorder="1" applyAlignment="1">
      <alignment horizontal="center"/>
    </xf>
    <xf numFmtId="0" fontId="10" fillId="0" borderId="0" xfId="4" applyFont="1" applyBorder="1" applyAlignment="1">
      <alignment horizontal="left"/>
    </xf>
    <xf numFmtId="1" fontId="76" fillId="0" borderId="9" xfId="4" applyNumberFormat="1" applyFont="1" applyFill="1" applyBorder="1" applyAlignment="1">
      <alignment horizontal="right"/>
    </xf>
    <xf numFmtId="0" fontId="10" fillId="0" borderId="0" xfId="4" applyFont="1"/>
    <xf numFmtId="0" fontId="40" fillId="0" borderId="0" xfId="0" applyFont="1" applyBorder="1"/>
    <xf numFmtId="0" fontId="40" fillId="0" borderId="0" xfId="4" applyFont="1" applyBorder="1"/>
    <xf numFmtId="1" fontId="41" fillId="0" borderId="9" xfId="4" applyNumberFormat="1" applyFont="1" applyFill="1" applyBorder="1" applyAlignment="1">
      <alignment horizontal="right"/>
    </xf>
    <xf numFmtId="1" fontId="41" fillId="0" borderId="0" xfId="4" applyNumberFormat="1" applyFont="1" applyFill="1" applyBorder="1" applyAlignment="1">
      <alignment horizontal="right"/>
    </xf>
    <xf numFmtId="0" fontId="40" fillId="0" borderId="0" xfId="4" applyFont="1"/>
    <xf numFmtId="0" fontId="40" fillId="0" borderId="0" xfId="0" applyFont="1"/>
    <xf numFmtId="0" fontId="3" fillId="0" borderId="44" xfId="0" applyFont="1" applyBorder="1"/>
    <xf numFmtId="0" fontId="3" fillId="0" borderId="6" xfId="0" applyFont="1" applyBorder="1"/>
    <xf numFmtId="2" fontId="42" fillId="0" borderId="0" xfId="0" applyNumberFormat="1" applyFont="1" applyBorder="1" applyAlignment="1">
      <alignment horizontal="center"/>
    </xf>
    <xf numFmtId="0" fontId="42" fillId="0" borderId="2" xfId="4" applyFont="1" applyBorder="1"/>
    <xf numFmtId="0" fontId="42" fillId="0" borderId="8" xfId="4" applyFont="1" applyFill="1" applyBorder="1" applyAlignment="1">
      <alignment horizontal="left" wrapText="1"/>
    </xf>
    <xf numFmtId="0" fontId="42" fillId="0" borderId="8" xfId="0" applyFont="1" applyBorder="1" applyAlignment="1">
      <alignment horizontal="left"/>
    </xf>
    <xf numFmtId="0" fontId="45" fillId="0" borderId="8" xfId="0" applyFont="1" applyBorder="1" applyAlignment="1">
      <alignment horizontal="center"/>
    </xf>
    <xf numFmtId="0" fontId="77" fillId="0" borderId="0" xfId="4" applyFont="1" applyBorder="1" applyAlignment="1">
      <alignment horizontal="left"/>
    </xf>
    <xf numFmtId="0" fontId="10" fillId="11" borderId="63" xfId="0" applyFont="1" applyFill="1" applyBorder="1" applyAlignment="1">
      <alignment horizontal="center"/>
    </xf>
    <xf numFmtId="1" fontId="61" fillId="11" borderId="47"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21" fillId="0" borderId="8" xfId="0" applyFont="1" applyFill="1" applyBorder="1" applyAlignment="1">
      <alignment vertical="center" wrapText="1"/>
    </xf>
    <xf numFmtId="0" fontId="48"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5" xfId="0" applyFont="1" applyFill="1" applyBorder="1" applyAlignment="1">
      <alignment horizontal="center" vertical="center"/>
    </xf>
    <xf numFmtId="0" fontId="10" fillId="4" borderId="42"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5" fontId="40" fillId="4" borderId="42" xfId="0" applyNumberFormat="1" applyFont="1" applyFill="1" applyBorder="1" applyAlignment="1">
      <alignment horizontal="center"/>
    </xf>
    <xf numFmtId="165" fontId="40" fillId="4" borderId="19" xfId="0" applyNumberFormat="1" applyFont="1" applyFill="1" applyBorder="1" applyAlignment="1">
      <alignment horizontal="center"/>
    </xf>
    <xf numFmtId="165" fontId="40" fillId="4" borderId="21" xfId="0" applyNumberFormat="1" applyFont="1" applyFill="1" applyBorder="1" applyAlignment="1">
      <alignment horizontal="center"/>
    </xf>
    <xf numFmtId="2" fontId="40" fillId="4" borderId="23" xfId="0" applyNumberFormat="1" applyFont="1" applyFill="1" applyBorder="1" applyAlignment="1">
      <alignment horizontal="center"/>
    </xf>
    <xf numFmtId="2" fontId="40" fillId="4" borderId="24" xfId="0" applyNumberFormat="1" applyFont="1" applyFill="1" applyBorder="1" applyAlignment="1">
      <alignment horizontal="center"/>
    </xf>
    <xf numFmtId="2" fontId="40" fillId="4" borderId="25" xfId="0" applyNumberFormat="1" applyFont="1" applyFill="1" applyBorder="1" applyAlignment="1">
      <alignment horizontal="center"/>
    </xf>
    <xf numFmtId="2" fontId="40" fillId="4" borderId="26" xfId="0" applyNumberFormat="1" applyFont="1" applyFill="1" applyBorder="1" applyAlignment="1">
      <alignment horizontal="center"/>
    </xf>
    <xf numFmtId="3" fontId="40" fillId="4" borderId="40" xfId="2" applyNumberFormat="1" applyFont="1" applyFill="1" applyBorder="1" applyAlignment="1">
      <alignment horizontal="center" vertical="center"/>
    </xf>
    <xf numFmtId="3" fontId="40" fillId="4" borderId="36" xfId="2" applyNumberFormat="1" applyFont="1" applyFill="1" applyBorder="1" applyAlignment="1">
      <alignment horizontal="center" vertical="center"/>
    </xf>
    <xf numFmtId="3" fontId="40" fillId="4" borderId="41" xfId="2" applyNumberFormat="1" applyFont="1" applyFill="1" applyBorder="1" applyAlignment="1">
      <alignment horizontal="center" vertical="center"/>
    </xf>
    <xf numFmtId="0" fontId="0" fillId="11" borderId="36" xfId="0" applyFill="1" applyBorder="1" applyAlignment="1">
      <alignment horizontal="center"/>
    </xf>
    <xf numFmtId="0" fontId="18" fillId="10" borderId="40" xfId="0" applyFont="1" applyFill="1" applyBorder="1" applyAlignment="1">
      <alignment horizontal="center" vertical="center"/>
    </xf>
    <xf numFmtId="0" fontId="18" fillId="10" borderId="36" xfId="0" applyFont="1" applyFill="1" applyBorder="1" applyAlignment="1">
      <alignment horizontal="center" vertical="center"/>
    </xf>
    <xf numFmtId="0" fontId="18" fillId="10" borderId="41" xfId="0" applyFont="1" applyFill="1" applyBorder="1" applyAlignment="1">
      <alignment horizontal="center" vertical="center"/>
    </xf>
    <xf numFmtId="0" fontId="10" fillId="15" borderId="16" xfId="0" applyFont="1" applyFill="1" applyBorder="1"/>
    <xf numFmtId="0" fontId="18" fillId="0" borderId="46" xfId="0" applyFont="1" applyBorder="1" applyAlignment="1">
      <alignment horizontal="center" vertical="center" wrapText="1"/>
    </xf>
    <xf numFmtId="0" fontId="18" fillId="0" borderId="63" xfId="0" applyFont="1" applyBorder="1" applyAlignment="1">
      <alignment horizontal="center" vertical="center" wrapText="1"/>
    </xf>
    <xf numFmtId="0" fontId="18" fillId="0" borderId="63" xfId="0" applyFont="1" applyBorder="1" applyAlignment="1">
      <alignment horizontal="center"/>
    </xf>
    <xf numFmtId="0" fontId="18" fillId="0" borderId="63" xfId="0" applyFont="1" applyFill="1" applyBorder="1" applyAlignment="1">
      <alignment horizontal="center" vertical="center" wrapText="1"/>
    </xf>
    <xf numFmtId="0" fontId="0" fillId="0" borderId="63" xfId="0" applyBorder="1" applyAlignment="1">
      <alignment horizontal="center"/>
    </xf>
    <xf numFmtId="0" fontId="0" fillId="0" borderId="47" xfId="0" applyBorder="1" applyAlignment="1">
      <alignment horizontal="center"/>
    </xf>
    <xf numFmtId="0" fontId="48" fillId="11" borderId="13" xfId="0" applyFont="1" applyFill="1" applyBorder="1" applyAlignment="1"/>
    <xf numFmtId="0" fontId="48" fillId="11" borderId="15" xfId="0" applyFont="1" applyFill="1" applyBorder="1" applyAlignment="1"/>
    <xf numFmtId="0" fontId="48" fillId="11" borderId="14" xfId="0" applyFont="1" applyFill="1" applyBorder="1" applyAlignment="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8" fillId="17" borderId="2" xfId="0" applyFont="1" applyFill="1" applyBorder="1"/>
    <xf numFmtId="0" fontId="48" fillId="17" borderId="0" xfId="0" applyFont="1" applyFill="1"/>
    <xf numFmtId="0" fontId="0" fillId="11" borderId="21" xfId="0" applyFill="1" applyBorder="1"/>
    <xf numFmtId="0" fontId="48" fillId="0" borderId="5" xfId="0" applyFont="1" applyBorder="1"/>
    <xf numFmtId="0" fontId="48" fillId="0" borderId="2" xfId="0" applyFont="1" applyFill="1" applyBorder="1"/>
    <xf numFmtId="0" fontId="12" fillId="0" borderId="2" xfId="0" applyFont="1" applyBorder="1"/>
    <xf numFmtId="0" fontId="48" fillId="11" borderId="46" xfId="0" applyFont="1" applyFill="1" applyBorder="1" applyAlignment="1">
      <alignment horizontal="center"/>
    </xf>
    <xf numFmtId="0" fontId="48" fillId="11" borderId="46" xfId="0" applyFont="1" applyFill="1" applyBorder="1"/>
    <xf numFmtId="0" fontId="0" fillId="5" borderId="13" xfId="0" applyFill="1" applyBorder="1"/>
    <xf numFmtId="0" fontId="0" fillId="5" borderId="15" xfId="0" applyFill="1" applyBorder="1"/>
    <xf numFmtId="0" fontId="0" fillId="5" borderId="14" xfId="0" applyFill="1" applyBorder="1"/>
    <xf numFmtId="0" fontId="48" fillId="5" borderId="13" xfId="0" applyFont="1" applyFill="1" applyBorder="1"/>
    <xf numFmtId="0" fontId="48" fillId="5" borderId="15" xfId="0" applyFont="1" applyFill="1" applyBorder="1"/>
    <xf numFmtId="0" fontId="48"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6" fontId="0" fillId="11" borderId="18" xfId="0" applyNumberFormat="1" applyFill="1" applyBorder="1" applyAlignment="1">
      <alignment horizontal="center"/>
    </xf>
    <xf numFmtId="166" fontId="3" fillId="0" borderId="0" xfId="4" applyNumberFormat="1" applyFont="1" applyBorder="1" applyAlignment="1">
      <alignment horizontal="left"/>
    </xf>
    <xf numFmtId="2" fontId="3" fillId="0" borderId="0" xfId="0" applyNumberFormat="1" applyFont="1" applyBorder="1" applyAlignment="1">
      <alignment horizontal="center" vertical="center"/>
    </xf>
    <xf numFmtId="166" fontId="3" fillId="0" borderId="0" xfId="0" applyNumberFormat="1" applyFont="1" applyFill="1" applyBorder="1" applyAlignment="1">
      <alignment horizontal="left"/>
    </xf>
    <xf numFmtId="0" fontId="33" fillId="0" borderId="0" xfId="8" applyFill="1" applyBorder="1"/>
    <xf numFmtId="1" fontId="61" fillId="11" borderId="27" xfId="0" applyNumberFormat="1" applyFont="1" applyFill="1" applyBorder="1" applyAlignment="1">
      <alignment horizontal="center"/>
    </xf>
    <xf numFmtId="1" fontId="61" fillId="11" borderId="19" xfId="0" applyNumberFormat="1" applyFont="1" applyFill="1" applyBorder="1" applyAlignment="1">
      <alignment horizontal="center"/>
    </xf>
    <xf numFmtId="1" fontId="61" fillId="11" borderId="21" xfId="0" applyNumberFormat="1" applyFont="1" applyFill="1" applyBorder="1" applyAlignment="1">
      <alignment horizontal="center"/>
    </xf>
    <xf numFmtId="1" fontId="61" fillId="11" borderId="12" xfId="0" applyNumberFormat="1" applyFont="1" applyFill="1" applyBorder="1" applyAlignment="1">
      <alignment horizontal="center"/>
    </xf>
    <xf numFmtId="1" fontId="61" fillId="11" borderId="18" xfId="0" applyNumberFormat="1" applyFont="1" applyFill="1" applyBorder="1" applyAlignment="1">
      <alignment horizontal="center"/>
    </xf>
    <xf numFmtId="1" fontId="61" fillId="11" borderId="23" xfId="0" applyNumberFormat="1" applyFont="1" applyFill="1" applyBorder="1" applyAlignment="1">
      <alignment horizontal="center"/>
    </xf>
    <xf numFmtId="1" fontId="61" fillId="11" borderId="60" xfId="0" applyNumberFormat="1" applyFont="1" applyFill="1" applyBorder="1" applyAlignment="1">
      <alignment horizontal="center"/>
    </xf>
    <xf numFmtId="1" fontId="61" fillId="11" borderId="25" xfId="0" applyNumberFormat="1" applyFont="1" applyFill="1" applyBorder="1" applyAlignment="1">
      <alignment horizontal="center"/>
    </xf>
    <xf numFmtId="1" fontId="61" fillId="11" borderId="26" xfId="0" applyNumberFormat="1" applyFont="1" applyFill="1" applyBorder="1" applyAlignment="1">
      <alignment horizontal="center"/>
    </xf>
    <xf numFmtId="170" fontId="61" fillId="11" borderId="35" xfId="2" applyNumberFormat="1" applyFont="1" applyFill="1" applyBorder="1" applyAlignment="1">
      <alignment vertical="center"/>
    </xf>
    <xf numFmtId="170" fontId="61" fillId="11" borderId="36" xfId="2" applyNumberFormat="1" applyFont="1" applyFill="1" applyBorder="1" applyAlignment="1">
      <alignment vertical="center"/>
    </xf>
    <xf numFmtId="170" fontId="61" fillId="11" borderId="41"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3" fillId="0" borderId="28" xfId="0" applyFont="1" applyBorder="1" applyAlignment="1">
      <alignment horizontal="center"/>
    </xf>
    <xf numFmtId="0" fontId="0" fillId="0" borderId="22" xfId="0" applyBorder="1" applyAlignment="1">
      <alignment horizontal="center"/>
    </xf>
    <xf numFmtId="0" fontId="33" fillId="0" borderId="0" xfId="8"/>
    <xf numFmtId="0" fontId="0" fillId="0" borderId="1" xfId="0" applyBorder="1"/>
    <xf numFmtId="0" fontId="12"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3" fillId="11" borderId="18" xfId="0" applyFont="1" applyFill="1" applyBorder="1" applyAlignment="1">
      <alignment horizontal="center" vertical="center"/>
    </xf>
    <xf numFmtId="0" fontId="27" fillId="0" borderId="0" xfId="0" applyFont="1" applyFill="1" applyBorder="1"/>
    <xf numFmtId="0" fontId="3" fillId="0" borderId="18" xfId="0" applyFont="1" applyBorder="1" applyAlignment="1">
      <alignment horizontal="left"/>
    </xf>
    <xf numFmtId="0" fontId="0" fillId="0" borderId="18" xfId="0" applyBorder="1" applyAlignment="1">
      <alignment horizontal="left"/>
    </xf>
    <xf numFmtId="166"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5"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0" fontId="7" fillId="0" borderId="18" xfId="0" applyFont="1" applyFill="1" applyBorder="1" applyAlignment="1">
      <alignment horizontal="center"/>
    </xf>
    <xf numFmtId="166" fontId="3" fillId="0" borderId="0" xfId="0" applyNumberFormat="1" applyFont="1" applyFill="1" applyBorder="1" applyAlignment="1">
      <alignment horizontal="left" vertical="center"/>
    </xf>
    <xf numFmtId="166" fontId="32" fillId="0" borderId="0" xfId="0" applyNumberFormat="1" applyFont="1" applyFill="1" applyBorder="1" applyAlignment="1">
      <alignment horizontal="left"/>
    </xf>
    <xf numFmtId="2" fontId="32" fillId="0" borderId="0" xfId="0" applyNumberFormat="1" applyFont="1" applyFill="1" applyBorder="1" applyAlignment="1">
      <alignment horizontal="left"/>
    </xf>
    <xf numFmtId="165" fontId="32" fillId="0" borderId="0" xfId="0" applyNumberFormat="1" applyFont="1" applyFill="1" applyBorder="1" applyAlignment="1">
      <alignment horizontal="left"/>
    </xf>
    <xf numFmtId="0" fontId="32" fillId="0" borderId="0" xfId="0" applyFont="1" applyFill="1" applyBorder="1" applyAlignment="1">
      <alignment horizontal="left"/>
    </xf>
    <xf numFmtId="2" fontId="3" fillId="0" borderId="0" xfId="0" applyNumberFormat="1" applyFont="1" applyFill="1" applyBorder="1" applyAlignment="1">
      <alignment horizontal="left" vertical="center"/>
    </xf>
    <xf numFmtId="167" fontId="3" fillId="0" borderId="0" xfId="0" applyNumberFormat="1" applyFont="1" applyFill="1" applyBorder="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5"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38" fillId="0" borderId="0" xfId="0" applyFont="1" applyFill="1"/>
    <xf numFmtId="0" fontId="78" fillId="0" borderId="0" xfId="0" applyFont="1" applyFill="1" applyBorder="1"/>
    <xf numFmtId="0" fontId="3" fillId="23" borderId="14" xfId="0" applyFont="1" applyFill="1" applyBorder="1"/>
    <xf numFmtId="165" fontId="3" fillId="0" borderId="0" xfId="0" applyNumberFormat="1" applyFont="1" applyFill="1" applyBorder="1" applyAlignment="1">
      <alignment horizontal="left" vertical="center"/>
    </xf>
    <xf numFmtId="0" fontId="79" fillId="0" borderId="0" xfId="0" applyFont="1" applyFill="1" applyBorder="1"/>
    <xf numFmtId="0" fontId="80" fillId="0" borderId="0" xfId="0" applyFont="1" applyFill="1" applyBorder="1"/>
    <xf numFmtId="165" fontId="3" fillId="0" borderId="0" xfId="4" applyNumberFormat="1" applyFont="1" applyBorder="1" applyAlignment="1">
      <alignment horizontal="left"/>
    </xf>
    <xf numFmtId="170" fontId="0" fillId="23" borderId="0" xfId="2" applyNumberFormat="1" applyFont="1" applyFill="1" applyAlignment="1">
      <alignment horizontal="center"/>
    </xf>
    <xf numFmtId="0" fontId="43" fillId="0" borderId="14" xfId="4" applyFont="1" applyFill="1" applyBorder="1" applyAlignment="1">
      <alignment horizontal="center" vertical="center"/>
    </xf>
    <xf numFmtId="0" fontId="43" fillId="0" borderId="0" xfId="4" applyFont="1" applyBorder="1" applyAlignment="1">
      <alignment horizontal="center" vertical="center"/>
    </xf>
    <xf numFmtId="0" fontId="21" fillId="0" borderId="0" xfId="4" applyFont="1" applyAlignment="1">
      <alignment vertical="center"/>
    </xf>
    <xf numFmtId="0" fontId="42" fillId="0" borderId="0" xfId="4" applyFont="1" applyAlignment="1">
      <alignment vertical="center"/>
    </xf>
    <xf numFmtId="0" fontId="45" fillId="0" borderId="5" xfId="4" applyFont="1" applyBorder="1"/>
    <xf numFmtId="9" fontId="42" fillId="12" borderId="9" xfId="3" applyFont="1" applyFill="1" applyBorder="1" applyAlignment="1">
      <alignment horizontal="left"/>
    </xf>
    <xf numFmtId="0" fontId="42" fillId="12" borderId="4" xfId="4" applyFont="1" applyFill="1" applyBorder="1" applyAlignment="1">
      <alignment horizontal="left"/>
    </xf>
    <xf numFmtId="166" fontId="42" fillId="0" borderId="0" xfId="0" applyNumberFormat="1" applyFont="1" applyFill="1" applyBorder="1" applyAlignment="1">
      <alignment horizontal="center"/>
    </xf>
    <xf numFmtId="0" fontId="77" fillId="0" borderId="0" xfId="4" applyFont="1" applyBorder="1"/>
    <xf numFmtId="0" fontId="43" fillId="0" borderId="46" xfId="4" applyFont="1" applyBorder="1" applyAlignment="1">
      <alignment vertical="center"/>
    </xf>
    <xf numFmtId="0" fontId="43" fillId="0" borderId="46" xfId="4" applyFont="1" applyBorder="1" applyAlignment="1">
      <alignment horizontal="center" vertical="center" wrapText="1"/>
    </xf>
    <xf numFmtId="2" fontId="82" fillId="0" borderId="0" xfId="0" applyNumberFormat="1" applyFont="1" applyFill="1" applyBorder="1" applyAlignment="1">
      <alignment horizontal="center"/>
    </xf>
    <xf numFmtId="0" fontId="21" fillId="0" borderId="0" xfId="4" applyFont="1" applyBorder="1"/>
    <xf numFmtId="166" fontId="3" fillId="5" borderId="0" xfId="0" applyNumberFormat="1" applyFont="1" applyFill="1" applyBorder="1" applyAlignment="1">
      <alignment horizontal="center"/>
    </xf>
    <xf numFmtId="0" fontId="3" fillId="12" borderId="0" xfId="0" applyFont="1" applyFill="1" applyBorder="1" applyAlignment="1">
      <alignment horizontal="center"/>
    </xf>
    <xf numFmtId="166" fontId="3" fillId="2" borderId="0" xfId="0" applyNumberFormat="1" applyFont="1" applyFill="1" applyAlignment="1">
      <alignment horizontal="center"/>
    </xf>
    <xf numFmtId="167" fontId="3" fillId="2" borderId="0" xfId="0" applyNumberFormat="1" applyFont="1" applyFill="1" applyAlignment="1">
      <alignment horizontal="center"/>
    </xf>
    <xf numFmtId="0" fontId="11" fillId="0" borderId="0" xfId="0" applyFont="1" applyAlignment="1">
      <alignment horizontal="center"/>
    </xf>
    <xf numFmtId="2" fontId="11" fillId="0" borderId="0" xfId="0" applyNumberFormat="1" applyFont="1" applyFill="1" applyAlignment="1">
      <alignment horizontal="center"/>
    </xf>
    <xf numFmtId="2" fontId="11" fillId="0" borderId="0" xfId="0" applyNumberFormat="1" applyFont="1" applyFill="1" applyBorder="1" applyAlignment="1">
      <alignment horizontal="center"/>
    </xf>
    <xf numFmtId="0" fontId="3" fillId="5" borderId="18" xfId="0" applyFont="1" applyFill="1" applyBorder="1" applyAlignment="1">
      <alignment horizontal="center"/>
    </xf>
    <xf numFmtId="0" fontId="3" fillId="0" borderId="18" xfId="0" applyFont="1" applyFill="1" applyBorder="1" applyAlignment="1">
      <alignment horizontal="center"/>
    </xf>
    <xf numFmtId="164" fontId="3" fillId="5" borderId="49" xfId="0" applyNumberFormat="1" applyFont="1" applyFill="1" applyBorder="1" applyAlignment="1">
      <alignment horizontal="center"/>
    </xf>
    <xf numFmtId="40" fontId="3" fillId="2" borderId="0" xfId="2" applyNumberFormat="1" applyFont="1" applyFill="1" applyAlignment="1">
      <alignment horizontal="center"/>
    </xf>
    <xf numFmtId="40" fontId="3" fillId="0" borderId="0" xfId="2" applyNumberFormat="1" applyFont="1" applyFill="1" applyAlignment="1">
      <alignment horizontal="center"/>
    </xf>
    <xf numFmtId="170"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5" fontId="3" fillId="9" borderId="11" xfId="0" applyNumberFormat="1" applyFont="1" applyFill="1" applyBorder="1" applyAlignment="1">
      <alignment horizontal="right"/>
    </xf>
    <xf numFmtId="165"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5" fontId="3" fillId="7" borderId="11" xfId="0" applyNumberFormat="1" applyFont="1" applyFill="1" applyBorder="1" applyAlignment="1">
      <alignment horizontal="right"/>
    </xf>
    <xf numFmtId="165"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0" fontId="3" fillId="8" borderId="11" xfId="7" applyNumberFormat="1" applyFont="1" applyFill="1" applyBorder="1" applyAlignment="1">
      <alignment horizontal="right"/>
    </xf>
    <xf numFmtId="170" fontId="3" fillId="8" borderId="12" xfId="7" applyNumberFormat="1" applyFont="1" applyFill="1" applyBorder="1" applyAlignment="1">
      <alignment horizontal="right"/>
    </xf>
    <xf numFmtId="169" fontId="3" fillId="8" borderId="11" xfId="7" applyNumberFormat="1" applyFont="1" applyFill="1" applyBorder="1" applyAlignment="1">
      <alignment horizontal="right"/>
    </xf>
    <xf numFmtId="43" fontId="3" fillId="8" borderId="11" xfId="7" applyNumberFormat="1" applyFont="1" applyFill="1" applyBorder="1" applyAlignment="1">
      <alignment horizontal="right"/>
    </xf>
    <xf numFmtId="43" fontId="3" fillId="8" borderId="12" xfId="7" applyNumberFormat="1" applyFont="1" applyFill="1" applyBorder="1" applyAlignment="1">
      <alignment horizontal="right"/>
    </xf>
    <xf numFmtId="0" fontId="7" fillId="9" borderId="55" xfId="0" applyFont="1" applyFill="1" applyBorder="1"/>
    <xf numFmtId="0" fontId="3" fillId="9" borderId="44" xfId="0" applyFont="1" applyFill="1" applyBorder="1"/>
    <xf numFmtId="165" fontId="3" fillId="9" borderId="44" xfId="0" applyNumberFormat="1" applyFont="1" applyFill="1" applyBorder="1" applyAlignment="1">
      <alignment horizontal="right"/>
    </xf>
    <xf numFmtId="0" fontId="7" fillId="9" borderId="67" xfId="0" applyFont="1" applyFill="1" applyBorder="1"/>
    <xf numFmtId="0" fontId="3" fillId="9" borderId="1" xfId="0" applyFont="1" applyFill="1" applyBorder="1"/>
    <xf numFmtId="165" fontId="3" fillId="9" borderId="1" xfId="0" applyNumberFormat="1" applyFont="1" applyFill="1" applyBorder="1" applyAlignment="1">
      <alignment horizontal="right"/>
    </xf>
    <xf numFmtId="165" fontId="3" fillId="9" borderId="68" xfId="0" applyNumberFormat="1" applyFont="1" applyFill="1" applyBorder="1" applyAlignment="1">
      <alignment horizontal="right"/>
    </xf>
    <xf numFmtId="165" fontId="3" fillId="9" borderId="56" xfId="0" applyNumberFormat="1" applyFont="1" applyFill="1" applyBorder="1" applyAlignment="1">
      <alignment horizontal="right"/>
    </xf>
    <xf numFmtId="0" fontId="7" fillId="7" borderId="55" xfId="0" applyFont="1" applyFill="1" applyBorder="1"/>
    <xf numFmtId="0" fontId="3" fillId="7" borderId="44" xfId="0" applyFont="1" applyFill="1" applyBorder="1"/>
    <xf numFmtId="0" fontId="7" fillId="7" borderId="67" xfId="0" applyFont="1" applyFill="1" applyBorder="1"/>
    <xf numFmtId="0" fontId="3" fillId="7" borderId="1" xfId="0" applyFont="1" applyFill="1" applyBorder="1"/>
    <xf numFmtId="165" fontId="3" fillId="7" borderId="1" xfId="0" applyNumberFormat="1" applyFont="1" applyFill="1" applyBorder="1" applyAlignment="1">
      <alignment horizontal="right"/>
    </xf>
    <xf numFmtId="165" fontId="3" fillId="7" borderId="68" xfId="0" applyNumberFormat="1" applyFont="1" applyFill="1" applyBorder="1" applyAlignment="1">
      <alignment horizontal="right"/>
    </xf>
    <xf numFmtId="165" fontId="3" fillId="7" borderId="11" xfId="0" quotePrefix="1" applyNumberFormat="1" applyFont="1" applyFill="1" applyBorder="1" applyAlignment="1">
      <alignment horizontal="right"/>
    </xf>
    <xf numFmtId="165" fontId="0" fillId="7" borderId="11" xfId="0" quotePrefix="1" applyNumberFormat="1" applyFill="1" applyBorder="1" applyAlignment="1">
      <alignment horizontal="right"/>
    </xf>
    <xf numFmtId="165" fontId="3" fillId="7" borderId="12" xfId="0" quotePrefix="1" applyNumberFormat="1" applyFont="1" applyFill="1" applyBorder="1" applyAlignment="1">
      <alignment horizontal="right"/>
    </xf>
    <xf numFmtId="165" fontId="0" fillId="7" borderId="12" xfId="0" quotePrefix="1" applyNumberFormat="1" applyFill="1" applyBorder="1" applyAlignment="1">
      <alignment horizontal="right"/>
    </xf>
    <xf numFmtId="0" fontId="7" fillId="8" borderId="67" xfId="0" applyFont="1" applyFill="1" applyBorder="1"/>
    <xf numFmtId="0" fontId="3" fillId="8" borderId="1" xfId="0" applyFont="1" applyFill="1" applyBorder="1"/>
    <xf numFmtId="170" fontId="3" fillId="8" borderId="1" xfId="7" applyNumberFormat="1" applyFont="1" applyFill="1" applyBorder="1" applyAlignment="1">
      <alignment horizontal="right"/>
    </xf>
    <xf numFmtId="170" fontId="3" fillId="8" borderId="68"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0" fontId="0" fillId="0" borderId="0" xfId="2" applyNumberFormat="1" applyFont="1" applyAlignment="1">
      <alignment horizontal="left"/>
    </xf>
    <xf numFmtId="0" fontId="4" fillId="0" borderId="0" xfId="2" applyNumberFormat="1" applyFont="1" applyAlignment="1">
      <alignment horizontal="left"/>
    </xf>
    <xf numFmtId="2" fontId="3" fillId="11" borderId="0" xfId="0" applyNumberFormat="1" applyFont="1" applyFill="1" applyAlignment="1">
      <alignment horizontal="center"/>
    </xf>
    <xf numFmtId="43" fontId="3" fillId="0" borderId="0" xfId="0" applyNumberFormat="1" applyFont="1" applyBorder="1" applyAlignment="1">
      <alignment horizontal="center" vertical="center"/>
    </xf>
    <xf numFmtId="0" fontId="80" fillId="0" borderId="0" xfId="0" applyFont="1"/>
    <xf numFmtId="0" fontId="27" fillId="0" borderId="0" xfId="0" applyFont="1"/>
    <xf numFmtId="170" fontId="32" fillId="0" borderId="0" xfId="2" applyNumberFormat="1" applyFont="1" applyAlignment="1">
      <alignment horizontal="center"/>
    </xf>
    <xf numFmtId="0" fontId="83" fillId="0" borderId="0" xfId="0" applyFont="1"/>
    <xf numFmtId="0" fontId="32" fillId="0" borderId="0" xfId="2" applyNumberFormat="1" applyFont="1" applyAlignment="1">
      <alignment horizontal="center"/>
    </xf>
    <xf numFmtId="38" fontId="32" fillId="0" borderId="0" xfId="2" applyNumberFormat="1" applyFont="1"/>
    <xf numFmtId="38" fontId="32" fillId="0" borderId="0" xfId="0" applyNumberFormat="1" applyFont="1"/>
    <xf numFmtId="0" fontId="79" fillId="0" borderId="0" xfId="0" applyFont="1"/>
    <xf numFmtId="170" fontId="0" fillId="5" borderId="0" xfId="2" applyNumberFormat="1" applyFont="1" applyFill="1" applyAlignment="1">
      <alignment horizontal="center"/>
    </xf>
    <xf numFmtId="169" fontId="0" fillId="5" borderId="0" xfId="2" applyNumberFormat="1" applyFont="1" applyFill="1" applyAlignment="1">
      <alignment horizontal="center"/>
    </xf>
    <xf numFmtId="38" fontId="0" fillId="0" borderId="0" xfId="2" applyNumberFormat="1" applyFont="1" applyAlignment="1">
      <alignment horizontal="right"/>
    </xf>
    <xf numFmtId="172" fontId="0" fillId="0" borderId="0" xfId="2" applyNumberFormat="1" applyFont="1" applyAlignment="1">
      <alignment horizontal="center"/>
    </xf>
    <xf numFmtId="169" fontId="0" fillId="0" borderId="0" xfId="2" applyNumberFormat="1" applyFont="1" applyAlignment="1">
      <alignment horizontal="center"/>
    </xf>
    <xf numFmtId="43" fontId="3" fillId="0" borderId="0" xfId="2" applyNumberFormat="1" applyFont="1"/>
    <xf numFmtId="0" fontId="3" fillId="0" borderId="0" xfId="0" applyFont="1" applyFill="1" applyBorder="1" applyAlignment="1"/>
    <xf numFmtId="174" fontId="3" fillId="0" borderId="0" xfId="2" applyNumberFormat="1" applyFont="1" applyAlignment="1">
      <alignment horizontal="center"/>
    </xf>
    <xf numFmtId="0" fontId="18" fillId="0" borderId="1" xfId="0" applyFont="1" applyBorder="1" applyAlignment="1">
      <alignment horizontal="right"/>
    </xf>
    <xf numFmtId="186" fontId="0" fillId="0" borderId="0" xfId="0" applyNumberFormat="1"/>
    <xf numFmtId="167" fontId="3" fillId="0" borderId="0" xfId="0" applyNumberFormat="1" applyFont="1"/>
    <xf numFmtId="0" fontId="3" fillId="0" borderId="0" xfId="0" applyFont="1" applyBorder="1" applyAlignment="1">
      <alignment horizontal="right" wrapText="1"/>
    </xf>
    <xf numFmtId="165" fontId="3" fillId="0" borderId="0" xfId="0" applyNumberFormat="1" applyFont="1" applyBorder="1" applyAlignment="1">
      <alignment horizontal="right"/>
    </xf>
    <xf numFmtId="3" fontId="3" fillId="0" borderId="0" xfId="0" applyNumberFormat="1" applyFont="1" applyBorder="1" applyAlignment="1">
      <alignment horizontal="right"/>
    </xf>
    <xf numFmtId="167" fontId="3" fillId="0" borderId="0" xfId="0" applyNumberFormat="1" applyFont="1" applyBorder="1" applyAlignment="1">
      <alignment horizontal="right"/>
    </xf>
    <xf numFmtId="1" fontId="3" fillId="0" borderId="0" xfId="0" applyNumberFormat="1" applyFont="1" applyBorder="1"/>
    <xf numFmtId="167" fontId="3" fillId="0" borderId="0" xfId="0" applyNumberFormat="1" applyFont="1" applyBorder="1" applyAlignment="1">
      <alignment horizontal="right" wrapText="1"/>
    </xf>
    <xf numFmtId="1" fontId="3" fillId="0" borderId="0" xfId="0" applyNumberFormat="1" applyFont="1" applyBorder="1" applyAlignment="1">
      <alignment horizontal="right"/>
    </xf>
    <xf numFmtId="3" fontId="3" fillId="0" borderId="0" xfId="0" applyNumberFormat="1" applyFont="1" applyBorder="1"/>
    <xf numFmtId="39" fontId="3" fillId="0" borderId="0" xfId="0" applyNumberFormat="1" applyFont="1"/>
    <xf numFmtId="43" fontId="3" fillId="0" borderId="0" xfId="2" applyNumberFormat="1" applyFont="1" applyFill="1" applyAlignment="1">
      <alignment horizontal="right"/>
    </xf>
    <xf numFmtId="173" fontId="3" fillId="0" borderId="0" xfId="2" applyNumberFormat="1" applyFont="1" applyAlignment="1">
      <alignment horizontal="center"/>
    </xf>
    <xf numFmtId="165" fontId="29" fillId="0" borderId="0" xfId="0" applyNumberFormat="1" applyFont="1" applyFill="1" applyAlignment="1">
      <alignment horizontal="left"/>
    </xf>
    <xf numFmtId="0" fontId="84" fillId="0" borderId="0" xfId="4" applyFont="1"/>
    <xf numFmtId="0" fontId="77" fillId="0" borderId="0" xfId="4" applyFont="1"/>
    <xf numFmtId="1" fontId="42" fillId="0" borderId="7" xfId="4" applyNumberFormat="1" applyFont="1" applyBorder="1" applyAlignment="1">
      <alignment horizontal="center"/>
    </xf>
    <xf numFmtId="1" fontId="42" fillId="0" borderId="4" xfId="4" applyNumberFormat="1" applyFont="1" applyBorder="1" applyAlignment="1">
      <alignment horizontal="center"/>
    </xf>
    <xf numFmtId="0" fontId="42" fillId="0" borderId="0" xfId="0" applyFont="1" applyAlignment="1">
      <alignment horizontal="center"/>
    </xf>
    <xf numFmtId="3" fontId="42" fillId="0" borderId="0" xfId="0" applyNumberFormat="1" applyFont="1" applyAlignment="1">
      <alignment horizontal="center"/>
    </xf>
    <xf numFmtId="2" fontId="42" fillId="0" borderId="0" xfId="0" applyNumberFormat="1" applyFont="1" applyAlignment="1">
      <alignment horizontal="center"/>
    </xf>
    <xf numFmtId="0" fontId="42" fillId="0" borderId="13" xfId="4" applyFont="1" applyBorder="1" applyAlignment="1">
      <alignment horizontal="left"/>
    </xf>
    <xf numFmtId="2" fontId="53" fillId="0" borderId="14" xfId="4" applyNumberFormat="1" applyFont="1" applyBorder="1" applyAlignment="1">
      <alignment horizontal="center"/>
    </xf>
    <xf numFmtId="0" fontId="42" fillId="0" borderId="0" xfId="4" applyFont="1" applyAlignment="1">
      <alignment horizontal="center"/>
    </xf>
    <xf numFmtId="0" fontId="70" fillId="0" borderId="0" xfId="4" applyFont="1" applyBorder="1"/>
    <xf numFmtId="0" fontId="70" fillId="0" borderId="0" xfId="4" applyFont="1"/>
    <xf numFmtId="0" fontId="0" fillId="0" borderId="8" xfId="0" applyBorder="1" applyAlignment="1">
      <alignment horizontal="left"/>
    </xf>
    <xf numFmtId="165" fontId="0" fillId="0" borderId="0" xfId="4" applyNumberFormat="1" applyFont="1" applyAlignment="1">
      <alignment horizontal="center"/>
    </xf>
    <xf numFmtId="165" fontId="3" fillId="0" borderId="0" xfId="0" applyNumberFormat="1" applyFont="1" applyAlignment="1">
      <alignment horizontal="center" vertical="center"/>
    </xf>
    <xf numFmtId="0" fontId="0" fillId="0" borderId="0" xfId="0" applyAlignment="1">
      <alignment horizontal="center" vertical="center"/>
    </xf>
    <xf numFmtId="169" fontId="0" fillId="5" borderId="0" xfId="2" applyNumberFormat="1" applyFont="1" applyFill="1" applyAlignment="1">
      <alignment horizontal="right"/>
    </xf>
    <xf numFmtId="170" fontId="0" fillId="5" borderId="0" xfId="2" applyNumberFormat="1" applyFont="1" applyFill="1" applyAlignment="1">
      <alignment horizontal="right"/>
    </xf>
    <xf numFmtId="0" fontId="3" fillId="0" borderId="0" xfId="0" applyFont="1" applyAlignment="1"/>
    <xf numFmtId="0" fontId="3" fillId="0" borderId="0" xfId="0" applyFont="1" applyAlignment="1">
      <alignment horizontal="left"/>
    </xf>
    <xf numFmtId="0" fontId="3" fillId="0" borderId="0" xfId="0" applyFont="1" applyFill="1" applyAlignment="1"/>
    <xf numFmtId="174"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86" fillId="0" borderId="0" xfId="0" applyFont="1"/>
    <xf numFmtId="0" fontId="7" fillId="0" borderId="18" xfId="0" applyFont="1" applyBorder="1"/>
    <xf numFmtId="170" fontId="0" fillId="0" borderId="0" xfId="2" applyNumberFormat="1" applyFont="1" applyFill="1" applyAlignment="1">
      <alignment horizontal="center"/>
    </xf>
    <xf numFmtId="170" fontId="3" fillId="0" borderId="0" xfId="2" applyNumberFormat="1" applyFont="1" applyFill="1" applyAlignment="1">
      <alignment horizontal="center"/>
    </xf>
    <xf numFmtId="43" fontId="0" fillId="0" borderId="0" xfId="2" applyFont="1" applyFill="1" applyAlignment="1">
      <alignment horizontal="center"/>
    </xf>
    <xf numFmtId="43" fontId="0" fillId="0" borderId="0" xfId="2" applyFont="1" applyFill="1" applyBorder="1" applyAlignment="1">
      <alignment horizontal="center"/>
    </xf>
    <xf numFmtId="0" fontId="7" fillId="0" borderId="23" xfId="0" applyFont="1" applyBorder="1"/>
    <xf numFmtId="0" fontId="7" fillId="0" borderId="34" xfId="0" applyFont="1" applyBorder="1"/>
    <xf numFmtId="0" fontId="7" fillId="0" borderId="18" xfId="0" applyFont="1" applyFill="1" applyBorder="1"/>
    <xf numFmtId="169" fontId="3" fillId="0" borderId="0" xfId="2" applyNumberFormat="1" applyFont="1"/>
    <xf numFmtId="169" fontId="32" fillId="0" borderId="0" xfId="2" applyNumberFormat="1" applyFont="1" applyAlignment="1">
      <alignment horizontal="center"/>
    </xf>
    <xf numFmtId="43" fontId="3" fillId="0" borderId="0" xfId="0" applyNumberFormat="1" applyFont="1" applyBorder="1"/>
    <xf numFmtId="44" fontId="3" fillId="0" borderId="0" xfId="2" applyNumberFormat="1" applyFont="1" applyBorder="1" applyAlignment="1">
      <alignment horizontal="center"/>
    </xf>
    <xf numFmtId="170" fontId="3" fillId="0" borderId="0" xfId="2" applyNumberFormat="1" applyFont="1" applyFill="1" applyAlignment="1">
      <alignment horizontal="center" vertical="center"/>
    </xf>
    <xf numFmtId="43" fontId="3" fillId="0" borderId="0" xfId="2" applyFont="1" applyFill="1" applyAlignment="1">
      <alignment horizontal="center" vertical="center"/>
    </xf>
    <xf numFmtId="165" fontId="3" fillId="0" borderId="0" xfId="0" applyNumberFormat="1" applyFont="1" applyFill="1" applyAlignment="1">
      <alignment horizontal="center" vertical="center"/>
    </xf>
    <xf numFmtId="1" fontId="3" fillId="0" borderId="0" xfId="0" applyNumberFormat="1" applyFont="1" applyFill="1" applyAlignment="1">
      <alignment horizontal="center" vertical="center"/>
    </xf>
    <xf numFmtId="2" fontId="3" fillId="0" borderId="0" xfId="2" applyNumberFormat="1" applyFont="1" applyFill="1" applyAlignment="1">
      <alignment horizontal="center" vertical="center"/>
    </xf>
    <xf numFmtId="2" fontId="3" fillId="0" borderId="0" xfId="0" applyNumberFormat="1" applyFont="1" applyFill="1" applyAlignment="1">
      <alignment horizontal="center" vertical="center"/>
    </xf>
    <xf numFmtId="1" fontId="3" fillId="0" borderId="0" xfId="2" applyNumberFormat="1" applyFont="1" applyFill="1" applyAlignment="1">
      <alignment horizontal="center" vertical="center"/>
    </xf>
    <xf numFmtId="0" fontId="67" fillId="0" borderId="0" xfId="0" applyFont="1" applyFill="1" applyAlignment="1">
      <alignment vertical="center"/>
    </xf>
    <xf numFmtId="164" fontId="3" fillId="0" borderId="0" xfId="0" applyNumberFormat="1" applyFont="1" applyAlignment="1">
      <alignment horizontal="center"/>
    </xf>
    <xf numFmtId="186" fontId="0" fillId="0" borderId="0" xfId="9" applyNumberFormat="1" applyFont="1"/>
    <xf numFmtId="186" fontId="3" fillId="0" borderId="0" xfId="9" applyNumberFormat="1" applyFont="1"/>
    <xf numFmtId="40" fontId="3" fillId="0" borderId="0" xfId="2" applyNumberFormat="1" applyFont="1" applyBorder="1" applyAlignment="1">
      <alignment horizontal="center"/>
    </xf>
    <xf numFmtId="0" fontId="87" fillId="0" borderId="0" xfId="0" applyFont="1" applyBorder="1"/>
    <xf numFmtId="1" fontId="0" fillId="0" borderId="0" xfId="0" applyNumberFormat="1" applyAlignment="1">
      <alignment horizontal="right"/>
    </xf>
    <xf numFmtId="170" fontId="0" fillId="0" borderId="0" xfId="2" applyNumberFormat="1" applyFont="1" applyFill="1" applyBorder="1" applyAlignment="1">
      <alignment horizontal="center"/>
    </xf>
    <xf numFmtId="165" fontId="3" fillId="0" borderId="0" xfId="2" applyNumberFormat="1" applyFont="1" applyFill="1" applyAlignment="1">
      <alignment horizontal="center" vertical="center"/>
    </xf>
    <xf numFmtId="0" fontId="3" fillId="0" borderId="0" xfId="0" applyFont="1" applyBorder="1" applyAlignment="1">
      <alignment vertical="center" wrapText="1"/>
    </xf>
    <xf numFmtId="0" fontId="0" fillId="0" borderId="0" xfId="0" applyFill="1" applyBorder="1" applyAlignment="1">
      <alignment horizontal="center"/>
    </xf>
    <xf numFmtId="0" fontId="0" fillId="0" borderId="0" xfId="0" applyBorder="1" applyAlignment="1">
      <alignment horizontal="center"/>
    </xf>
    <xf numFmtId="0" fontId="88" fillId="0" borderId="8" xfId="0" applyFont="1" applyBorder="1" applyAlignment="1">
      <alignment vertical="center"/>
    </xf>
    <xf numFmtId="0" fontId="88" fillId="0" borderId="0" xfId="0" applyFont="1" applyBorder="1" applyAlignment="1">
      <alignment vertical="center"/>
    </xf>
    <xf numFmtId="0" fontId="88" fillId="0" borderId="9" xfId="0" applyFont="1" applyBorder="1" applyAlignment="1">
      <alignment vertical="center"/>
    </xf>
    <xf numFmtId="0" fontId="19" fillId="0" borderId="0" xfId="0" applyFont="1" applyFill="1" applyBorder="1" applyAlignment="1">
      <alignment horizontal="center" vertical="center"/>
    </xf>
    <xf numFmtId="0" fontId="10" fillId="0" borderId="0" xfId="0" applyFont="1" applyFill="1" applyBorder="1" applyAlignment="1">
      <alignment horizontal="center"/>
    </xf>
    <xf numFmtId="0" fontId="48" fillId="11" borderId="43" xfId="0" applyFont="1" applyFill="1" applyBorder="1" applyAlignment="1">
      <alignment horizontal="center"/>
    </xf>
    <xf numFmtId="0" fontId="4" fillId="0" borderId="0" xfId="0" applyFont="1" applyBorder="1" applyAlignment="1">
      <alignment vertical="center" wrapText="1"/>
    </xf>
    <xf numFmtId="0" fontId="89" fillId="0" borderId="0" xfId="0" applyFont="1" applyBorder="1" applyAlignment="1">
      <alignment vertical="center" wrapText="1"/>
    </xf>
    <xf numFmtId="0" fontId="48" fillId="0" borderId="0" xfId="0" applyFont="1" applyBorder="1" applyAlignment="1">
      <alignment vertical="center"/>
    </xf>
    <xf numFmtId="0" fontId="4" fillId="0" borderId="0" xfId="0" applyFont="1" applyBorder="1" applyAlignment="1">
      <alignment horizontal="center" vertical="center" wrapText="1"/>
    </xf>
    <xf numFmtId="0" fontId="93" fillId="0" borderId="0" xfId="0" applyFont="1" applyBorder="1" applyAlignment="1">
      <alignment horizontal="center" wrapText="1"/>
    </xf>
    <xf numFmtId="0" fontId="94" fillId="0" borderId="0" xfId="0" applyFont="1" applyBorder="1" applyAlignment="1">
      <alignment horizontal="center" wrapText="1"/>
    </xf>
    <xf numFmtId="1" fontId="10" fillId="11" borderId="18" xfId="0" applyNumberFormat="1" applyFont="1" applyFill="1" applyBorder="1" applyAlignment="1">
      <alignment horizontal="center" vertical="center"/>
    </xf>
    <xf numFmtId="0" fontId="47"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0" xfId="0" applyFont="1" applyBorder="1" applyAlignment="1">
      <alignment vertical="center"/>
    </xf>
    <xf numFmtId="0" fontId="3" fillId="0" borderId="3" xfId="0" applyFont="1" applyBorder="1" applyAlignment="1">
      <alignment vertical="center" wrapText="1"/>
    </xf>
    <xf numFmtId="0" fontId="95" fillId="0" borderId="13" xfId="0" applyFont="1" applyBorder="1" applyAlignment="1">
      <alignment vertical="center"/>
    </xf>
    <xf numFmtId="0" fontId="95" fillId="21" borderId="13" xfId="0" applyFont="1" applyFill="1" applyBorder="1" applyAlignment="1">
      <alignment vertical="center"/>
    </xf>
    <xf numFmtId="0" fontId="95" fillId="21" borderId="15" xfId="0" applyFont="1" applyFill="1" applyBorder="1" applyAlignment="1">
      <alignment vertical="center"/>
    </xf>
    <xf numFmtId="0" fontId="48"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2" fillId="21" borderId="15" xfId="0" applyFont="1" applyFill="1" applyBorder="1" applyAlignment="1">
      <alignment horizontal="center" vertical="center" wrapText="1"/>
    </xf>
    <xf numFmtId="0" fontId="48" fillId="21" borderId="15" xfId="0" applyFont="1" applyFill="1" applyBorder="1"/>
    <xf numFmtId="0" fontId="48" fillId="21" borderId="15" xfId="0" applyFont="1" applyFill="1" applyBorder="1" applyAlignment="1">
      <alignment vertical="center"/>
    </xf>
    <xf numFmtId="0" fontId="48" fillId="21" borderId="14" xfId="0" applyFont="1" applyFill="1" applyBorder="1" applyAlignment="1">
      <alignment vertical="center"/>
    </xf>
    <xf numFmtId="0" fontId="12" fillId="21" borderId="15" xfId="0" applyFont="1" applyFill="1" applyBorder="1" applyAlignment="1">
      <alignment horizontal="center" wrapText="1"/>
    </xf>
    <xf numFmtId="0" fontId="91" fillId="21" borderId="15" xfId="0" applyFont="1" applyFill="1" applyBorder="1" applyAlignment="1">
      <alignment horizontal="center" wrapText="1"/>
    </xf>
    <xf numFmtId="0" fontId="12" fillId="21" borderId="15" xfId="0" applyFont="1" applyFill="1" applyBorder="1" applyAlignment="1">
      <alignment vertical="center" wrapText="1"/>
    </xf>
    <xf numFmtId="0" fontId="96" fillId="0" borderId="0" xfId="0" applyFont="1"/>
    <xf numFmtId="0" fontId="4" fillId="18" borderId="5" xfId="0" applyFont="1" applyFill="1" applyBorder="1"/>
    <xf numFmtId="0" fontId="4" fillId="19" borderId="6" xfId="0" applyFont="1" applyFill="1" applyBorder="1"/>
    <xf numFmtId="1" fontId="7" fillId="0" borderId="0" xfId="0" applyNumberFormat="1" applyFont="1" applyFill="1" applyAlignment="1">
      <alignment horizontal="left"/>
    </xf>
    <xf numFmtId="20" fontId="7" fillId="0" borderId="0" xfId="0" applyNumberFormat="1" applyFont="1" applyFill="1" applyAlignment="1">
      <alignment horizontal="center"/>
    </xf>
    <xf numFmtId="0" fontId="97" fillId="13" borderId="13" xfId="0" applyFont="1" applyFill="1" applyBorder="1" applyAlignment="1">
      <alignment horizontal="right"/>
    </xf>
    <xf numFmtId="0" fontId="4" fillId="11" borderId="42"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3" fontId="4" fillId="11" borderId="18" xfId="0" applyNumberFormat="1" applyFont="1" applyFill="1" applyBorder="1" applyAlignment="1">
      <alignment horizontal="center" vertical="center"/>
    </xf>
    <xf numFmtId="3" fontId="4" fillId="11" borderId="23" xfId="0" applyNumberFormat="1" applyFont="1" applyFill="1" applyBorder="1" applyAlignment="1">
      <alignment horizontal="center" vertical="center"/>
    </xf>
    <xf numFmtId="3" fontId="4" fillId="11" borderId="24" xfId="0" applyNumberFormat="1" applyFont="1" applyFill="1" applyBorder="1" applyAlignment="1">
      <alignment horizontal="center" vertical="center"/>
    </xf>
    <xf numFmtId="3" fontId="4" fillId="11" borderId="25" xfId="0" applyNumberFormat="1" applyFont="1" applyFill="1" applyBorder="1" applyAlignment="1">
      <alignment horizontal="center" vertical="center"/>
    </xf>
    <xf numFmtId="3" fontId="4" fillId="11" borderId="26"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Border="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Fill="1" applyBorder="1" applyAlignment="1">
      <alignment horizontal="left"/>
    </xf>
    <xf numFmtId="3" fontId="10" fillId="0" borderId="0" xfId="2" applyNumberFormat="1" applyFont="1" applyFill="1" applyBorder="1" applyAlignment="1">
      <alignment horizontal="center" vertical="center"/>
    </xf>
    <xf numFmtId="0" fontId="4" fillId="10" borderId="40" xfId="0" applyFont="1" applyFill="1" applyBorder="1" applyAlignment="1">
      <alignment horizontal="center" vertical="center"/>
    </xf>
    <xf numFmtId="0" fontId="4" fillId="10" borderId="36" xfId="0" applyFont="1" applyFill="1" applyBorder="1" applyAlignment="1">
      <alignment horizontal="center" vertical="center"/>
    </xf>
    <xf numFmtId="0" fontId="4" fillId="10" borderId="41" xfId="0" applyFont="1" applyFill="1" applyBorder="1" applyAlignment="1">
      <alignment horizontal="center" vertical="center"/>
    </xf>
    <xf numFmtId="1" fontId="10" fillId="0" borderId="0" xfId="0" applyNumberFormat="1" applyFont="1" applyFill="1" applyBorder="1" applyAlignment="1">
      <alignment horizontal="center"/>
    </xf>
    <xf numFmtId="0" fontId="4" fillId="0" borderId="0" xfId="0" applyFont="1" applyBorder="1" applyAlignment="1">
      <alignment wrapText="1"/>
    </xf>
    <xf numFmtId="165" fontId="4" fillId="0" borderId="0" xfId="0" applyNumberFormat="1" applyFont="1" applyFill="1" applyBorder="1" applyAlignment="1">
      <alignment horizontal="center" vertical="center"/>
    </xf>
    <xf numFmtId="2" fontId="4" fillId="0" borderId="0" xfId="0" applyNumberFormat="1" applyFont="1" applyFill="1" applyBorder="1" applyAlignment="1">
      <alignment horizontal="center" vertical="center"/>
    </xf>
    <xf numFmtId="0" fontId="47" fillId="0" borderId="0" xfId="0" applyFont="1" applyBorder="1" applyAlignment="1">
      <alignment horizontal="center"/>
    </xf>
    <xf numFmtId="170"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1" fontId="10" fillId="11" borderId="18" xfId="9" applyNumberFormat="1" applyFont="1" applyFill="1" applyBorder="1" applyAlignment="1">
      <alignment horizontal="center" vertical="center"/>
    </xf>
    <xf numFmtId="0" fontId="97" fillId="9" borderId="16" xfId="0" applyFont="1" applyFill="1" applyBorder="1" applyAlignment="1">
      <alignment horizontal="center" vertical="center" wrapText="1"/>
    </xf>
    <xf numFmtId="0" fontId="4" fillId="10" borderId="35" xfId="0" applyFont="1" applyFill="1" applyBorder="1" applyAlignment="1">
      <alignment horizontal="center" vertical="center"/>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97" fillId="9" borderId="16" xfId="1" applyFont="1" applyFill="1" applyBorder="1" applyAlignment="1">
      <alignment horizontal="center" vertical="center" wrapText="1"/>
    </xf>
    <xf numFmtId="165"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8" fontId="10" fillId="0" borderId="0" xfId="0" applyNumberFormat="1" applyFont="1" applyBorder="1"/>
    <xf numFmtId="1" fontId="10" fillId="12" borderId="18" xfId="0" applyNumberFormat="1" applyFont="1" applyFill="1" applyBorder="1" applyAlignment="1">
      <alignment horizontal="center" vertical="center"/>
    </xf>
    <xf numFmtId="0" fontId="89" fillId="0" borderId="0" xfId="0" applyFont="1" applyBorder="1"/>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Border="1" applyAlignment="1">
      <alignment horizontal="center" wrapText="1"/>
    </xf>
    <xf numFmtId="0" fontId="47" fillId="12" borderId="54" xfId="0" applyFont="1" applyFill="1" applyBorder="1" applyAlignment="1">
      <alignment horizontal="center" vertical="center"/>
    </xf>
    <xf numFmtId="0" fontId="47" fillId="0" borderId="38" xfId="0" applyFont="1" applyBorder="1" applyAlignment="1">
      <alignment vertical="top" wrapText="1"/>
    </xf>
    <xf numFmtId="0" fontId="4" fillId="0" borderId="0" xfId="0" applyFont="1" applyFill="1" applyBorder="1" applyAlignment="1">
      <alignment vertical="center" wrapText="1"/>
    </xf>
    <xf numFmtId="0" fontId="4" fillId="0" borderId="0" xfId="0" applyFont="1" applyFill="1" applyBorder="1" applyAlignment="1">
      <alignment horizontal="center" vertical="center"/>
    </xf>
    <xf numFmtId="0" fontId="47" fillId="0" borderId="0" xfId="0" applyFont="1" applyFill="1" applyBorder="1" applyAlignment="1">
      <alignment horizontal="center" vertical="center"/>
    </xf>
    <xf numFmtId="0" fontId="21" fillId="0" borderId="40" xfId="0" applyFont="1" applyBorder="1"/>
    <xf numFmtId="0" fontId="21" fillId="0" borderId="36" xfId="0" applyFont="1" applyBorder="1"/>
    <xf numFmtId="0" fontId="21" fillId="0" borderId="41" xfId="0" applyNumberFormat="1" applyFont="1" applyBorder="1" applyAlignment="1">
      <alignment horizontal="center"/>
    </xf>
    <xf numFmtId="0" fontId="60" fillId="15" borderId="52" xfId="0" applyFont="1" applyFill="1" applyBorder="1"/>
    <xf numFmtId="0" fontId="60" fillId="15" borderId="53" xfId="0" applyFont="1" applyFill="1" applyBorder="1"/>
    <xf numFmtId="0" fontId="60" fillId="15" borderId="53" xfId="0" applyFont="1" applyFill="1" applyBorder="1" applyAlignment="1">
      <alignment vertical="center"/>
    </xf>
    <xf numFmtId="0" fontId="60" fillId="15" borderId="0" xfId="0" applyFont="1" applyFill="1" applyBorder="1"/>
    <xf numFmtId="0" fontId="60" fillId="15" borderId="0" xfId="0" applyNumberFormat="1" applyFont="1" applyFill="1" applyBorder="1" applyAlignment="1">
      <alignment horizontal="center" vertical="center"/>
    </xf>
    <xf numFmtId="0" fontId="18" fillId="0" borderId="29"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NumberFormat="1" applyFont="1" applyFill="1" applyBorder="1" applyAlignment="1">
      <alignment horizontal="center" vertical="center" wrapText="1"/>
    </xf>
    <xf numFmtId="0" fontId="7" fillId="0" borderId="0" xfId="0" applyFont="1" applyFill="1" applyAlignment="1">
      <alignment horizontal="center"/>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87" fillId="0" borderId="0" xfId="0" applyFont="1"/>
    <xf numFmtId="0" fontId="21" fillId="0" borderId="0" xfId="0" applyFont="1" applyFill="1" applyBorder="1" applyAlignment="1">
      <alignment horizontal="center"/>
    </xf>
    <xf numFmtId="0" fontId="21" fillId="0" borderId="0" xfId="0" applyFont="1" applyFill="1" applyBorder="1" applyAlignment="1">
      <alignment horizontal="left"/>
    </xf>
    <xf numFmtId="3" fontId="21" fillId="0" borderId="0" xfId="2" applyNumberFormat="1" applyFont="1" applyFill="1" applyBorder="1" applyAlignment="1">
      <alignment horizontal="center" vertical="center"/>
    </xf>
    <xf numFmtId="4" fontId="21" fillId="0" borderId="0" xfId="2" applyNumberFormat="1" applyFont="1" applyFill="1" applyBorder="1" applyAlignment="1">
      <alignment horizontal="center" vertical="center"/>
    </xf>
    <xf numFmtId="0" fontId="12" fillId="0" borderId="0" xfId="0" applyFont="1" applyBorder="1" applyAlignment="1">
      <alignment vertical="center" wrapText="1"/>
    </xf>
    <xf numFmtId="0" fontId="99" fillId="0" borderId="0" xfId="0" applyFont="1" applyBorder="1" applyAlignment="1">
      <alignment vertical="center" wrapText="1"/>
    </xf>
    <xf numFmtId="0" fontId="10" fillId="0" borderId="0" xfId="0" applyFont="1" applyAlignment="1">
      <alignment horizontal="center" wrapText="1"/>
    </xf>
    <xf numFmtId="0" fontId="10" fillId="0" borderId="0" xfId="0" applyFont="1" applyBorder="1" applyAlignment="1">
      <alignment horizontal="center" vertical="center" wrapText="1"/>
    </xf>
    <xf numFmtId="0" fontId="10" fillId="11" borderId="18" xfId="0" applyFont="1" applyFill="1" applyBorder="1" applyAlignment="1">
      <alignment horizontal="center" vertical="center"/>
    </xf>
    <xf numFmtId="1" fontId="10" fillId="11" borderId="18"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1" fontId="50" fillId="4" borderId="18" xfId="0" applyNumberFormat="1" applyFont="1" applyFill="1" applyBorder="1" applyAlignment="1">
      <alignment horizontal="center" vertical="center"/>
    </xf>
    <xf numFmtId="0" fontId="12" fillId="0" borderId="0" xfId="0" applyFont="1" applyBorder="1" applyAlignment="1">
      <alignment vertical="center"/>
    </xf>
    <xf numFmtId="0" fontId="18" fillId="11" borderId="40" xfId="0" applyFont="1" applyFill="1" applyBorder="1" applyAlignment="1">
      <alignment horizontal="left"/>
    </xf>
    <xf numFmtId="0" fontId="18" fillId="5" borderId="13" xfId="0" applyFont="1" applyFill="1" applyBorder="1" applyAlignment="1"/>
    <xf numFmtId="0" fontId="18" fillId="3" borderId="40"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1" xfId="0" applyFont="1" applyFill="1" applyBorder="1" applyAlignment="1">
      <alignment horizontal="center" vertical="center"/>
    </xf>
    <xf numFmtId="0" fontId="18" fillId="0" borderId="3" xfId="0" applyFont="1" applyBorder="1" applyAlignment="1">
      <alignment horizontal="center" vertical="center" wrapText="1"/>
    </xf>
    <xf numFmtId="170"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2"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70" xfId="0" applyFont="1" applyFill="1" applyBorder="1" applyAlignment="1">
      <alignment horizontal="center" vertical="center"/>
    </xf>
    <xf numFmtId="0" fontId="95" fillId="0" borderId="13" xfId="0" applyFont="1" applyBorder="1"/>
    <xf numFmtId="0" fontId="10" fillId="0" borderId="15" xfId="0" applyFont="1" applyBorder="1"/>
    <xf numFmtId="0" fontId="95"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5" xfId="0" applyFont="1" applyFill="1" applyBorder="1"/>
    <xf numFmtId="0" fontId="10" fillId="0" borderId="14" xfId="0" applyFont="1" applyFill="1" applyBorder="1"/>
    <xf numFmtId="0" fontId="4" fillId="4" borderId="16" xfId="0" applyNumberFormat="1" applyFont="1" applyFill="1" applyBorder="1" applyAlignment="1">
      <alignment horizontal="left"/>
    </xf>
    <xf numFmtId="0" fontId="4" fillId="4" borderId="16" xfId="0" applyNumberFormat="1" applyFont="1" applyFill="1" applyBorder="1" applyAlignment="1">
      <alignment horizontal="left" vertical="center" wrapText="1"/>
    </xf>
    <xf numFmtId="0" fontId="10" fillId="0" borderId="2" xfId="0" applyFont="1" applyFill="1" applyBorder="1"/>
    <xf numFmtId="0" fontId="10" fillId="0" borderId="7" xfId="0" applyFont="1" applyFill="1" applyBorder="1"/>
    <xf numFmtId="0" fontId="36" fillId="0" borderId="8" xfId="0" applyFont="1" applyBorder="1"/>
    <xf numFmtId="0" fontId="50" fillId="0" borderId="9" xfId="0" applyFont="1" applyBorder="1"/>
    <xf numFmtId="0" fontId="10" fillId="0" borderId="8" xfId="0" applyFont="1" applyFill="1" applyBorder="1"/>
    <xf numFmtId="165" fontId="0" fillId="0" borderId="0" xfId="0" applyNumberFormat="1" applyFill="1" applyBorder="1" applyAlignment="1">
      <alignment horizontal="center"/>
    </xf>
    <xf numFmtId="168" fontId="3" fillId="0" borderId="0" xfId="0" applyNumberFormat="1" applyFont="1" applyFill="1" applyAlignment="1">
      <alignment horizontal="center"/>
    </xf>
    <xf numFmtId="169"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7" fillId="4" borderId="18" xfId="0" applyFont="1" applyFill="1" applyBorder="1" applyAlignment="1">
      <alignment horizontal="center" vertical="center"/>
    </xf>
    <xf numFmtId="0" fontId="33" fillId="23" borderId="22" xfId="8" applyFill="1" applyBorder="1" applyAlignment="1">
      <alignment horizontal="center"/>
    </xf>
    <xf numFmtId="0" fontId="33" fillId="25" borderId="22" xfId="8" applyFill="1" applyBorder="1" applyAlignment="1">
      <alignment horizontal="center"/>
    </xf>
    <xf numFmtId="0" fontId="33" fillId="26" borderId="23" xfId="8" applyFill="1" applyBorder="1" applyAlignment="1">
      <alignment horizontal="center"/>
    </xf>
    <xf numFmtId="0" fontId="33" fillId="14" borderId="22" xfId="8" applyFill="1" applyBorder="1" applyAlignment="1">
      <alignment horizontal="center"/>
    </xf>
    <xf numFmtId="0" fontId="33" fillId="23" borderId="24" xfId="8" applyFill="1" applyBorder="1" applyAlignment="1">
      <alignment horizontal="center"/>
    </xf>
    <xf numFmtId="0" fontId="33" fillId="11" borderId="26" xfId="8" applyFill="1" applyBorder="1" applyAlignment="1">
      <alignment horizontal="center"/>
    </xf>
    <xf numFmtId="0" fontId="33" fillId="27" borderId="23" xfId="8" applyFill="1" applyBorder="1" applyAlignment="1">
      <alignment horizontal="center"/>
    </xf>
    <xf numFmtId="0" fontId="100" fillId="0" borderId="0" xfId="0" applyFont="1" applyBorder="1" applyAlignment="1">
      <alignment vertic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71" xfId="0" applyFont="1" applyFill="1" applyBorder="1" applyAlignment="1">
      <alignment horizontal="left"/>
    </xf>
    <xf numFmtId="0" fontId="4" fillId="0" borderId="46" xfId="0" applyFont="1" applyFill="1" applyBorder="1" applyAlignment="1">
      <alignment horizontal="left"/>
    </xf>
    <xf numFmtId="0" fontId="4" fillId="0" borderId="48" xfId="0" applyFont="1" applyFill="1" applyBorder="1" applyAlignment="1">
      <alignment horizontal="left"/>
    </xf>
    <xf numFmtId="0" fontId="4" fillId="0" borderId="49" xfId="0" applyFont="1" applyFill="1" applyBorder="1" applyAlignment="1">
      <alignment horizontal="left"/>
    </xf>
    <xf numFmtId="1" fontId="10" fillId="0" borderId="66" xfId="2" applyNumberFormat="1" applyFont="1" applyFill="1" applyBorder="1" applyAlignment="1">
      <alignment horizontal="center" vertical="center"/>
    </xf>
    <xf numFmtId="1" fontId="10" fillId="0" borderId="57"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NumberFormat="1"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3" fillId="0" borderId="5" xfId="0" applyFont="1" applyBorder="1"/>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5" xfId="0" applyFont="1" applyFill="1" applyBorder="1" applyAlignment="1">
      <alignment wrapText="1"/>
    </xf>
    <xf numFmtId="0" fontId="18" fillId="0" borderId="46" xfId="4" applyFont="1" applyFill="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Border="1" applyAlignment="1">
      <alignment horizontal="center"/>
    </xf>
    <xf numFmtId="164" fontId="21" fillId="0" borderId="0" xfId="2" applyNumberFormat="1" applyFont="1" applyFill="1" applyBorder="1" applyAlignment="1">
      <alignment horizontal="center" vertical="center"/>
    </xf>
    <xf numFmtId="165" fontId="3" fillId="0" borderId="39" xfId="2" applyNumberFormat="1" applyFont="1" applyFill="1" applyBorder="1" applyAlignment="1">
      <alignment horizontal="center"/>
    </xf>
    <xf numFmtId="165" fontId="3" fillId="0" borderId="48" xfId="2" applyNumberFormat="1" applyFont="1" applyFill="1" applyBorder="1" applyAlignment="1">
      <alignment horizontal="center"/>
    </xf>
    <xf numFmtId="0" fontId="100" fillId="0" borderId="0" xfId="0" applyFont="1" applyBorder="1" applyAlignment="1">
      <alignment vertical="top"/>
    </xf>
    <xf numFmtId="4" fontId="3" fillId="11" borderId="0" xfId="0" applyNumberFormat="1" applyFont="1" applyFill="1" applyAlignment="1">
      <alignment horizontal="center"/>
    </xf>
    <xf numFmtId="4" fontId="3" fillId="0" borderId="0" xfId="4" applyNumberFormat="1" applyFont="1" applyFill="1" applyBorder="1" applyAlignment="1">
      <alignment horizontal="center"/>
    </xf>
    <xf numFmtId="1" fontId="0" fillId="0" borderId="0" xfId="0" applyNumberFormat="1" applyFill="1" applyBorder="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Border="1" applyAlignment="1">
      <alignment horizontal="left" vertical="center"/>
    </xf>
    <xf numFmtId="3" fontId="3" fillId="11" borderId="0" xfId="0" applyNumberFormat="1" applyFont="1" applyFill="1" applyAlignment="1">
      <alignment horizontal="center"/>
    </xf>
    <xf numFmtId="0" fontId="4" fillId="10" borderId="16" xfId="0" applyFont="1" applyFill="1" applyBorder="1" applyAlignment="1">
      <alignment horizontal="center" vertical="center"/>
    </xf>
    <xf numFmtId="0" fontId="10" fillId="0" borderId="0" xfId="0" applyFont="1" applyBorder="1" applyAlignment="1"/>
    <xf numFmtId="0" fontId="68" fillId="0" borderId="0" xfId="0" applyFont="1" applyBorder="1" applyAlignment="1">
      <alignment horizontal="center"/>
    </xf>
    <xf numFmtId="0" fontId="3" fillId="0" borderId="0" xfId="0" applyFont="1" applyBorder="1" applyAlignment="1">
      <alignment wrapText="1"/>
    </xf>
    <xf numFmtId="169" fontId="3" fillId="0" borderId="0" xfId="2" applyNumberFormat="1" applyFont="1" applyBorder="1" applyAlignment="1">
      <alignment horizontal="center" vertical="center"/>
    </xf>
    <xf numFmtId="0" fontId="45" fillId="0" borderId="8" xfId="0" applyFont="1" applyBorder="1" applyAlignment="1">
      <alignment horizontal="left"/>
    </xf>
    <xf numFmtId="0" fontId="42" fillId="0" borderId="3" xfId="4" applyFont="1" applyBorder="1" applyAlignment="1">
      <alignment horizontal="center"/>
    </xf>
    <xf numFmtId="0" fontId="40" fillId="0" borderId="0" xfId="0" applyFont="1" applyBorder="1" applyAlignment="1">
      <alignment horizontal="center"/>
    </xf>
    <xf numFmtId="166" fontId="29" fillId="0" borderId="0" xfId="2" applyNumberFormat="1" applyFont="1" applyFill="1" applyBorder="1" applyAlignment="1">
      <alignment horizontal="left"/>
    </xf>
    <xf numFmtId="172" fontId="29" fillId="0" borderId="0" xfId="0" applyNumberFormat="1" applyFont="1" applyFill="1" applyBorder="1" applyAlignment="1">
      <alignment horizontal="left"/>
    </xf>
    <xf numFmtId="2" fontId="29" fillId="0" borderId="0" xfId="0" applyNumberFormat="1" applyFont="1" applyFill="1" applyBorder="1" applyAlignment="1">
      <alignment horizontal="left"/>
    </xf>
    <xf numFmtId="187" fontId="3" fillId="0" borderId="0" xfId="2" applyNumberFormat="1" applyFont="1" applyFill="1" applyAlignment="1">
      <alignment horizontal="center"/>
    </xf>
    <xf numFmtId="165" fontId="3" fillId="5" borderId="0" xfId="2" applyNumberFormat="1" applyFont="1" applyFill="1" applyBorder="1" applyAlignment="1">
      <alignment horizontal="center"/>
    </xf>
    <xf numFmtId="1" fontId="3" fillId="11" borderId="0" xfId="2" applyNumberFormat="1" applyFont="1" applyFill="1" applyBorder="1" applyAlignment="1">
      <alignment horizontal="center"/>
    </xf>
    <xf numFmtId="2" fontId="0" fillId="0" borderId="0" xfId="0" applyNumberFormat="1" applyAlignment="1">
      <alignment horizontal="right"/>
    </xf>
    <xf numFmtId="186" fontId="0" fillId="0" borderId="0" xfId="9" applyNumberFormat="1" applyFont="1" applyAlignment="1">
      <alignment horizontal="right"/>
    </xf>
    <xf numFmtId="44" fontId="3" fillId="0" borderId="0" xfId="9" applyFont="1"/>
    <xf numFmtId="44" fontId="3" fillId="0" borderId="0" xfId="9" applyFont="1" applyBorder="1" applyAlignment="1">
      <alignment horizontal="center"/>
    </xf>
    <xf numFmtId="186" fontId="3" fillId="0" borderId="0" xfId="9" applyNumberFormat="1" applyFont="1" applyBorder="1"/>
    <xf numFmtId="186" fontId="3" fillId="0" borderId="0" xfId="9" applyNumberFormat="1" applyFont="1" applyBorder="1" applyAlignment="1">
      <alignment horizontal="center"/>
    </xf>
    <xf numFmtId="44" fontId="0" fillId="0" borderId="0" xfId="9" applyFont="1" applyAlignment="1">
      <alignment horizontal="center"/>
    </xf>
    <xf numFmtId="44" fontId="0" fillId="0" borderId="0" xfId="9" applyNumberFormat="1" applyFont="1" applyAlignment="1">
      <alignment horizontal="center"/>
    </xf>
    <xf numFmtId="44" fontId="0" fillId="0" borderId="0" xfId="9" applyFont="1"/>
    <xf numFmtId="186" fontId="0" fillId="0" borderId="0" xfId="9" applyNumberFormat="1" applyFont="1" applyBorder="1"/>
    <xf numFmtId="186" fontId="0" fillId="0" borderId="0" xfId="9" applyNumberFormat="1" applyFont="1" applyAlignment="1">
      <alignment horizontal="center"/>
    </xf>
    <xf numFmtId="44" fontId="32" fillId="0" borderId="0" xfId="9" applyFont="1"/>
    <xf numFmtId="186" fontId="32" fillId="0" borderId="0" xfId="9" applyNumberFormat="1" applyFont="1"/>
    <xf numFmtId="186" fontId="3" fillId="0" borderId="0" xfId="9" applyNumberFormat="1" applyFont="1" applyFill="1" applyAlignment="1">
      <alignment horizontal="right"/>
    </xf>
    <xf numFmtId="166" fontId="3" fillId="5" borderId="0" xfId="0" applyNumberFormat="1" applyFont="1" applyFill="1" applyAlignment="1">
      <alignment horizontal="center"/>
    </xf>
    <xf numFmtId="43" fontId="3" fillId="0" borderId="0" xfId="2" applyNumberFormat="1"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43" fontId="3" fillId="0" borderId="0" xfId="2" applyNumberFormat="1" applyFont="1" applyBorder="1" applyAlignment="1">
      <alignment horizontal="right" vertical="center"/>
    </xf>
    <xf numFmtId="43" fontId="0" fillId="0" borderId="0" xfId="2" applyNumberFormat="1" applyFont="1" applyAlignment="1">
      <alignment horizontal="right" vertical="center"/>
    </xf>
    <xf numFmtId="43" fontId="18" fillId="0" borderId="0" xfId="0" applyNumberFormat="1" applyFont="1" applyAlignment="1">
      <alignment horizontal="right" vertical="center"/>
    </xf>
    <xf numFmtId="43" fontId="3" fillId="0" borderId="0" xfId="2" applyNumberFormat="1" applyFont="1" applyAlignment="1">
      <alignment horizontal="right" vertical="center"/>
    </xf>
    <xf numFmtId="43" fontId="0" fillId="0" borderId="0" xfId="0" applyNumberFormat="1" applyAlignment="1">
      <alignment horizontal="right" vertical="center"/>
    </xf>
    <xf numFmtId="169" fontId="3" fillId="12" borderId="0" xfId="2" applyNumberFormat="1" applyFont="1" applyFill="1" applyAlignment="1">
      <alignment horizontal="center"/>
    </xf>
    <xf numFmtId="1" fontId="22" fillId="0" borderId="0" xfId="0" applyNumberFormat="1" applyFont="1"/>
    <xf numFmtId="165" fontId="22" fillId="0" borderId="0" xfId="0" applyNumberFormat="1" applyFont="1"/>
    <xf numFmtId="171" fontId="3" fillId="0" borderId="0" xfId="2" applyNumberFormat="1" applyFont="1" applyAlignment="1">
      <alignment horizontal="right"/>
    </xf>
    <xf numFmtId="1" fontId="0" fillId="0" borderId="0" xfId="0" applyNumberFormat="1" applyFill="1"/>
    <xf numFmtId="165" fontId="0" fillId="0" borderId="0" xfId="0" applyNumberFormat="1" applyFill="1"/>
    <xf numFmtId="169" fontId="3" fillId="0" borderId="0" xfId="2" applyNumberFormat="1" applyFont="1" applyFill="1" applyBorder="1" applyAlignment="1">
      <alignment horizontal="center"/>
    </xf>
    <xf numFmtId="166" fontId="22" fillId="0" borderId="0" xfId="0" applyNumberFormat="1" applyFont="1"/>
    <xf numFmtId="173" fontId="3" fillId="0" borderId="0" xfId="2" applyNumberFormat="1" applyFont="1"/>
    <xf numFmtId="184" fontId="3" fillId="0" borderId="0" xfId="2" applyNumberFormat="1" applyFont="1"/>
    <xf numFmtId="170" fontId="29" fillId="0" borderId="0" xfId="2" applyNumberFormat="1" applyFont="1" applyFill="1"/>
    <xf numFmtId="0" fontId="3" fillId="0" borderId="0" xfId="0" applyFont="1" applyFill="1" applyAlignment="1">
      <alignment horizontal="right"/>
    </xf>
    <xf numFmtId="169" fontId="3" fillId="0" borderId="0" xfId="2" applyNumberFormat="1" applyFont="1" applyFill="1" applyAlignment="1">
      <alignment horizontal="right"/>
    </xf>
    <xf numFmtId="170" fontId="22" fillId="0" borderId="0" xfId="2" applyNumberFormat="1" applyFont="1" applyFill="1"/>
    <xf numFmtId="165" fontId="0" fillId="5" borderId="18" xfId="0" applyNumberFormat="1" applyFill="1" applyBorder="1" applyAlignment="1">
      <alignment horizontal="center"/>
    </xf>
    <xf numFmtId="0" fontId="0" fillId="5" borderId="22" xfId="0" applyFill="1" applyBorder="1" applyAlignment="1">
      <alignment horizontal="center"/>
    </xf>
    <xf numFmtId="0" fontId="11" fillId="5" borderId="42" xfId="0" applyFont="1" applyFill="1" applyBorder="1" applyAlignment="1">
      <alignment horizontal="center"/>
    </xf>
    <xf numFmtId="0" fontId="11" fillId="5" borderId="19" xfId="0" applyFont="1" applyFill="1" applyBorder="1" applyAlignment="1">
      <alignment horizontal="center"/>
    </xf>
    <xf numFmtId="0" fontId="11" fillId="5" borderId="21" xfId="0" applyFont="1" applyFill="1" applyBorder="1" applyAlignment="1">
      <alignment horizontal="center"/>
    </xf>
    <xf numFmtId="0" fontId="0" fillId="5" borderId="24" xfId="0" applyFill="1" applyBorder="1" applyAlignment="1">
      <alignment horizontal="center"/>
    </xf>
    <xf numFmtId="165" fontId="0" fillId="5" borderId="25" xfId="0" applyNumberFormat="1" applyFill="1" applyBorder="1" applyAlignment="1">
      <alignment horizontal="center"/>
    </xf>
    <xf numFmtId="1" fontId="3" fillId="0" borderId="0" xfId="0" applyNumberFormat="1" applyFont="1" applyBorder="1" applyAlignment="1">
      <alignment horizontal="center" vertical="center"/>
    </xf>
    <xf numFmtId="0" fontId="0" fillId="12" borderId="0" xfId="0" applyFill="1" applyAlignment="1">
      <alignment horizontal="center"/>
    </xf>
    <xf numFmtId="0" fontId="3" fillId="0" borderId="0" xfId="0" applyFont="1" applyFill="1" applyBorder="1" applyAlignment="1">
      <alignment horizontal="center" vertical="center"/>
    </xf>
    <xf numFmtId="1" fontId="3" fillId="0" borderId="0" xfId="0" applyNumberFormat="1" applyFont="1" applyFill="1" applyBorder="1" applyAlignment="1">
      <alignment horizontal="center" vertical="center"/>
    </xf>
    <xf numFmtId="165" fontId="3" fillId="0" borderId="0" xfId="0" applyNumberFormat="1" applyFont="1" applyFill="1" applyBorder="1" applyAlignment="1">
      <alignment horizontal="center" vertical="center"/>
    </xf>
    <xf numFmtId="0" fontId="3" fillId="5" borderId="39" xfId="0" applyFont="1" applyFill="1" applyBorder="1" applyAlignment="1">
      <alignment horizontal="center" vertical="center"/>
    </xf>
    <xf numFmtId="1" fontId="3" fillId="5" borderId="48" xfId="0" applyNumberFormat="1" applyFont="1" applyFill="1" applyBorder="1" applyAlignment="1">
      <alignment horizontal="center" vertical="center"/>
    </xf>
    <xf numFmtId="165" fontId="3" fillId="5" borderId="48" xfId="0" applyNumberFormat="1" applyFont="1" applyFill="1" applyBorder="1" applyAlignment="1">
      <alignment horizontal="center" vertical="center"/>
    </xf>
    <xf numFmtId="0" fontId="3" fillId="5" borderId="48" xfId="0" applyFont="1" applyFill="1" applyBorder="1" applyAlignment="1">
      <alignment horizontal="center" vertical="center"/>
    </xf>
    <xf numFmtId="0" fontId="3" fillId="5" borderId="49" xfId="0" applyFont="1" applyFill="1" applyBorder="1" applyAlignment="1">
      <alignment horizontal="center" vertical="center"/>
    </xf>
    <xf numFmtId="0" fontId="7" fillId="0" borderId="0" xfId="0" applyFont="1" applyAlignment="1">
      <alignment wrapText="1"/>
    </xf>
    <xf numFmtId="0" fontId="7" fillId="0" borderId="0" xfId="0" applyFont="1" applyAlignment="1"/>
    <xf numFmtId="0" fontId="29" fillId="0" borderId="0" xfId="0" applyFont="1" applyFill="1" applyBorder="1"/>
    <xf numFmtId="170" fontId="29" fillId="0" borderId="0" xfId="2" applyNumberFormat="1" applyFont="1"/>
    <xf numFmtId="10" fontId="3" fillId="0" borderId="0" xfId="3" applyNumberFormat="1" applyFont="1"/>
    <xf numFmtId="1" fontId="3" fillId="12" borderId="0" xfId="2" applyNumberFormat="1" applyFont="1" applyFill="1" applyAlignment="1">
      <alignment horizontal="center"/>
    </xf>
    <xf numFmtId="180" fontId="0" fillId="0" borderId="0" xfId="3" applyNumberFormat="1" applyFont="1" applyAlignment="1">
      <alignment horizontal="right"/>
    </xf>
    <xf numFmtId="180" fontId="0" fillId="0" borderId="0" xfId="3" applyNumberFormat="1" applyFont="1"/>
    <xf numFmtId="0" fontId="38" fillId="0" borderId="0" xfId="0" applyFont="1" applyBorder="1"/>
    <xf numFmtId="40" fontId="38" fillId="0" borderId="0" xfId="0" applyNumberFormat="1" applyFont="1"/>
    <xf numFmtId="2" fontId="3" fillId="0" borderId="0" xfId="4" applyNumberFormat="1" applyFont="1" applyBorder="1" applyAlignment="1">
      <alignment horizontal="left"/>
    </xf>
    <xf numFmtId="2" fontId="0" fillId="0" borderId="0" xfId="4" applyNumberFormat="1" applyFont="1" applyAlignment="1">
      <alignment horizontal="left"/>
    </xf>
    <xf numFmtId="1" fontId="0" fillId="5" borderId="18" xfId="0" applyNumberFormat="1" applyFill="1" applyBorder="1" applyAlignment="1">
      <alignment horizontal="center"/>
    </xf>
    <xf numFmtId="1" fontId="3" fillId="5" borderId="18" xfId="0" applyNumberFormat="1" applyFont="1" applyFill="1" applyBorder="1" applyAlignment="1">
      <alignment horizontal="center"/>
    </xf>
    <xf numFmtId="165" fontId="29" fillId="0" borderId="0" xfId="0" applyNumberFormat="1" applyFont="1" applyFill="1" applyBorder="1" applyAlignment="1">
      <alignment horizontal="left"/>
    </xf>
    <xf numFmtId="8" fontId="3" fillId="0" borderId="0" xfId="0" applyNumberFormat="1" applyFont="1" applyBorder="1"/>
    <xf numFmtId="4" fontId="29" fillId="0" borderId="0" xfId="0" applyNumberFormat="1" applyFont="1" applyFill="1" applyBorder="1" applyAlignment="1">
      <alignment horizontal="left"/>
    </xf>
    <xf numFmtId="164" fontId="29" fillId="0" borderId="0" xfId="0" applyNumberFormat="1" applyFont="1" applyFill="1" applyBorder="1" applyAlignment="1">
      <alignment horizontal="left"/>
    </xf>
    <xf numFmtId="10" fontId="0" fillId="0" borderId="0" xfId="3" applyNumberFormat="1" applyFont="1"/>
    <xf numFmtId="0" fontId="0" fillId="0" borderId="28" xfId="0" applyBorder="1" applyAlignment="1">
      <alignment horizontal="center"/>
    </xf>
    <xf numFmtId="0" fontId="0" fillId="0" borderId="24" xfId="0" applyBorder="1" applyAlignment="1">
      <alignment horizontal="center"/>
    </xf>
    <xf numFmtId="165" fontId="3" fillId="10" borderId="18" xfId="0" applyNumberFormat="1" applyFont="1" applyFill="1" applyBorder="1" applyAlignment="1">
      <alignment horizontal="center" vertical="center" wrapText="1"/>
    </xf>
    <xf numFmtId="1" fontId="32" fillId="0" borderId="0" xfId="2" applyNumberFormat="1" applyFont="1" applyAlignment="1">
      <alignment horizontal="center"/>
    </xf>
    <xf numFmtId="0" fontId="11" fillId="5" borderId="72" xfId="0" applyFont="1" applyFill="1" applyBorder="1" applyAlignment="1">
      <alignment horizontal="center"/>
    </xf>
    <xf numFmtId="165" fontId="0" fillId="5" borderId="10" xfId="0" applyNumberFormat="1" applyFill="1" applyBorder="1" applyAlignment="1">
      <alignment horizontal="center"/>
    </xf>
    <xf numFmtId="165" fontId="0" fillId="5" borderId="61" xfId="0" applyNumberFormat="1" applyFill="1" applyBorder="1" applyAlignment="1">
      <alignment horizontal="center"/>
    </xf>
    <xf numFmtId="1" fontId="0" fillId="5" borderId="23" xfId="0" applyNumberFormat="1" applyFill="1" applyBorder="1" applyAlignment="1">
      <alignment horizontal="center"/>
    </xf>
    <xf numFmtId="1" fontId="0" fillId="5" borderId="26" xfId="0" applyNumberFormat="1" applyFill="1" applyBorder="1" applyAlignment="1">
      <alignment horizontal="center"/>
    </xf>
    <xf numFmtId="1" fontId="0" fillId="0" borderId="0" xfId="0" applyNumberFormat="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7" fillId="0" borderId="0" xfId="0" applyFont="1" applyBorder="1" applyAlignment="1">
      <alignment horizontal="center"/>
    </xf>
    <xf numFmtId="0" fontId="46" fillId="0" borderId="0" xfId="0" applyFont="1" applyAlignment="1">
      <alignment horizontal="center"/>
    </xf>
    <xf numFmtId="0" fontId="10" fillId="0" borderId="15" xfId="0" applyFont="1" applyBorder="1" applyAlignment="1">
      <alignment horizontal="center"/>
    </xf>
    <xf numFmtId="0" fontId="7" fillId="0" borderId="0" xfId="0" applyFont="1" applyFill="1" applyBorder="1" applyAlignment="1">
      <alignment horizontal="center"/>
    </xf>
    <xf numFmtId="0" fontId="19" fillId="0" borderId="0" xfId="0" applyFont="1" applyAlignment="1">
      <alignment horizontal="left" indent="3"/>
    </xf>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88" fillId="0" borderId="13" xfId="0" applyFont="1" applyBorder="1" applyAlignment="1">
      <alignment vertical="center"/>
    </xf>
    <xf numFmtId="0" fontId="88" fillId="0" borderId="15" xfId="0" applyFont="1" applyBorder="1" applyAlignment="1">
      <alignment vertical="center"/>
    </xf>
    <xf numFmtId="0" fontId="88" fillId="0" borderId="14" xfId="0" applyFont="1" applyBorder="1" applyAlignment="1">
      <alignment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50" fillId="0" borderId="53" xfId="0" applyFont="1" applyBorder="1" applyAlignment="1">
      <alignment horizontal="center" vertical="top" wrapText="1"/>
    </xf>
    <xf numFmtId="0" fontId="50" fillId="0" borderId="0" xfId="0" applyFont="1" applyBorder="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49" fillId="13" borderId="5" xfId="0" applyFont="1" applyFill="1" applyBorder="1" applyAlignment="1">
      <alignment horizontal="center" vertical="center"/>
    </xf>
    <xf numFmtId="0" fontId="49" fillId="13" borderId="2" xfId="0" applyFont="1" applyFill="1" applyBorder="1" applyAlignment="1">
      <alignment horizontal="center" vertical="center"/>
    </xf>
    <xf numFmtId="2" fontId="12" fillId="7" borderId="58" xfId="0" applyNumberFormat="1" applyFont="1" applyFill="1" applyBorder="1" applyAlignment="1">
      <alignment horizontal="center"/>
    </xf>
    <xf numFmtId="2" fontId="12" fillId="7" borderId="59"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23" fillId="13" borderId="42"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Border="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42" xfId="0" applyFont="1" applyBorder="1" applyAlignment="1">
      <alignment horizontal="center"/>
    </xf>
    <xf numFmtId="0" fontId="4" fillId="0" borderId="39" xfId="0" applyFont="1" applyBorder="1" applyAlignment="1">
      <alignment horizontal="center"/>
    </xf>
    <xf numFmtId="0" fontId="7" fillId="11" borderId="51"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8" xfId="0" applyFont="1" applyFill="1" applyBorder="1" applyAlignment="1">
      <alignment horizontal="center"/>
    </xf>
    <xf numFmtId="0" fontId="7" fillId="12" borderId="61" xfId="0" applyFont="1" applyFill="1" applyBorder="1" applyAlignment="1">
      <alignment horizontal="center"/>
    </xf>
    <xf numFmtId="0" fontId="7" fillId="12" borderId="26"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64" xfId="0" applyFont="1" applyFill="1" applyBorder="1" applyAlignment="1">
      <alignment horizontal="center"/>
    </xf>
    <xf numFmtId="0" fontId="7" fillId="3" borderId="44" xfId="0" applyFont="1" applyFill="1" applyBorder="1" applyAlignment="1">
      <alignment horizontal="center"/>
    </xf>
    <xf numFmtId="0" fontId="7" fillId="3" borderId="56" xfId="0" applyFont="1" applyFill="1" applyBorder="1" applyAlignment="1">
      <alignment horizontal="center"/>
    </xf>
    <xf numFmtId="0" fontId="7" fillId="5" borderId="11" xfId="0" applyFont="1" applyFill="1" applyBorder="1" applyAlignment="1">
      <alignment horizontal="center"/>
    </xf>
    <xf numFmtId="0" fontId="7" fillId="5" borderId="57" xfId="0" applyFont="1" applyFill="1" applyBorder="1" applyAlignment="1">
      <alignment horizontal="center"/>
    </xf>
    <xf numFmtId="0" fontId="7" fillId="12" borderId="59" xfId="0" applyFont="1" applyFill="1" applyBorder="1" applyAlignment="1">
      <alignment horizontal="center"/>
    </xf>
    <xf numFmtId="0" fontId="7" fillId="12" borderId="62" xfId="0" applyFont="1" applyFill="1" applyBorder="1" applyAlignment="1">
      <alignment horizontal="center"/>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43" fillId="0" borderId="5" xfId="4" applyFont="1" applyBorder="1" applyAlignment="1">
      <alignment horizontal="center" vertical="center" wrapText="1"/>
    </xf>
    <xf numFmtId="0" fontId="43" fillId="0" borderId="7" xfId="4" applyFont="1" applyBorder="1" applyAlignment="1">
      <alignment horizontal="center" vertical="center" wrapText="1"/>
    </xf>
    <xf numFmtId="0" fontId="42" fillId="5" borderId="13" xfId="4" applyFont="1" applyFill="1" applyBorder="1" applyAlignment="1">
      <alignment horizontal="left" wrapText="1"/>
    </xf>
    <xf numFmtId="0" fontId="42" fillId="5" borderId="15" xfId="4" applyFont="1" applyFill="1" applyBorder="1" applyAlignment="1">
      <alignment horizontal="left" wrapText="1"/>
    </xf>
    <xf numFmtId="0" fontId="42" fillId="5" borderId="14" xfId="4" applyFont="1" applyFill="1" applyBorder="1" applyAlignment="1">
      <alignment horizontal="left"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7" fillId="3" borderId="59" xfId="0" applyFont="1" applyFill="1" applyBorder="1" applyAlignment="1">
      <alignment horizontal="center"/>
    </xf>
    <xf numFmtId="0" fontId="7" fillId="3" borderId="60"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50" xfId="0" applyFont="1" applyBorder="1" applyAlignment="1">
      <alignment horizontal="center"/>
    </xf>
    <xf numFmtId="0" fontId="4" fillId="0" borderId="65" xfId="0" applyFont="1" applyBorder="1" applyAlignment="1">
      <alignment horizontal="center"/>
    </xf>
    <xf numFmtId="0" fontId="12" fillId="13" borderId="12" xfId="0" applyFont="1" applyFill="1" applyBorder="1" applyAlignment="1">
      <alignment horizontal="center"/>
    </xf>
    <xf numFmtId="0" fontId="7" fillId="0" borderId="1"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4" fillId="0" borderId="66"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42" xfId="0" applyFont="1" applyFill="1" applyBorder="1" applyAlignment="1">
      <alignment horizontal="center"/>
    </xf>
    <xf numFmtId="0" fontId="12" fillId="13" borderId="50" xfId="0" applyFont="1" applyFill="1" applyBorder="1" applyAlignment="1">
      <alignment horizontal="center"/>
    </xf>
    <xf numFmtId="0" fontId="7" fillId="12" borderId="55" xfId="0" applyFont="1" applyFill="1" applyBorder="1" applyAlignment="1">
      <alignment horizontal="center"/>
    </xf>
    <xf numFmtId="0" fontId="12" fillId="13" borderId="65" xfId="0" applyFont="1" applyFill="1" applyBorder="1" applyAlignment="1">
      <alignment horizontal="center"/>
    </xf>
    <xf numFmtId="0" fontId="12" fillId="13" borderId="66" xfId="0" applyFont="1" applyFill="1" applyBorder="1" applyAlignment="1">
      <alignment horizontal="center"/>
    </xf>
    <xf numFmtId="0" fontId="7" fillId="0" borderId="0" xfId="0" applyFont="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9" xfId="0" applyFont="1" applyFill="1" applyBorder="1" applyAlignment="1">
      <alignment horizontal="center"/>
    </xf>
    <xf numFmtId="0" fontId="0" fillId="4" borderId="18" xfId="0" applyFill="1" applyBorder="1" applyAlignment="1">
      <alignment horizontal="center"/>
    </xf>
    <xf numFmtId="0" fontId="4" fillId="17" borderId="0" xfId="0" applyFont="1" applyFill="1" applyAlignment="1">
      <alignment horizontal="center"/>
    </xf>
    <xf numFmtId="2" fontId="4" fillId="7" borderId="49" xfId="0" applyNumberFormat="1" applyFont="1" applyFill="1" applyBorder="1" applyAlignment="1">
      <alignment horizontal="center"/>
    </xf>
    <xf numFmtId="0" fontId="7" fillId="5" borderId="55" xfId="0" applyFont="1" applyFill="1" applyBorder="1" applyAlignment="1">
      <alignment horizontal="center"/>
    </xf>
    <xf numFmtId="0" fontId="7" fillId="5" borderId="44" xfId="0" applyFont="1" applyFill="1" applyBorder="1" applyAlignment="1">
      <alignment horizontal="center"/>
    </xf>
    <xf numFmtId="0" fontId="7" fillId="5" borderId="69" xfId="0" applyFont="1" applyFill="1" applyBorder="1" applyAlignment="1">
      <alignment horizontal="center"/>
    </xf>
    <xf numFmtId="0" fontId="7" fillId="12" borderId="38"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8" xfId="0" applyNumberFormat="1" applyFont="1" applyFill="1" applyBorder="1" applyAlignment="1">
      <alignment horizontal="center"/>
    </xf>
    <xf numFmtId="2" fontId="4" fillId="7" borderId="59" xfId="0" applyNumberFormat="1" applyFont="1" applyFill="1" applyBorder="1" applyAlignment="1">
      <alignment horizontal="center"/>
    </xf>
    <xf numFmtId="2" fontId="4" fillId="7" borderId="62" xfId="0" applyNumberFormat="1" applyFont="1" applyFill="1" applyBorder="1" applyAlignment="1">
      <alignment horizontal="center"/>
    </xf>
    <xf numFmtId="0" fontId="46"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7" fillId="0" borderId="29" xfId="0" applyFont="1" applyBorder="1" applyAlignment="1">
      <alignment horizontal="center" vertical="center"/>
    </xf>
    <xf numFmtId="0" fontId="7" fillId="0" borderId="20" xfId="0" applyFont="1" applyBorder="1" applyAlignment="1">
      <alignment horizontal="center" vertical="center"/>
    </xf>
    <xf numFmtId="0" fontId="18" fillId="0" borderId="20" xfId="0" applyFont="1" applyBorder="1" applyAlignment="1">
      <alignment horizontal="center" wrapText="1"/>
    </xf>
    <xf numFmtId="0" fontId="18" fillId="0" borderId="31" xfId="0" applyFont="1" applyBorder="1" applyAlignment="1">
      <alignment horizontal="center" wrapText="1"/>
    </xf>
    <xf numFmtId="0" fontId="18" fillId="0" borderId="37" xfId="0" applyFont="1" applyBorder="1" applyAlignment="1">
      <alignment horizontal="center" wrapText="1"/>
    </xf>
    <xf numFmtId="0" fontId="18" fillId="0" borderId="38" xfId="0" applyFont="1" applyBorder="1" applyAlignment="1">
      <alignment horizontal="center" wrapText="1"/>
    </xf>
    <xf numFmtId="0" fontId="18" fillId="0" borderId="20" xfId="0" applyFont="1" applyBorder="1" applyAlignment="1">
      <alignment horizontal="center" vertical="center"/>
    </xf>
    <xf numFmtId="0" fontId="18" fillId="0" borderId="31" xfId="0" applyFont="1" applyBorder="1" applyAlignment="1">
      <alignment horizontal="center" vertical="center"/>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3" fillId="22" borderId="40" xfId="0" applyFont="1" applyFill="1" applyBorder="1" applyAlignment="1">
      <alignment horizontal="center"/>
    </xf>
    <xf numFmtId="0" fontId="3" fillId="22" borderId="41"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xf numFmtId="0" fontId="7" fillId="0" borderId="0" xfId="0" applyFont="1" applyFill="1" applyBorder="1" applyAlignment="1">
      <alignment horizont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665">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2" formatCode="&quot;$&quot;#,##0"/>
    </dxf>
    <dxf>
      <font>
        <color theme="0" tint="-0.14996795556505021"/>
      </font>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b/>
        <i val="0"/>
        <strike val="0"/>
        <color rgb="FF00B050"/>
      </font>
    </dxf>
    <dxf>
      <font>
        <b/>
        <i val="0"/>
        <color rgb="FFFF0000"/>
      </font>
    </dxf>
    <dxf>
      <font>
        <b/>
        <i val="0"/>
        <strike val="0"/>
        <color rgb="FF00B050"/>
      </font>
    </dxf>
    <dxf>
      <font>
        <b/>
        <i val="0"/>
        <color rgb="FFFFC000"/>
      </font>
    </dxf>
    <dxf>
      <fill>
        <patternFill>
          <bgColor rgb="FFFF0000"/>
        </patternFill>
      </fill>
    </dxf>
    <dxf>
      <numFmt numFmtId="181" formatCode="&quot;$&quot;#,##0.00"/>
    </dxf>
    <dxf>
      <numFmt numFmtId="188" formatCode="0.000E+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fill>
        <patternFill>
          <bgColor rgb="FFFF0000"/>
        </patternFill>
      </fill>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CC99FF"/>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Dashboard!$C$147</c:f>
              <c:strCache>
                <c:ptCount val="1"/>
                <c:pt idx="0">
                  <c:v>Positive electrode thickness, µm</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Dashboard!$D$146:$J$146</c:f>
              <c:numCache>
                <c:formatCode>#,##0</c:formatCode>
                <c:ptCount val="7"/>
                <c:pt idx="0">
                  <c:v>299.99999999999977</c:v>
                </c:pt>
                <c:pt idx="1">
                  <c:v>299.99999999999977</c:v>
                </c:pt>
                <c:pt idx="2">
                  <c:v>300.00000000000006</c:v>
                </c:pt>
                <c:pt idx="3">
                  <c:v>300.00000000000017</c:v>
                </c:pt>
                <c:pt idx="4">
                  <c:v>299.99999999999983</c:v>
                </c:pt>
                <c:pt idx="5">
                  <c:v>300.00000000000006</c:v>
                </c:pt>
                <c:pt idx="6">
                  <c:v>299.99999999999915</c:v>
                </c:pt>
              </c:numCache>
            </c:numRef>
          </c:xVal>
          <c:yVal>
            <c:numRef>
              <c:f>Dashboard!$D$147:$J$147</c:f>
              <c:numCache>
                <c:formatCode>#,##0</c:formatCode>
                <c:ptCount val="7"/>
                <c:pt idx="0">
                  <c:v>120</c:v>
                </c:pt>
                <c:pt idx="1">
                  <c:v>120</c:v>
                </c:pt>
                <c:pt idx="2">
                  <c:v>108.28682636679949</c:v>
                </c:pt>
                <c:pt idx="3">
                  <c:v>93.859128158890144</c:v>
                </c:pt>
                <c:pt idx="4">
                  <c:v>77.09682591912636</c:v>
                </c:pt>
                <c:pt idx="5">
                  <c:v>56.979291521262034</c:v>
                </c:pt>
                <c:pt idx="6">
                  <c:v>30.309835647059309</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Dashboard!$C$148</c:f>
              <c:strCache>
                <c:ptCount val="1"/>
                <c:pt idx="0">
                  <c:v>Cell cost, $/kWh</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Dashboard!$D$146:$J$146</c:f>
              <c:numCache>
                <c:formatCode>#,##0</c:formatCode>
                <c:ptCount val="7"/>
                <c:pt idx="0">
                  <c:v>299.99999999999977</c:v>
                </c:pt>
                <c:pt idx="1">
                  <c:v>299.99999999999977</c:v>
                </c:pt>
                <c:pt idx="2">
                  <c:v>300.00000000000006</c:v>
                </c:pt>
                <c:pt idx="3">
                  <c:v>300.00000000000017</c:v>
                </c:pt>
                <c:pt idx="4">
                  <c:v>299.99999999999983</c:v>
                </c:pt>
                <c:pt idx="5">
                  <c:v>300.00000000000006</c:v>
                </c:pt>
                <c:pt idx="6">
                  <c:v>299.99999999999915</c:v>
                </c:pt>
              </c:numCache>
            </c:numRef>
          </c:xVal>
          <c:yVal>
            <c:numRef>
              <c:f>Dashboard!$D$148:$J$148</c:f>
              <c:numCache>
                <c:formatCode>#,##0</c:formatCode>
                <c:ptCount val="7"/>
                <c:pt idx="0">
                  <c:v>79.019206028106339</c:v>
                </c:pt>
                <c:pt idx="1">
                  <c:v>79.019206028106339</c:v>
                </c:pt>
                <c:pt idx="2">
                  <c:v>79.84681680321539</c:v>
                </c:pt>
                <c:pt idx="3">
                  <c:v>81.178555098647692</c:v>
                </c:pt>
                <c:pt idx="4">
                  <c:v>83.3513627330384</c:v>
                </c:pt>
                <c:pt idx="5">
                  <c:v>87.840108728018407</c:v>
                </c:pt>
                <c:pt idx="6">
                  <c:v>102.92481124890611</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Dashboard!$D$144</c:f>
              <c:strCache>
                <c:ptCount val="1"/>
                <c:pt idx="0">
                  <c:v>Battery system rated power, kW</c:v>
                </c:pt>
              </c:strCache>
            </c:strRef>
          </c:tx>
          <c:layout>
            <c:manualLayout>
              <c:xMode val="edge"/>
              <c:yMode val="edge"/>
              <c:x val="0.3301627465346153"/>
              <c:y val="0.90801643626689599"/>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Dashboard!$F$144</c:f>
              <c:strCache>
                <c:ptCount val="1"/>
                <c:pt idx="0">
                  <c:v>Positive electrode thickness, µm</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Dashboard!$H$144</c:f>
              <c:strCache>
                <c:ptCount val="1"/>
                <c:pt idx="0">
                  <c:v>Cell cost, $/kWh</c:v>
                </c:pt>
              </c:strCache>
            </c:strRef>
          </c:tx>
          <c:layout>
            <c:manualLayout>
              <c:xMode val="edge"/>
              <c:yMode val="edge"/>
              <c:x val="0.90850942881311214"/>
              <c:y val="0.3318908584867736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Dashboard!$AD$206</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Dashboard!$AE$205:$AK$205</c:f>
              <c:numCache>
                <c:formatCode>General</c:formatCode>
                <c:ptCount val="7"/>
              </c:numCache>
            </c:numRef>
          </c:xVal>
          <c:yVal>
            <c:numRef>
              <c:f>Dashboard!$AE$206:$AK$206</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Dashboard!$AC$207:$AD$207</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Dashboard!$AE$205:$AK$205</c:f>
              <c:numCache>
                <c:formatCode>General</c:formatCode>
                <c:ptCount val="7"/>
              </c:numCache>
            </c:numRef>
          </c:xVal>
          <c:yVal>
            <c:numRef>
              <c:f>Dashboard!$AE$207:$AK$207</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Dashboard!$AD$208</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Dashboard!$AE$205:$AK$205</c:f>
              <c:numCache>
                <c:formatCode>General</c:formatCode>
                <c:ptCount val="7"/>
              </c:numCache>
            </c:numRef>
          </c:xVal>
          <c:yVal>
            <c:numRef>
              <c:f>Dashboard!$AE$208:$AK$208</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Dashboard!$AD$209</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Dashboard!$AE$205:$AK$205</c:f>
              <c:numCache>
                <c:formatCode>General</c:formatCode>
                <c:ptCount val="7"/>
              </c:numCache>
            </c:numRef>
          </c:xVal>
          <c:yVal>
            <c:numRef>
              <c:f>Dashboard!$AE$209:$AK$209</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8C7A-4AE2-92B7-454CAF88879B}"/>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3-8C7A-4AE2-92B7-454CAF88879B}"/>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Breakdown'!$G$47:$G$56</c:f>
              <c:numCache>
                <c:formatCode>_("$"* #,##0_);_("$"* \(#,##0\);_("$"* "-"??_);_(@_)</c:formatCode>
                <c:ptCount val="10"/>
                <c:pt idx="0">
                  <c:v>5976.4735433969072</c:v>
                </c:pt>
                <c:pt idx="1">
                  <c:v>1489.6222824860301</c:v>
                </c:pt>
                <c:pt idx="2">
                  <c:v>355.60113966998904</c:v>
                </c:pt>
                <c:pt idx="3">
                  <c:v>174.96131463701596</c:v>
                </c:pt>
                <c:pt idx="4">
                  <c:v>250.90510110427726</c:v>
                </c:pt>
                <c:pt idx="5">
                  <c:v>332.61732299716186</c:v>
                </c:pt>
                <c:pt idx="6">
                  <c:v>361.84115049894172</c:v>
                </c:pt>
                <c:pt idx="7">
                  <c:v>904.60287624735429</c:v>
                </c:pt>
                <c:pt idx="8">
                  <c:v>578.61911441052371</c:v>
                </c:pt>
                <c:pt idx="9">
                  <c:v>583.81365534509928</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Breakdown'!$G$28:$G$41</c:f>
              <c:numCache>
                <c:formatCode>_("$"* #,##0_);_("$"* \(#,##0\);_("$"* "-"??_);_(@_)</c:formatCode>
                <c:ptCount val="14"/>
                <c:pt idx="0">
                  <c:v>3789.9098199701675</c:v>
                </c:pt>
                <c:pt idx="1">
                  <c:v>988.7920935006548</c:v>
                </c:pt>
                <c:pt idx="2">
                  <c:v>21.257507003037798</c:v>
                </c:pt>
                <c:pt idx="3">
                  <c:v>65.731231200400472</c:v>
                </c:pt>
                <c:pt idx="4">
                  <c:v>124.62972677209594</c:v>
                </c:pt>
                <c:pt idx="5">
                  <c:v>46.11508842873338</c:v>
                </c:pt>
                <c:pt idx="6">
                  <c:v>295.25804736690071</c:v>
                </c:pt>
                <c:pt idx="7">
                  <c:v>343.33148264669455</c:v>
                </c:pt>
                <c:pt idx="8">
                  <c:v>301.44854650822174</c:v>
                </c:pt>
                <c:pt idx="9">
                  <c:v>0</c:v>
                </c:pt>
                <c:pt idx="10">
                  <c:v>224.43740142118261</c:v>
                </c:pt>
                <c:pt idx="11">
                  <c:v>739.06182471125237</c:v>
                </c:pt>
                <c:pt idx="12">
                  <c:v>526.12305635359508</c:v>
                </c:pt>
                <c:pt idx="13">
                  <c:v>355.60113966998904</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Breakdown'!$G$96:$G$100</c:f>
              <c:numCache>
                <c:formatCode>_("$"* #,##0_);_("$"* \(#,##0\);_("$"* "-"??_);_(@_)</c:formatCode>
                <c:ptCount val="5"/>
                <c:pt idx="0">
                  <c:v>6374.2676224454053</c:v>
                </c:pt>
                <c:pt idx="1">
                  <c:v>1588.7715416083001</c:v>
                </c:pt>
                <c:pt idx="2">
                  <c:v>379.26995152642348</c:v>
                </c:pt>
                <c:pt idx="3">
                  <c:v>326.56179454369754</c:v>
                </c:pt>
                <c:pt idx="4">
                  <c:v>2340.1865906694738</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Breakdown'!$M$96:$M$100</c:f>
              <c:numCache>
                <c:formatCode>_("$"* #,##0_);_("$"* \(#,##0\);_("$"* "-"??_);_(@_)</c:formatCode>
                <c:ptCount val="5"/>
                <c:pt idx="0">
                  <c:v>8491.4738660523963</c:v>
                </c:pt>
                <c:pt idx="1">
                  <c:v>1630.8202708057784</c:v>
                </c:pt>
                <c:pt idx="2">
                  <c:v>379.26995152642348</c:v>
                </c:pt>
                <c:pt idx="3">
                  <c:v>436.87048320224648</c:v>
                </c:pt>
                <c:pt idx="4">
                  <c:v>2692.9162012856759</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Breakdown'!$G$105:$G$107,'Cost Breakdown'!$G$110:$G$116)</c:f>
              <c:numCache>
                <c:formatCode>_("$"* #,##0_);_("$"* \(#,##0\);_("$"* "-"??_);_(@_)</c:formatCode>
                <c:ptCount val="10"/>
                <c:pt idx="0">
                  <c:v>6374.2676224454053</c:v>
                </c:pt>
                <c:pt idx="1">
                  <c:v>1588.7715416083001</c:v>
                </c:pt>
                <c:pt idx="2">
                  <c:v>379.26995152642348</c:v>
                </c:pt>
                <c:pt idx="3">
                  <c:v>484.03837095295921</c:v>
                </c:pt>
                <c:pt idx="4">
                  <c:v>411.99978191840944</c:v>
                </c:pt>
                <c:pt idx="5">
                  <c:v>573.81292434470049</c:v>
                </c:pt>
                <c:pt idx="6">
                  <c:v>88.388255999999998</c:v>
                </c:pt>
                <c:pt idx="7">
                  <c:v>86.521776000000003</c:v>
                </c:pt>
                <c:pt idx="8">
                  <c:v>113.56976400000001</c:v>
                </c:pt>
                <c:pt idx="9">
                  <c:v>908.41751199710188</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Breakdown'!$M$47:$M$56</c:f>
              <c:numCache>
                <c:formatCode>_("$"* #,##0_);_("$"* \(#,##0\);_("$"* "-"??_);_(@_)</c:formatCode>
                <c:ptCount val="10"/>
                <c:pt idx="0">
                  <c:v>7961.5529047145938</c:v>
                </c:pt>
                <c:pt idx="1">
                  <c:v>1529.0469085712743</c:v>
                </c:pt>
                <c:pt idx="2">
                  <c:v>355.60113966998904</c:v>
                </c:pt>
                <c:pt idx="3">
                  <c:v>234.06116497484376</c:v>
                </c:pt>
                <c:pt idx="4">
                  <c:v>300.51350920896778</c:v>
                </c:pt>
                <c:pt idx="5">
                  <c:v>392.25497256974069</c:v>
                </c:pt>
                <c:pt idx="6">
                  <c:v>413.77808643806048</c:v>
                </c:pt>
                <c:pt idx="7">
                  <c:v>1034.4452160951512</c:v>
                </c:pt>
                <c:pt idx="8">
                  <c:v>687.22220843211528</c:v>
                </c:pt>
                <c:pt idx="9">
                  <c:v>722.87466219778503</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Breakdown'!$M$28:$M$41</c:f>
              <c:numCache>
                <c:formatCode>_("$"* #,##0_);_("$"* \(#,##0\);_("$"* "-"??_);_(@_)</c:formatCode>
                <c:ptCount val="14"/>
                <c:pt idx="0">
                  <c:v>3755.553337611404</c:v>
                </c:pt>
                <c:pt idx="1">
                  <c:v>975.53545938233697</c:v>
                </c:pt>
                <c:pt idx="2">
                  <c:v>21.064802374422946</c:v>
                </c:pt>
                <c:pt idx="3">
                  <c:v>65.047749157076453</c:v>
                </c:pt>
                <c:pt idx="4">
                  <c:v>123.49992706375967</c:v>
                </c:pt>
                <c:pt idx="5">
                  <c:v>178.62217722855638</c:v>
                </c:pt>
                <c:pt idx="6">
                  <c:v>1116.0223431393633</c:v>
                </c:pt>
                <c:pt idx="7">
                  <c:v>1339.5993720652586</c:v>
                </c:pt>
                <c:pt idx="8">
                  <c:v>386.60773669241439</c:v>
                </c:pt>
                <c:pt idx="9">
                  <c:v>0</c:v>
                </c:pt>
                <c:pt idx="10">
                  <c:v>233.01190330145127</c:v>
                </c:pt>
                <c:pt idx="11">
                  <c:v>748.02030417008746</c:v>
                </c:pt>
                <c:pt idx="12">
                  <c:v>548.01470109973548</c:v>
                </c:pt>
                <c:pt idx="13">
                  <c:v>355.60113966998904</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Breakdown'!$M$105:$M$107,'Cost Breakdown'!$M$110:$M$116)</c:f>
              <c:numCache>
                <c:formatCode>_("$"* #,##0_);_("$"* \(#,##0\);_("$"* "-"??_);_(@_)</c:formatCode>
                <c:ptCount val="10"/>
                <c:pt idx="0">
                  <c:v>8491.4738660523963</c:v>
                </c:pt>
                <c:pt idx="1">
                  <c:v>1630.8202708057784</c:v>
                </c:pt>
                <c:pt idx="2">
                  <c:v>379.26995152642348</c:v>
                </c:pt>
                <c:pt idx="3">
                  <c:v>828.74768212905019</c:v>
                </c:pt>
                <c:pt idx="4">
                  <c:v>532.06817133356697</c:v>
                </c:pt>
                <c:pt idx="5">
                  <c:v>572.24742006207066</c:v>
                </c:pt>
                <c:pt idx="6">
                  <c:v>88.388255999999998</c:v>
                </c:pt>
                <c:pt idx="7">
                  <c:v>86.521776000000003</c:v>
                </c:pt>
                <c:pt idx="8">
                  <c:v>113.56976400000053</c:v>
                </c:pt>
                <c:pt idx="9">
                  <c:v>908.24361496323434</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3.0262127925947455</c:v>
                </c:pt>
                <c:pt idx="1">
                  <c:v>3.4793241179388836</c:v>
                </c:pt>
                <c:pt idx="2">
                  <c:v>3.5561201652113983</c:v>
                </c:pt>
                <c:pt idx="3">
                  <c:v>3.6174188611263811</c:v>
                </c:pt>
                <c:pt idx="4">
                  <c:v>3.6578482676000217</c:v>
                </c:pt>
                <c:pt idx="5">
                  <c:v>3.7131865578008507</c:v>
                </c:pt>
                <c:pt idx="6">
                  <c:v>3.8094496429625218</c:v>
                </c:pt>
                <c:pt idx="7">
                  <c:v>3.9163731003255546</c:v>
                </c:pt>
                <c:pt idx="8">
                  <c:v>4.0317096614426253</c:v>
                </c:pt>
                <c:pt idx="9">
                  <c:v>4.1310560423721885</c:v>
                </c:pt>
                <c:pt idx="10">
                  <c:v>4.2499999999999982</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0.61996345912145823</c:v>
                </c:pt>
                <c:pt idx="1">
                  <c:v>0.20050078804409144</c:v>
                </c:pt>
                <c:pt idx="2">
                  <c:v>0.15029183744917279</c:v>
                </c:pt>
                <c:pt idx="3">
                  <c:v>0.11730566373146625</c:v>
                </c:pt>
                <c:pt idx="4">
                  <c:v>0.11042453997140513</c:v>
                </c:pt>
                <c:pt idx="5">
                  <c:v>0.10734267769971353</c:v>
                </c:pt>
                <c:pt idx="6">
                  <c:v>9.5788043472971152E-2</c:v>
                </c:pt>
                <c:pt idx="7">
                  <c:v>7.8130098607155279E-2</c:v>
                </c:pt>
                <c:pt idx="8">
                  <c:v>7.3098162108951578E-2</c:v>
                </c:pt>
                <c:pt idx="9">
                  <c:v>7.1247766353446929E-2</c:v>
                </c:pt>
                <c:pt idx="10">
                  <c:v>6.9172328470390815E-2</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3.646176251716204</c:v>
                </c:pt>
                <c:pt idx="1">
                  <c:v>3.6798249059829753</c:v>
                </c:pt>
                <c:pt idx="2">
                  <c:v>3.7064120026605711</c:v>
                </c:pt>
                <c:pt idx="3">
                  <c:v>3.7347245248578473</c:v>
                </c:pt>
                <c:pt idx="4">
                  <c:v>3.7682728075714267</c:v>
                </c:pt>
                <c:pt idx="5">
                  <c:v>3.8205292355005644</c:v>
                </c:pt>
                <c:pt idx="6">
                  <c:v>3.905237686435493</c:v>
                </c:pt>
                <c:pt idx="7">
                  <c:v>3.9945031989327098</c:v>
                </c:pt>
                <c:pt idx="8">
                  <c:v>4.1048078235515773</c:v>
                </c:pt>
                <c:pt idx="9">
                  <c:v>4.2023038087256355</c:v>
                </c:pt>
                <c:pt idx="10">
                  <c:v>4.3191723284703887</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1" Type="http://schemas.openxmlformats.org/officeDocument/2006/relationships/image" Target="../media/image5.emf"/></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5.0</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148</xdr:row>
      <xdr:rowOff>95248</xdr:rowOff>
    </xdr:from>
    <xdr:to>
      <xdr:col>9</xdr:col>
      <xdr:colOff>243417</xdr:colOff>
      <xdr:row>179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260350</xdr:colOff>
          <xdr:row>72</xdr:row>
          <xdr:rowOff>0</xdr:rowOff>
        </xdr:from>
        <xdr:to>
          <xdr:col>2</xdr:col>
          <xdr:colOff>3079750</xdr:colOff>
          <xdr:row>77</xdr:row>
          <xdr:rowOff>69850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0" i="0" u="none" strike="noStrike" baseline="0">
                  <a:solidFill>
                    <a:srgbClr val="000000"/>
                  </a:solidFill>
                  <a:latin typeface="Times New Roman"/>
                  <a:cs typeface="Times New Roman"/>
                </a:rPr>
                <a:t>Add set of default pack designs (power, energy, pack configurations)</a:t>
              </a:r>
            </a:p>
          </xdr:txBody>
        </xdr:sp>
        <xdr:clientData fPrintsWithSheet="0"/>
      </xdr:twoCellAnchor>
    </mc:Choice>
    <mc:Fallback/>
  </mc:AlternateContent>
  <xdr:twoCellAnchor>
    <xdr:from>
      <xdr:col>29</xdr:col>
      <xdr:colOff>2</xdr:colOff>
      <xdr:row>236</xdr:row>
      <xdr:rowOff>159965</xdr:rowOff>
    </xdr:from>
    <xdr:to>
      <xdr:col>39</xdr:col>
      <xdr:colOff>378201</xdr:colOff>
      <xdr:row>259</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199158</xdr:colOff>
          <xdr:row>121</xdr:row>
          <xdr:rowOff>173691</xdr:rowOff>
        </xdr:from>
        <xdr:to>
          <xdr:col>20</xdr:col>
          <xdr:colOff>264261</xdr:colOff>
          <xdr:row>139</xdr:row>
          <xdr:rowOff>136948</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a:extLst>
                <a:ext uri="{84589F7E-364E-4C9E-8A38-B11213B215E9}">
                  <a14:cameraTool cellRange="Lists!$A$132:$B$147" spid="_x0000_s1533862"/>
                </a:ext>
              </a:extLst>
            </xdr:cNvPicPr>
          </xdr:nvPicPr>
          <xdr:blipFill>
            <a:blip xmlns:r="http://schemas.openxmlformats.org/officeDocument/2006/relationships" r:embed="rId3"/>
            <a:srcRect/>
            <a:stretch>
              <a:fillRect/>
            </a:stretch>
          </xdr:blipFill>
          <xdr:spPr bwMode="auto">
            <a:xfrm>
              <a:off x="15540758" y="25827691"/>
              <a:ext cx="10199703" cy="3856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218849</xdr:colOff>
          <xdr:row>0</xdr:row>
          <xdr:rowOff>202973</xdr:rowOff>
        </xdr:from>
        <xdr:to>
          <xdr:col>26</xdr:col>
          <xdr:colOff>1920</xdr:colOff>
          <xdr:row>34</xdr:row>
          <xdr:rowOff>90856</xdr:rowOff>
        </xdr:to>
        <xdr:pic>
          <xdr:nvPicPr>
            <xdr:cNvPr id="1276585" name="Picture 18063">
              <a:extLst>
                <a:ext uri="{FF2B5EF4-FFF2-40B4-BE49-F238E27FC236}">
                  <a16:creationId xmlns:a16="http://schemas.microsoft.com/office/drawing/2014/main" id="{00000000-0008-0000-0100-0000A97A1300}"/>
                </a:ext>
              </a:extLst>
            </xdr:cNvPr>
            <xdr:cNvPicPr>
              <a:picLocks noChangeAspect="1" noChangeArrowheads="1"/>
              <a:extLst>
                <a:ext uri="{84589F7E-364E-4C9E-8A38-B11213B215E9}">
                  <a14:cameraTool cellRange="MovableTable" spid="_x0000_s1533863"/>
                </a:ext>
              </a:extLst>
            </xdr:cNvPicPr>
          </xdr:nvPicPr>
          <xdr:blipFill>
            <a:blip xmlns:r="http://schemas.openxmlformats.org/officeDocument/2006/relationships" r:embed="rId4"/>
            <a:srcRect/>
            <a:stretch>
              <a:fillRect/>
            </a:stretch>
          </xdr:blipFill>
          <xdr:spPr bwMode="auto">
            <a:xfrm>
              <a:off x="17506724" y="202973"/>
              <a:ext cx="12748977" cy="81080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196850</xdr:colOff>
          <xdr:row>121</xdr:row>
          <xdr:rowOff>171450</xdr:rowOff>
        </xdr:from>
        <xdr:to>
          <xdr:col>20</xdr:col>
          <xdr:colOff>266700</xdr:colOff>
          <xdr:row>139</xdr:row>
          <xdr:rowOff>139701</xdr:rowOff>
        </xdr:to>
        <xdr:pic>
          <xdr:nvPicPr>
            <xdr:cNvPr id="1533505" name="Picture 12">
              <a:extLst>
                <a:ext uri="{FF2B5EF4-FFF2-40B4-BE49-F238E27FC236}">
                  <a16:creationId xmlns:a16="http://schemas.microsoft.com/office/drawing/2014/main" id="{00000000-0008-0000-0100-000041661700}"/>
                </a:ext>
              </a:extLst>
            </xdr:cNvPr>
            <xdr:cNvPicPr>
              <a:picLocks noChangeAspect="1" noChangeArrowheads="1"/>
              <a:extLst>
                <a:ext uri="{84589F7E-364E-4C9E-8A38-B11213B215E9}">
                  <a14:cameraTool cellRange="Lists!$A$132:$B$147" spid="_x0000_s1533864"/>
                </a:ext>
              </a:extLst>
            </xdr:cNvPicPr>
          </xdr:nvPicPr>
          <xdr:blipFill>
            <a:blip xmlns:r="http://schemas.openxmlformats.org/officeDocument/2006/relationships" r:embed="rId3"/>
            <a:srcRect/>
            <a:stretch>
              <a:fillRect/>
            </a:stretch>
          </xdr:blipFill>
          <xdr:spPr bwMode="auto">
            <a:xfrm>
              <a:off x="15817850" y="25958800"/>
              <a:ext cx="10401300" cy="38798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215900</xdr:colOff>
          <xdr:row>0</xdr:row>
          <xdr:rowOff>203200</xdr:rowOff>
        </xdr:from>
        <xdr:to>
          <xdr:col>26</xdr:col>
          <xdr:colOff>0</xdr:colOff>
          <xdr:row>34</xdr:row>
          <xdr:rowOff>89807</xdr:rowOff>
        </xdr:to>
        <xdr:pic>
          <xdr:nvPicPr>
            <xdr:cNvPr id="1533506" name="Picture 18063">
              <a:extLst>
                <a:ext uri="{FF2B5EF4-FFF2-40B4-BE49-F238E27FC236}">
                  <a16:creationId xmlns:a16="http://schemas.microsoft.com/office/drawing/2014/main" id="{00000000-0008-0000-0100-000042661700}"/>
                </a:ext>
              </a:extLst>
            </xdr:cNvPr>
            <xdr:cNvPicPr>
              <a:picLocks noChangeAspect="1" noChangeArrowheads="1"/>
              <a:extLst>
                <a:ext uri="{84589F7E-364E-4C9E-8A38-B11213B215E9}">
                  <a14:cameraTool cellRange="MovableTable" spid="_x0000_s1533865"/>
                </a:ext>
              </a:extLst>
            </xdr:cNvPicPr>
          </xdr:nvPicPr>
          <xdr:blipFill>
            <a:blip xmlns:r="http://schemas.openxmlformats.org/officeDocument/2006/relationships" r:embed="rId4"/>
            <a:srcRect/>
            <a:stretch>
              <a:fillRect/>
            </a:stretch>
          </xdr:blipFill>
          <xdr:spPr bwMode="auto">
            <a:xfrm>
              <a:off x="18484850" y="203200"/>
              <a:ext cx="12725400" cy="80010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8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Vehicle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599050</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466299"/>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25</xdr:col>
          <xdr:colOff>343259</xdr:colOff>
          <xdr:row>23</xdr:row>
          <xdr:rowOff>59394</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518005"/>
                </a:ext>
              </a:extLst>
            </xdr:cNvPicPr>
          </xdr:nvPicPr>
          <xdr:blipFill>
            <a:blip xmlns:r="http://schemas.openxmlformats.org/officeDocument/2006/relationships" r:embed="rId1"/>
            <a:srcRect/>
            <a:stretch>
              <a:fillRect/>
            </a:stretch>
          </xdr:blipFill>
          <xdr:spPr bwMode="auto">
            <a:xfrm>
              <a:off x="14044083" y="264583"/>
              <a:ext cx="8672343" cy="4073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13</xdr:col>
      <xdr:colOff>590176</xdr:colOff>
      <xdr:row>82</xdr:row>
      <xdr:rowOff>73462</xdr:rowOff>
    </xdr:from>
    <xdr:to>
      <xdr:col>16</xdr:col>
      <xdr:colOff>668978</xdr:colOff>
      <xdr:row>98</xdr:row>
      <xdr:rowOff>15503</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2073093" y="13736545"/>
          <a:ext cx="4439135" cy="2553161"/>
        </a:xfrm>
        <a:prstGeom prst="rect">
          <a:avLst/>
        </a:prstGeom>
      </xdr:spPr>
    </xdr:pic>
    <xdr:clientData/>
  </xdr:twoCellAnchor>
  <xdr:twoCellAnchor>
    <xdr:from>
      <xdr:col>2</xdr:col>
      <xdr:colOff>19968</xdr:colOff>
      <xdr:row>417</xdr:row>
      <xdr:rowOff>165460</xdr:rowOff>
    </xdr:from>
    <xdr:to>
      <xdr:col>2</xdr:col>
      <xdr:colOff>607616</xdr:colOff>
      <xdr:row>421</xdr:row>
      <xdr:rowOff>65820</xdr:rowOff>
    </xdr:to>
    <xdr:sp macro="" textlink="">
      <xdr:nvSpPr>
        <xdr:cNvPr id="2" name="Right Brace 1">
          <a:extLst>
            <a:ext uri="{FF2B5EF4-FFF2-40B4-BE49-F238E27FC236}">
              <a16:creationId xmlns:a16="http://schemas.microsoft.com/office/drawing/2014/main" id="{00000000-0008-0000-0300-000002000000}"/>
            </a:ext>
          </a:extLst>
        </xdr:cNvPr>
        <xdr:cNvSpPr/>
      </xdr:nvSpPr>
      <xdr:spPr>
        <a:xfrm>
          <a:off x="2961288" y="73325080"/>
          <a:ext cx="587648" cy="57092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701432</xdr:colOff>
      <xdr:row>417</xdr:row>
      <xdr:rowOff>37916</xdr:rowOff>
    </xdr:from>
    <xdr:to>
      <xdr:col>4</xdr:col>
      <xdr:colOff>30</xdr:colOff>
      <xdr:row>423</xdr:row>
      <xdr:rowOff>14604</xdr:rowOff>
    </xdr:to>
    <xdr:sp macro="" textlink="">
      <xdr:nvSpPr>
        <xdr:cNvPr id="3" name="TextBox 5">
          <a:extLst>
            <a:ext uri="{FF2B5EF4-FFF2-40B4-BE49-F238E27FC236}">
              <a16:creationId xmlns:a16="http://schemas.microsoft.com/office/drawing/2014/main" id="{00000000-0008-0000-0300-000003000000}"/>
            </a:ext>
          </a:extLst>
        </xdr:cNvPr>
        <xdr:cNvSpPr txBox="1"/>
      </xdr:nvSpPr>
      <xdr:spPr>
        <a:xfrm>
          <a:off x="3642752" y="73197536"/>
          <a:ext cx="883558" cy="982528"/>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4</xdr:row>
          <xdr:rowOff>142875</xdr:rowOff>
        </xdr:from>
        <xdr:to>
          <xdr:col>13</xdr:col>
          <xdr:colOff>694223</xdr:colOff>
          <xdr:row>25</xdr:row>
          <xdr:rowOff>56221</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MovableTable" spid="_x0000_s1550505"/>
                </a:ext>
              </a:extLst>
            </xdr:cNvPicPr>
          </xdr:nvPicPr>
          <xdr:blipFill>
            <a:blip xmlns:r="http://schemas.openxmlformats.org/officeDocument/2006/relationships" r:embed="rId1"/>
            <a:srcRect/>
            <a:stretch>
              <a:fillRect/>
            </a:stretch>
          </xdr:blipFill>
          <xdr:spPr bwMode="auto">
            <a:xfrm>
              <a:off x="14697075" y="1895475"/>
              <a:ext cx="8047523" cy="427579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352425</xdr:colOff>
          <xdr:row>6</xdr:row>
          <xdr:rowOff>152400</xdr:rowOff>
        </xdr:from>
        <xdr:to>
          <xdr:col>21</xdr:col>
          <xdr:colOff>511254</xdr:colOff>
          <xdr:row>31</xdr:row>
          <xdr:rowOff>79264</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a:extLst>
                <a:ext uri="{84589F7E-364E-4C9E-8A38-B11213B215E9}">
                  <a14:cameraTool cellRange="MovableTable" spid="_x0000_s1505816"/>
                </a:ext>
              </a:extLst>
            </xdr:cNvPicPr>
          </xdr:nvPicPr>
          <xdr:blipFill>
            <a:blip xmlns:r="http://schemas.openxmlformats.org/officeDocument/2006/relationships" r:embed="rId1"/>
            <a:srcRect/>
            <a:stretch>
              <a:fillRect/>
            </a:stretch>
          </xdr:blipFill>
          <xdr:spPr bwMode="auto">
            <a:xfrm>
              <a:off x="13230225" y="1362075"/>
              <a:ext cx="8731329" cy="4489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0</xdr:colOff>
      <xdr:row>6</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22224</xdr:colOff>
      <xdr:row>122</xdr:row>
      <xdr:rowOff>82550</xdr:rowOff>
    </xdr:from>
    <xdr:to>
      <xdr:col>12</xdr:col>
      <xdr:colOff>603249</xdr:colOff>
      <xdr:row>148</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177</xdr:row>
      <xdr:rowOff>25399</xdr:rowOff>
    </xdr:from>
    <xdr:to>
      <xdr:col>12</xdr:col>
      <xdr:colOff>552450</xdr:colOff>
      <xdr:row>206</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286</xdr:row>
      <xdr:rowOff>101599</xdr:rowOff>
    </xdr:from>
    <xdr:to>
      <xdr:col>12</xdr:col>
      <xdr:colOff>450850</xdr:colOff>
      <xdr:row>313</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315</xdr:row>
      <xdr:rowOff>66675</xdr:rowOff>
    </xdr:from>
    <xdr:to>
      <xdr:col>12</xdr:col>
      <xdr:colOff>590550</xdr:colOff>
      <xdr:row>344</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237</xdr:row>
      <xdr:rowOff>28575</xdr:rowOff>
    </xdr:from>
    <xdr:to>
      <xdr:col>12</xdr:col>
      <xdr:colOff>581023</xdr:colOff>
      <xdr:row>261</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149</xdr:row>
      <xdr:rowOff>57150</xdr:rowOff>
    </xdr:from>
    <xdr:to>
      <xdr:col>12</xdr:col>
      <xdr:colOff>600075</xdr:colOff>
      <xdr:row>175</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207</xdr:row>
      <xdr:rowOff>22226</xdr:rowOff>
    </xdr:from>
    <xdr:to>
      <xdr:col>12</xdr:col>
      <xdr:colOff>571501</xdr:colOff>
      <xdr:row>236</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262</xdr:row>
      <xdr:rowOff>66675</xdr:rowOff>
    </xdr:from>
    <xdr:to>
      <xdr:col>12</xdr:col>
      <xdr:colOff>600073</xdr:colOff>
      <xdr:row>286</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2.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641350</xdr:colOff>
          <xdr:row>35</xdr:row>
          <xdr:rowOff>31750</xdr:rowOff>
        </xdr:from>
        <xdr:to>
          <xdr:col>2</xdr:col>
          <xdr:colOff>1066800</xdr:colOff>
          <xdr:row>39</xdr:row>
          <xdr:rowOff>31750</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D00-000025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1441450</xdr:colOff>
          <xdr:row>107</xdr:row>
          <xdr:rowOff>146050</xdr:rowOff>
        </xdr:from>
        <xdr:to>
          <xdr:col>4</xdr:col>
          <xdr:colOff>831850</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D00-00002E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908050</xdr:colOff>
          <xdr:row>80</xdr:row>
          <xdr:rowOff>107950</xdr:rowOff>
        </xdr:from>
        <xdr:to>
          <xdr:col>7</xdr:col>
          <xdr:colOff>1174750</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D00-00002F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D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869950</xdr:colOff>
          <xdr:row>10</xdr:row>
          <xdr:rowOff>0</xdr:rowOff>
        </xdr:from>
        <xdr:to>
          <xdr:col>7</xdr:col>
          <xdr:colOff>717550</xdr:colOff>
          <xdr:row>12</xdr:row>
          <xdr:rowOff>69850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000-000001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constant variables to workbook</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58"/>
  <sheetViews>
    <sheetView tabSelected="1" workbookViewId="0">
      <selection activeCell="P1" sqref="P1"/>
    </sheetView>
  </sheetViews>
  <sheetFormatPr defaultColWidth="8.54296875" defaultRowHeight="12.5" x14ac:dyDescent="0.25"/>
  <sheetData>
    <row r="54" spans="2:2" ht="15.5" x14ac:dyDescent="0.35">
      <c r="B54" s="6" t="s">
        <v>0</v>
      </c>
    </row>
    <row r="55" spans="2:2" ht="15.5" x14ac:dyDescent="0.35">
      <c r="B55" s="6" t="s">
        <v>1</v>
      </c>
    </row>
    <row r="56" spans="2:2" ht="15.5" x14ac:dyDescent="0.35">
      <c r="B56" s="6" t="s">
        <v>2</v>
      </c>
    </row>
    <row r="57" spans="2:2" ht="15.5" x14ac:dyDescent="0.35">
      <c r="B57" s="6" t="s">
        <v>3</v>
      </c>
    </row>
    <row r="58" spans="2:2" ht="15.5" x14ac:dyDescent="0.35">
      <c r="B58" s="226"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64"/>
  <sheetViews>
    <sheetView zoomScale="70" zoomScaleNormal="70" workbookViewId="0">
      <pane ySplit="6" topLeftCell="A7" activePane="bottomLeft" state="frozen"/>
      <selection pane="bottomLeft" activeCell="F15" sqref="F15"/>
    </sheetView>
  </sheetViews>
  <sheetFormatPr defaultColWidth="9.453125" defaultRowHeight="15.5" outlineLevelRow="2" x14ac:dyDescent="0.35"/>
  <cols>
    <col min="1" max="1" width="5.453125" style="131" customWidth="1"/>
    <col min="2" max="2" width="11.54296875" style="7" customWidth="1"/>
    <col min="3" max="3" width="56.1796875" style="291" customWidth="1"/>
    <col min="4" max="4" width="23.1796875" style="29" customWidth="1"/>
    <col min="5" max="5" width="24" style="29" customWidth="1"/>
    <col min="6" max="6" width="15.453125" style="7" customWidth="1"/>
    <col min="7" max="7" width="16.54296875" style="7" customWidth="1"/>
    <col min="8" max="8" width="18.54296875" style="7" customWidth="1"/>
    <col min="9" max="10" width="14.453125" style="7" bestFit="1" customWidth="1"/>
    <col min="11" max="11" width="10.453125" style="7" customWidth="1"/>
    <col min="12" max="12" width="13.54296875" style="7" customWidth="1"/>
    <col min="13" max="13" width="18.453125" style="7" bestFit="1" customWidth="1"/>
    <col min="14" max="14" width="19.453125" style="7" bestFit="1" customWidth="1"/>
    <col min="15" max="15" width="26.54296875" style="7" bestFit="1" customWidth="1"/>
    <col min="16" max="16" width="16.54296875" style="7" customWidth="1"/>
    <col min="17" max="18" width="18.453125" style="7" bestFit="1" customWidth="1"/>
    <col min="19" max="19" width="17.453125" style="7" customWidth="1"/>
    <col min="20" max="27" width="12.54296875" style="7" customWidth="1"/>
    <col min="28" max="28" width="16.453125" style="7" customWidth="1"/>
    <col min="29" max="29" width="21.453125" style="7" customWidth="1"/>
    <col min="30" max="36" width="12.54296875" style="7" customWidth="1"/>
    <col min="37" max="39" width="10.453125" style="7" customWidth="1"/>
    <col min="40" max="16384" width="9.453125" style="7"/>
  </cols>
  <sheetData>
    <row r="1" spans="1:32" ht="23.5" thickBot="1" x14ac:dyDescent="0.4">
      <c r="A1" s="1050"/>
      <c r="B1" s="1415" t="s">
        <v>5</v>
      </c>
      <c r="C1" s="1416"/>
      <c r="D1" s="1416"/>
      <c r="E1" s="1416"/>
      <c r="F1" s="1416"/>
      <c r="G1" s="1416"/>
      <c r="H1" s="1416"/>
      <c r="I1" s="1416"/>
      <c r="J1" s="1416"/>
      <c r="K1" s="1416"/>
      <c r="L1" s="1416"/>
      <c r="M1" s="1419" t="s">
        <v>6</v>
      </c>
      <c r="N1" s="1420"/>
      <c r="O1"/>
      <c r="P1" s="353"/>
      <c r="Q1"/>
      <c r="R1"/>
      <c r="S1"/>
    </row>
    <row r="2" spans="1:32" ht="18.5" thickBot="1" x14ac:dyDescent="0.45">
      <c r="A2" s="353"/>
      <c r="B2" s="1417" t="str">
        <f>Dashboard!$D$33&amp;" with "&amp;Dashboard!$D$13&amp;" Electrodes"</f>
        <v>EV with NMC811-G (Energy) Electrodes</v>
      </c>
      <c r="C2" s="1418"/>
      <c r="D2" s="1418"/>
      <c r="E2" s="1418"/>
      <c r="F2" s="1418"/>
      <c r="G2" s="1418"/>
      <c r="H2" s="1418"/>
      <c r="I2" s="1418"/>
      <c r="J2" s="1418"/>
      <c r="K2" s="1418"/>
      <c r="L2" s="1418"/>
      <c r="M2" s="1241" t="s">
        <v>5</v>
      </c>
      <c r="N2" s="1242" t="s">
        <v>7</v>
      </c>
      <c r="O2"/>
      <c r="P2" s="353"/>
      <c r="Q2"/>
      <c r="R2"/>
      <c r="S2"/>
    </row>
    <row r="3" spans="1:32" ht="20.5" thickBot="1" x14ac:dyDescent="0.45">
      <c r="A3" s="1050"/>
      <c r="B3" s="1205" t="s">
        <v>8</v>
      </c>
      <c r="C3" s="1093"/>
      <c r="D3" s="1206" t="s">
        <v>9</v>
      </c>
      <c r="E3" s="321"/>
      <c r="F3" s="322"/>
      <c r="G3" s="1207" t="s">
        <v>10</v>
      </c>
      <c r="H3" s="323"/>
      <c r="I3" s="1394" t="s">
        <v>11</v>
      </c>
      <c r="J3" s="1395"/>
      <c r="K3" s="1395"/>
      <c r="L3" s="1395"/>
      <c r="M3" s="1243" t="s">
        <v>12</v>
      </c>
      <c r="N3" s="1242" t="s">
        <v>13</v>
      </c>
      <c r="O3"/>
      <c r="P3" s="353"/>
      <c r="Q3"/>
      <c r="R3"/>
      <c r="S3"/>
      <c r="AB3" s="333"/>
      <c r="AC3" s="1170"/>
      <c r="AD3" s="1171"/>
      <c r="AE3" s="1172"/>
      <c r="AF3" s="333"/>
    </row>
    <row r="4" spans="1:32" ht="16" thickBot="1" x14ac:dyDescent="0.4">
      <c r="A4" s="1050"/>
      <c r="M4" s="1240" t="s">
        <v>14</v>
      </c>
      <c r="N4" s="1242" t="s">
        <v>15</v>
      </c>
      <c r="O4"/>
      <c r="P4" s="353"/>
      <c r="Q4"/>
      <c r="R4"/>
      <c r="S4"/>
    </row>
    <row r="5" spans="1:32" ht="20.5" thickBot="1" x14ac:dyDescent="0.4">
      <c r="A5" s="1050"/>
      <c r="B5" s="1396" t="s">
        <v>16</v>
      </c>
      <c r="C5" s="1397"/>
      <c r="D5" s="1397"/>
      <c r="E5" s="1397"/>
      <c r="F5" s="1397"/>
      <c r="G5" s="1397"/>
      <c r="H5" s="1397"/>
      <c r="I5" s="1397"/>
      <c r="J5" s="1397"/>
      <c r="K5" s="1397"/>
      <c r="L5" s="1397"/>
      <c r="M5" s="1240" t="s">
        <v>17</v>
      </c>
      <c r="N5" s="1246" t="s">
        <v>18</v>
      </c>
      <c r="O5"/>
      <c r="P5" s="353"/>
      <c r="Q5"/>
      <c r="R5"/>
      <c r="S5"/>
    </row>
    <row r="6" spans="1:32" ht="16" thickBot="1" x14ac:dyDescent="0.4">
      <c r="A6" s="353"/>
      <c r="B6" s="303"/>
      <c r="C6" s="1209" t="s">
        <v>19</v>
      </c>
      <c r="D6" s="1210">
        <f>1</f>
        <v>1</v>
      </c>
      <c r="E6" s="1211" t="s">
        <v>20</v>
      </c>
      <c r="F6" s="1208" t="s">
        <v>21</v>
      </c>
      <c r="G6" s="1104"/>
      <c r="H6" s="1104"/>
      <c r="I6" s="1104"/>
      <c r="J6" s="300"/>
      <c r="K6" s="300"/>
      <c r="L6" s="300"/>
      <c r="M6" s="1244" t="s">
        <v>22</v>
      </c>
      <c r="N6" s="1245" t="s">
        <v>23</v>
      </c>
      <c r="O6" s="353"/>
      <c r="P6" s="353"/>
      <c r="Q6"/>
      <c r="R6"/>
      <c r="S6"/>
      <c r="T6" s="353"/>
      <c r="U6" s="353"/>
      <c r="V6" s="353"/>
      <c r="W6" s="353"/>
      <c r="X6" s="353"/>
      <c r="Y6" s="353"/>
    </row>
    <row r="7" spans="1:32" x14ac:dyDescent="0.35">
      <c r="A7" s="1050"/>
      <c r="B7" s="1191"/>
      <c r="C7" s="885"/>
      <c r="D7"/>
      <c r="E7"/>
      <c r="F7"/>
      <c r="G7"/>
      <c r="H7"/>
      <c r="I7"/>
      <c r="J7"/>
      <c r="K7" s="353"/>
      <c r="L7" s="353"/>
      <c r="M7" s="353"/>
      <c r="N7" s="353"/>
      <c r="O7" s="353"/>
      <c r="P7" s="353"/>
    </row>
    <row r="8" spans="1:32" x14ac:dyDescent="0.35">
      <c r="A8" s="1050"/>
      <c r="C8"/>
      <c r="D8"/>
      <c r="E8"/>
      <c r="F8"/>
      <c r="G8"/>
      <c r="H8"/>
      <c r="I8"/>
      <c r="J8"/>
    </row>
    <row r="9" spans="1:32" ht="19.5" customHeight="1" thickBot="1" x14ac:dyDescent="0.45">
      <c r="A9" s="1050"/>
      <c r="B9" s="173"/>
      <c r="C9"/>
      <c r="D9"/>
      <c r="E9"/>
      <c r="F9"/>
      <c r="G9"/>
      <c r="H9"/>
      <c r="I9"/>
      <c r="J9"/>
      <c r="O9" s="353"/>
      <c r="P9" s="353"/>
      <c r="Q9" s="353"/>
      <c r="R9" s="353"/>
      <c r="S9" s="353"/>
      <c r="T9" s="353"/>
      <c r="U9" s="353"/>
      <c r="V9" s="353"/>
      <c r="W9" s="353"/>
      <c r="X9" s="353"/>
      <c r="Y9" s="353"/>
    </row>
    <row r="10" spans="1:32" s="292" customFormat="1" ht="19.5" customHeight="1" thickBot="1" x14ac:dyDescent="0.4">
      <c r="B10" s="1396" t="s">
        <v>24</v>
      </c>
      <c r="C10" s="1397"/>
      <c r="D10" s="1397"/>
      <c r="E10" s="1397"/>
      <c r="F10" s="1397"/>
      <c r="G10" s="1397"/>
      <c r="H10" s="1397"/>
      <c r="I10" s="1397"/>
      <c r="J10" s="1397"/>
      <c r="K10" s="1397"/>
      <c r="L10" s="1398"/>
      <c r="M10" s="293"/>
      <c r="N10" s="293"/>
      <c r="O10" s="353"/>
      <c r="P10" s="353"/>
      <c r="Q10" s="353"/>
      <c r="R10" s="353"/>
      <c r="S10" s="353"/>
      <c r="T10" s="353"/>
      <c r="U10" s="353"/>
      <c r="V10" s="353"/>
      <c r="W10" s="353"/>
      <c r="X10" s="353"/>
      <c r="Y10" s="353"/>
    </row>
    <row r="11" spans="1:32" s="615" customFormat="1" ht="18.5" thickBot="1" x14ac:dyDescent="0.4">
      <c r="B11" s="1105" t="s">
        <v>25</v>
      </c>
      <c r="C11" s="1107"/>
      <c r="D11" s="1108"/>
      <c r="E11" s="1108"/>
      <c r="F11" s="1107"/>
      <c r="G11" s="1107"/>
      <c r="H11" s="1109"/>
      <c r="I11" s="1110"/>
      <c r="J11" s="1111"/>
      <c r="K11" s="1112"/>
      <c r="L11" s="1113"/>
      <c r="M11" s="1096"/>
      <c r="N11" s="1096"/>
    </row>
    <row r="12" spans="1:32" s="353" customFormat="1" outlineLevel="1" x14ac:dyDescent="0.35">
      <c r="B12" s="1132"/>
      <c r="C12" s="310"/>
      <c r="D12" s="1097" t="s">
        <v>26</v>
      </c>
      <c r="E12" s="1098" t="s">
        <v>27</v>
      </c>
      <c r="F12" s="1103"/>
      <c r="G12" s="9"/>
      <c r="H12" s="9"/>
      <c r="I12" s="9"/>
      <c r="J12" s="9"/>
      <c r="K12" s="1103"/>
      <c r="L12" s="1133"/>
      <c r="M12" s="1103"/>
      <c r="N12" s="1103"/>
    </row>
    <row r="13" spans="1:32" s="353" customFormat="1" ht="18" outlineLevel="1" x14ac:dyDescent="0.25">
      <c r="B13" s="1132"/>
      <c r="C13" s="1196" t="s">
        <v>28</v>
      </c>
      <c r="D13" s="1238" t="str">
        <f>E13</f>
        <v>NMC811-G (Energy)</v>
      </c>
      <c r="E13" s="1239" t="s">
        <v>29</v>
      </c>
      <c r="F13" s="1103"/>
      <c r="J13" s="9"/>
      <c r="K13" s="1103"/>
      <c r="L13" s="1133"/>
      <c r="M13" s="1103"/>
      <c r="N13" s="1103"/>
    </row>
    <row r="14" spans="1:32" s="353" customFormat="1" outlineLevel="1" x14ac:dyDescent="0.35">
      <c r="B14" s="1132"/>
      <c r="C14" s="1197" t="str">
        <f>"Positive Electrode: " &amp; IFERROR(INDEX(_chem_formulas,MATCH(Chem!C7,_materials,0)), Chem!C7)</f>
        <v>Positive Electrode: Li(Ni0.8Mn0.1Co0.1)O2</v>
      </c>
      <c r="D14" s="1095"/>
      <c r="E14" s="1099" t="s">
        <v>30</v>
      </c>
      <c r="F14" s="1103"/>
      <c r="J14" s="9"/>
      <c r="K14" s="1103"/>
      <c r="L14" s="1133"/>
      <c r="M14" s="1103"/>
      <c r="N14" s="1103"/>
    </row>
    <row r="15" spans="1:32" s="353" customFormat="1" outlineLevel="1" x14ac:dyDescent="0.25">
      <c r="B15" s="1132"/>
      <c r="C15" s="301" t="s">
        <v>31</v>
      </c>
      <c r="D15" s="1100">
        <f>Chem!C8</f>
        <v>213.6</v>
      </c>
      <c r="E15" s="1101"/>
      <c r="F15" s="1103"/>
      <c r="J15" s="9"/>
      <c r="K15" s="1103"/>
      <c r="L15" s="1133"/>
      <c r="M15" s="1103"/>
      <c r="N15" s="1103"/>
    </row>
    <row r="16" spans="1:32" s="353" customFormat="1" outlineLevel="1" x14ac:dyDescent="0.25">
      <c r="B16" s="1132"/>
      <c r="C16" s="301" t="s">
        <v>32</v>
      </c>
      <c r="D16" s="1100">
        <f>Chem!C22</f>
        <v>25</v>
      </c>
      <c r="E16" s="1101"/>
      <c r="F16" s="1103"/>
      <c r="J16" s="9"/>
      <c r="K16" s="1103"/>
      <c r="L16" s="1133"/>
      <c r="M16" s="1103"/>
      <c r="N16" s="1103"/>
    </row>
    <row r="17" spans="2:30" s="353" customFormat="1" outlineLevel="1" x14ac:dyDescent="0.25">
      <c r="B17" s="1132"/>
      <c r="C17" s="301" t="s">
        <v>33</v>
      </c>
      <c r="D17" s="1100">
        <f>Chem!C31</f>
        <v>15</v>
      </c>
      <c r="E17" s="1101"/>
      <c r="F17" s="1103"/>
      <c r="J17" s="9"/>
      <c r="K17" s="1103"/>
      <c r="L17" s="1133"/>
      <c r="M17" s="1103"/>
      <c r="N17" s="1103"/>
    </row>
    <row r="18" spans="2:30" s="353" customFormat="1" outlineLevel="1" x14ac:dyDescent="0.25">
      <c r="B18" s="1132"/>
      <c r="C18" s="301" t="s">
        <v>34</v>
      </c>
      <c r="D18" s="1100">
        <f>Chem!C26</f>
        <v>120</v>
      </c>
      <c r="E18" s="1101"/>
      <c r="F18" s="1103"/>
      <c r="J18" s="9"/>
      <c r="K18" s="1103"/>
      <c r="L18" s="1133"/>
      <c r="M18" s="1103"/>
      <c r="N18" s="1103"/>
    </row>
    <row r="19" spans="2:30" s="353" customFormat="1" outlineLevel="1" x14ac:dyDescent="0.25">
      <c r="B19" s="1132"/>
      <c r="C19" s="295"/>
      <c r="D19" s="295"/>
      <c r="E19" s="295"/>
      <c r="F19" s="1103"/>
      <c r="J19" s="9"/>
      <c r="K19" s="1103"/>
      <c r="L19" s="1133"/>
      <c r="M19" s="1103"/>
      <c r="N19" s="1103"/>
    </row>
    <row r="20" spans="2:30" s="353" customFormat="1" outlineLevel="1" x14ac:dyDescent="0.35">
      <c r="B20" s="1132"/>
      <c r="C20" s="1197" t="str">
        <f>"Negative Electrode: " &amp; IFERROR(INDEX(_chem_formulas,MATCH(Chem!C35,_materials,0)) &amp; IF(Chem!C34 = "Yes", " with 5% Si", ""), Chem!C35)</f>
        <v>Negative Electrode: Graphite</v>
      </c>
      <c r="D20" s="1095"/>
      <c r="E20" s="1099"/>
      <c r="F20" s="1103"/>
      <c r="J20" s="9"/>
      <c r="K20" s="1103"/>
      <c r="L20" s="1133"/>
      <c r="M20" s="1103"/>
      <c r="N20" s="1103"/>
    </row>
    <row r="21" spans="2:30" s="353" customFormat="1" outlineLevel="1" x14ac:dyDescent="0.25">
      <c r="B21" s="1132"/>
      <c r="C21" s="301" t="s">
        <v>35</v>
      </c>
      <c r="D21" s="1100">
        <f>Chem!C37</f>
        <v>360.4</v>
      </c>
      <c r="E21" s="1101"/>
      <c r="F21" s="1103"/>
      <c r="J21" s="9"/>
      <c r="K21" s="1103"/>
      <c r="L21" s="1133"/>
      <c r="M21" s="1103"/>
      <c r="N21" s="1103"/>
    </row>
    <row r="22" spans="2:30" s="353" customFormat="1" outlineLevel="1" x14ac:dyDescent="0.25">
      <c r="B22" s="1132"/>
      <c r="C22" s="301" t="s">
        <v>36</v>
      </c>
      <c r="D22" s="1102">
        <f>Chem!C36</f>
        <v>1.1000000000000001</v>
      </c>
      <c r="E22" s="1101"/>
      <c r="F22" s="1103"/>
      <c r="J22" s="9"/>
      <c r="K22" s="1103"/>
      <c r="L22" s="1133"/>
      <c r="M22" s="1103"/>
      <c r="N22" s="1103"/>
    </row>
    <row r="23" spans="2:30" s="353" customFormat="1" outlineLevel="1" x14ac:dyDescent="0.25">
      <c r="B23" s="1132"/>
      <c r="C23" s="301" t="s">
        <v>37</v>
      </c>
      <c r="D23" s="1100">
        <f>Chem!C51</f>
        <v>25</v>
      </c>
      <c r="E23" s="1101"/>
      <c r="F23" s="1103"/>
      <c r="J23" s="9"/>
      <c r="K23" s="1103"/>
      <c r="L23" s="1133"/>
      <c r="M23" s="1103"/>
      <c r="N23" s="1103"/>
    </row>
    <row r="24" spans="2:30" s="353" customFormat="1" outlineLevel="1" x14ac:dyDescent="0.25">
      <c r="B24" s="1132"/>
      <c r="C24" s="301" t="s">
        <v>38</v>
      </c>
      <c r="D24" s="1100">
        <f>Chem!C58</f>
        <v>10</v>
      </c>
      <c r="E24" s="1101"/>
      <c r="F24" s="1103"/>
      <c r="J24" s="9"/>
      <c r="K24" s="1103"/>
      <c r="L24" s="1133"/>
      <c r="M24" s="1103"/>
      <c r="N24" s="1103"/>
    </row>
    <row r="25" spans="2:30" s="353" customFormat="1" outlineLevel="1" x14ac:dyDescent="0.25">
      <c r="B25" s="1132"/>
      <c r="C25" s="301"/>
      <c r="D25" s="484"/>
      <c r="E25" s="484"/>
      <c r="F25" s="1103"/>
      <c r="J25" s="9"/>
      <c r="K25" s="1103"/>
      <c r="L25" s="1133"/>
      <c r="M25" s="1103"/>
      <c r="N25" s="1103"/>
    </row>
    <row r="26" spans="2:30" s="353" customFormat="1" outlineLevel="1" x14ac:dyDescent="0.25">
      <c r="B26" s="1132"/>
      <c r="C26" s="301" t="s">
        <v>39</v>
      </c>
      <c r="D26" s="1100">
        <f>Chem!C61</f>
        <v>15</v>
      </c>
      <c r="E26" s="1101"/>
      <c r="F26" s="1103"/>
      <c r="J26" s="9"/>
      <c r="K26" s="1103"/>
      <c r="L26" s="1133"/>
      <c r="M26" s="1103"/>
      <c r="N26" s="1103"/>
    </row>
    <row r="27" spans="2:30" s="353" customFormat="1" outlineLevel="1" x14ac:dyDescent="0.25">
      <c r="B27" s="1132"/>
      <c r="C27" s="295"/>
      <c r="D27" s="295"/>
      <c r="E27" s="295"/>
      <c r="F27" s="1103"/>
      <c r="J27" s="9"/>
      <c r="K27" s="1103"/>
      <c r="L27" s="1133"/>
      <c r="M27" s="1103"/>
      <c r="N27" s="1103"/>
    </row>
    <row r="28" spans="2:30" s="353" customFormat="1" ht="12.5" outlineLevel="1" x14ac:dyDescent="0.25">
      <c r="B28" s="1132"/>
      <c r="C28"/>
      <c r="D28"/>
      <c r="E28"/>
      <c r="F28" s="1103"/>
      <c r="J28" s="9"/>
      <c r="K28" s="1103"/>
      <c r="L28" s="1133"/>
      <c r="M28" s="1103"/>
      <c r="N28" s="1103"/>
    </row>
    <row r="29" spans="2:30" s="353" customFormat="1" ht="13.5" customHeight="1" outlineLevel="1" thickBot="1" x14ac:dyDescent="0.3">
      <c r="B29" s="1137"/>
      <c r="C29" s="584"/>
      <c r="D29" s="584"/>
      <c r="E29" s="584"/>
      <c r="F29" s="584"/>
      <c r="G29" s="584"/>
      <c r="H29" s="584"/>
      <c r="I29" s="584"/>
      <c r="J29" s="584"/>
      <c r="K29" s="584"/>
      <c r="L29" s="1138"/>
      <c r="M29" s="1103"/>
      <c r="N29" s="1103"/>
    </row>
    <row r="30" spans="2:30" s="615" customFormat="1" ht="18.5" thickBot="1" x14ac:dyDescent="0.45">
      <c r="B30" s="1106" t="s">
        <v>17</v>
      </c>
      <c r="C30" s="1107"/>
      <c r="D30" s="1114"/>
      <c r="E30" s="1115"/>
      <c r="F30" s="1112"/>
      <c r="G30" s="1111"/>
      <c r="H30" s="1111"/>
      <c r="I30" s="1111"/>
      <c r="J30" s="1116"/>
      <c r="K30" s="1112"/>
      <c r="L30" s="1113"/>
      <c r="M30" s="1096"/>
      <c r="N30" s="1096"/>
      <c r="Q30" s="1117"/>
    </row>
    <row r="31" spans="2:30" ht="18" thickBot="1" x14ac:dyDescent="0.4">
      <c r="B31" s="1405" t="s">
        <v>41</v>
      </c>
      <c r="C31" s="1406"/>
      <c r="D31" s="1406"/>
      <c r="E31" s="1406"/>
      <c r="F31" s="1406"/>
      <c r="G31" s="1406"/>
      <c r="H31" s="1406"/>
      <c r="I31" s="1406"/>
      <c r="J31" s="1406"/>
      <c r="K31" s="1406"/>
      <c r="L31" s="1407"/>
      <c r="M31" s="295"/>
      <c r="N31" s="335"/>
      <c r="O31" s="353"/>
      <c r="P31" s="353"/>
      <c r="Q31" s="353"/>
      <c r="R31" s="353"/>
      <c r="S31" s="353"/>
      <c r="T31" s="353"/>
      <c r="U31" s="353"/>
      <c r="V31" s="353"/>
      <c r="W31" s="353"/>
      <c r="X31" s="353"/>
      <c r="Y31" s="353"/>
    </row>
    <row r="32" spans="2:30" ht="31" outlineLevel="1" x14ac:dyDescent="0.35">
      <c r="B32" s="296"/>
      <c r="D32" s="1167" t="s">
        <v>26</v>
      </c>
      <c r="E32" s="1098" t="s">
        <v>27</v>
      </c>
      <c r="F32" s="295"/>
      <c r="H32" s="1198" t="s">
        <v>42</v>
      </c>
      <c r="I32" s="1202">
        <f>IF(J32="", 'Vehicle Considerations'!B16, J32)</f>
        <v>95</v>
      </c>
      <c r="J32" s="1168"/>
      <c r="K32" s="295"/>
      <c r="L32" s="298"/>
      <c r="M32" s="295"/>
      <c r="N32"/>
      <c r="O32"/>
      <c r="P32"/>
      <c r="Q32"/>
      <c r="R32"/>
      <c r="S32"/>
      <c r="T32"/>
      <c r="U32"/>
      <c r="V32"/>
      <c r="W32"/>
      <c r="X32"/>
      <c r="Y32"/>
      <c r="Z32"/>
      <c r="AA32"/>
      <c r="AB32"/>
      <c r="AC32"/>
      <c r="AD32"/>
    </row>
    <row r="33" spans="1:30" ht="30.75" customHeight="1" outlineLevel="1" x14ac:dyDescent="0.35">
      <c r="A33" s="353"/>
      <c r="B33" s="296"/>
      <c r="C33" s="301" t="s">
        <v>43</v>
      </c>
      <c r="D33" s="1238" t="str">
        <f>E33</f>
        <v>EV</v>
      </c>
      <c r="E33" s="1239" t="s">
        <v>44</v>
      </c>
      <c r="F33" s="1411" t="str">
        <f>IF(E34="Yes", "&lt;&lt;&lt; Fast Charging only usable for select vehicles", "")</f>
        <v>&lt;&lt;&lt; Fast Charging only usable for select vehicles</v>
      </c>
      <c r="G33" s="1412"/>
      <c r="H33" s="1199" t="s">
        <v>45</v>
      </c>
      <c r="I33" s="1214">
        <f>IF(J33="", 'Vehicle Considerations'!B17, J33)</f>
        <v>10</v>
      </c>
      <c r="J33" s="1101"/>
      <c r="K33" s="295"/>
      <c r="L33" s="298"/>
      <c r="M33" s="295"/>
      <c r="N33"/>
      <c r="O33"/>
      <c r="P33"/>
      <c r="Q33"/>
      <c r="R33"/>
      <c r="S33"/>
      <c r="T33"/>
      <c r="U33"/>
      <c r="V33"/>
      <c r="W33"/>
      <c r="X33"/>
      <c r="Y33"/>
      <c r="Z33"/>
      <c r="AA33"/>
      <c r="AB33"/>
      <c r="AC33"/>
      <c r="AD33"/>
    </row>
    <row r="34" spans="1:30" ht="60.75" customHeight="1" outlineLevel="1" thickBot="1" x14ac:dyDescent="0.4">
      <c r="A34" s="353"/>
      <c r="B34" s="296"/>
      <c r="C34" s="301" t="s">
        <v>46</v>
      </c>
      <c r="D34" s="1201" t="str">
        <f>IF('Vehicle Considerations'!B19,E34,"No")</f>
        <v>Yes</v>
      </c>
      <c r="E34" s="1203" t="s">
        <v>59</v>
      </c>
      <c r="F34" s="1169"/>
      <c r="G34" s="292"/>
      <c r="H34" s="1199" t="str">
        <f>"Useable battery energy, % of total ("  &amp;E33 &amp;")"</f>
        <v>Useable battery energy, % of total (EV)</v>
      </c>
      <c r="I34" s="1200">
        <f>I32-I33</f>
        <v>85</v>
      </c>
      <c r="K34" s="295"/>
      <c r="L34" s="298"/>
      <c r="M34" s="295"/>
      <c r="N34"/>
      <c r="O34"/>
      <c r="P34"/>
      <c r="Q34"/>
      <c r="R34"/>
      <c r="S34"/>
      <c r="T34"/>
      <c r="U34"/>
      <c r="V34"/>
      <c r="W34"/>
      <c r="X34"/>
      <c r="Y34"/>
      <c r="Z34"/>
      <c r="AA34"/>
      <c r="AB34"/>
      <c r="AC34"/>
      <c r="AD34"/>
    </row>
    <row r="35" spans="1:30" ht="18" collapsed="1" thickBot="1" x14ac:dyDescent="0.4">
      <c r="A35" s="353"/>
      <c r="B35" s="1405" t="s">
        <v>48</v>
      </c>
      <c r="C35" s="1406"/>
      <c r="D35" s="1406"/>
      <c r="E35" s="1406"/>
      <c r="F35" s="1406"/>
      <c r="G35" s="1406"/>
      <c r="H35" s="1406"/>
      <c r="I35" s="1406"/>
      <c r="J35" s="1406"/>
      <c r="K35" s="1406"/>
      <c r="L35" s="1407"/>
      <c r="M35" s="295"/>
      <c r="N35"/>
      <c r="O35"/>
      <c r="P35"/>
      <c r="Q35"/>
      <c r="R35"/>
      <c r="S35"/>
      <c r="T35"/>
      <c r="U35"/>
      <c r="V35"/>
      <c r="W35"/>
      <c r="X35"/>
      <c r="Y35"/>
      <c r="Z35"/>
      <c r="AA35"/>
      <c r="AB35"/>
      <c r="AC35"/>
      <c r="AD35"/>
    </row>
    <row r="36" spans="1:30" ht="16" thickBot="1" x14ac:dyDescent="0.4">
      <c r="A36" s="353"/>
      <c r="B36" s="585"/>
      <c r="C36" s="1155" t="s">
        <v>49</v>
      </c>
      <c r="D36" s="307"/>
      <c r="E36" s="307"/>
      <c r="F36" s="308"/>
      <c r="G36" s="308"/>
      <c r="H36" s="308"/>
      <c r="I36" s="308"/>
      <c r="J36" s="308"/>
      <c r="K36" s="586"/>
      <c r="L36" s="587"/>
      <c r="M36" s="295"/>
      <c r="N36"/>
      <c r="O36"/>
      <c r="P36"/>
      <c r="Q36"/>
      <c r="R36"/>
      <c r="S36"/>
      <c r="T36"/>
      <c r="U36"/>
      <c r="V36"/>
      <c r="W36"/>
      <c r="X36"/>
      <c r="Y36"/>
      <c r="Z36"/>
      <c r="AA36"/>
      <c r="AB36"/>
      <c r="AC36"/>
      <c r="AD36"/>
    </row>
    <row r="37" spans="1:30" ht="16" outlineLevel="1" thickBot="1" x14ac:dyDescent="0.4">
      <c r="A37" s="353"/>
      <c r="B37" s="296"/>
      <c r="C37" s="310"/>
      <c r="D37" s="1282" t="s">
        <v>50</v>
      </c>
      <c r="E37" s="1156" t="s">
        <v>51</v>
      </c>
      <c r="F37" s="1145" t="s">
        <v>52</v>
      </c>
      <c r="G37" s="1145" t="s">
        <v>53</v>
      </c>
      <c r="H37" s="1145" t="s">
        <v>54</v>
      </c>
      <c r="I37" s="1145" t="s">
        <v>55</v>
      </c>
      <c r="J37" s="1146" t="s">
        <v>56</v>
      </c>
      <c r="K37" s="295"/>
      <c r="L37" s="298"/>
      <c r="M37" s="295"/>
      <c r="N37"/>
      <c r="O37"/>
      <c r="P37"/>
      <c r="Q37"/>
      <c r="R37"/>
      <c r="S37"/>
      <c r="T37"/>
      <c r="U37"/>
      <c r="V37"/>
      <c r="W37"/>
      <c r="X37"/>
      <c r="Y37"/>
      <c r="Z37"/>
      <c r="AA37"/>
      <c r="AB37"/>
      <c r="AC37"/>
      <c r="AD37"/>
    </row>
    <row r="38" spans="1:30" outlineLevel="1" x14ac:dyDescent="0.35">
      <c r="A38" s="353"/>
      <c r="B38" s="296"/>
      <c r="C38" s="629" t="s">
        <v>57</v>
      </c>
      <c r="D38" s="1157">
        <v>300</v>
      </c>
      <c r="E38" s="1157">
        <v>300</v>
      </c>
      <c r="F38" s="1157">
        <v>300</v>
      </c>
      <c r="G38" s="1157">
        <v>300</v>
      </c>
      <c r="H38" s="1157">
        <v>300</v>
      </c>
      <c r="I38" s="1157">
        <v>300</v>
      </c>
      <c r="J38" s="1157">
        <v>300</v>
      </c>
      <c r="K38" s="295"/>
      <c r="L38" s="298"/>
      <c r="M38" s="295"/>
      <c r="N38"/>
      <c r="O38"/>
      <c r="P38"/>
      <c r="Q38"/>
      <c r="R38"/>
      <c r="S38"/>
      <c r="T38"/>
      <c r="U38"/>
      <c r="V38"/>
      <c r="W38"/>
      <c r="X38"/>
      <c r="Y38"/>
      <c r="Z38"/>
      <c r="AA38"/>
      <c r="AB38"/>
      <c r="AC38"/>
      <c r="AD38"/>
    </row>
    <row r="39" spans="1:30" outlineLevel="1" x14ac:dyDescent="0.35">
      <c r="A39" s="353"/>
      <c r="B39" s="296"/>
      <c r="C39" s="310"/>
      <c r="D39" s="311"/>
      <c r="E39" s="311"/>
      <c r="F39" s="299"/>
      <c r="G39" s="299"/>
      <c r="H39" s="299"/>
      <c r="I39" s="299"/>
      <c r="J39" s="299"/>
      <c r="K39" s="295"/>
      <c r="L39" s="298"/>
      <c r="M39" s="295"/>
      <c r="N39"/>
      <c r="O39"/>
      <c r="P39"/>
      <c r="Q39"/>
      <c r="R39"/>
      <c r="S39"/>
      <c r="T39"/>
      <c r="U39"/>
      <c r="V39"/>
      <c r="W39"/>
      <c r="X39"/>
      <c r="Y39"/>
      <c r="Z39"/>
      <c r="AA39"/>
      <c r="AB39"/>
      <c r="AC39"/>
      <c r="AD39"/>
    </row>
    <row r="40" spans="1:30" outlineLevel="1" x14ac:dyDescent="0.35">
      <c r="A40" s="353"/>
      <c r="B40" s="296"/>
      <c r="C40" s="629" t="s">
        <v>58</v>
      </c>
      <c r="D40" s="1414" t="s">
        <v>59</v>
      </c>
      <c r="E40" s="1414"/>
      <c r="F40" s="1414"/>
      <c r="G40" s="1414"/>
      <c r="H40" s="1414"/>
      <c r="I40" s="1414"/>
      <c r="J40" s="1414"/>
      <c r="K40" s="295"/>
      <c r="L40" s="298"/>
      <c r="M40" s="295"/>
      <c r="N40"/>
      <c r="O40"/>
      <c r="P40"/>
      <c r="Q40"/>
      <c r="R40"/>
      <c r="S40"/>
      <c r="T40"/>
      <c r="U40"/>
      <c r="V40"/>
      <c r="W40"/>
      <c r="X40"/>
      <c r="Y40"/>
      <c r="Z40"/>
      <c r="AA40"/>
      <c r="AB40"/>
      <c r="AC40"/>
      <c r="AD40"/>
    </row>
    <row r="41" spans="1:30" x14ac:dyDescent="0.35">
      <c r="A41" s="353"/>
      <c r="B41" s="309"/>
      <c r="C41" s="310"/>
      <c r="D41" s="311"/>
      <c r="E41" s="311"/>
      <c r="F41" s="299"/>
      <c r="G41" s="299"/>
      <c r="H41" s="299"/>
      <c r="I41" s="299"/>
      <c r="J41" s="299"/>
      <c r="K41" s="299"/>
      <c r="L41" s="297"/>
    </row>
    <row r="42" spans="1:30" outlineLevel="1" x14ac:dyDescent="0.35">
      <c r="A42" s="353"/>
      <c r="B42" s="309"/>
      <c r="C42" s="629" t="s">
        <v>60</v>
      </c>
      <c r="D42" s="1158">
        <f>IF(D43 = "", 'Vehicle Considerations'!$B$13, IF($D$40 = "Yes", 'Vehicle Considerations'!$B$13,D43))</f>
        <v>10</v>
      </c>
      <c r="E42" s="1158">
        <f>IF(E43 = "", 'Vehicle Considerations'!$B$13, IF($D$40 = "Yes", 'Vehicle Considerations'!$B$13,E43))</f>
        <v>10</v>
      </c>
      <c r="F42" s="1158">
        <f>IF(F43 = "", 'Vehicle Considerations'!$B$13, IF($D$40 = "Yes", 'Vehicle Considerations'!$B$13,F43))</f>
        <v>10</v>
      </c>
      <c r="G42" s="1158">
        <f>IF(G43 = "", 'Vehicle Considerations'!$B$13, IF($D$40 = "Yes", 'Vehicle Considerations'!$B$13,G43))</f>
        <v>10</v>
      </c>
      <c r="H42" s="1158">
        <f>IF(H43 = "", 'Vehicle Considerations'!$B$13, IF($D$40 = "Yes", 'Vehicle Considerations'!$B$13,H43))</f>
        <v>10</v>
      </c>
      <c r="I42" s="1158">
        <f>IF(I43 = "", 'Vehicle Considerations'!$B$13, IF($D$40 = "Yes", 'Vehicle Considerations'!$B$13,I43))</f>
        <v>10</v>
      </c>
      <c r="J42" s="1158">
        <f>IF(J43 = "", 'Vehicle Considerations'!$B$13, IF($D$40 = "Yes", 'Vehicle Considerations'!$B$13,J43))</f>
        <v>10</v>
      </c>
      <c r="K42" s="299"/>
      <c r="L42" s="297"/>
    </row>
    <row r="43" spans="1:30" outlineLevel="1" x14ac:dyDescent="0.35">
      <c r="A43" s="353"/>
      <c r="B43" s="309"/>
      <c r="C43" s="629" t="s">
        <v>61</v>
      </c>
      <c r="D43" s="803">
        <v>2</v>
      </c>
      <c r="E43" s="803">
        <v>5</v>
      </c>
      <c r="F43" s="803">
        <v>10</v>
      </c>
      <c r="G43" s="803">
        <v>15</v>
      </c>
      <c r="H43" s="803">
        <v>20</v>
      </c>
      <c r="I43" s="803">
        <v>25</v>
      </c>
      <c r="J43" s="803">
        <v>30</v>
      </c>
      <c r="K43" s="299"/>
      <c r="L43" s="297"/>
    </row>
    <row r="44" spans="1:30" outlineLevel="1" x14ac:dyDescent="0.35">
      <c r="A44" s="353"/>
      <c r="B44" s="309"/>
      <c r="C44" s="629" t="s">
        <v>62</v>
      </c>
      <c r="D44" s="1100">
        <f>IF(D45 = "", 'Vehicle Considerations'!$B$14, IF($D$40 = "Yes", 'Vehicle Considerations'!$B$14,D45))</f>
        <v>20</v>
      </c>
      <c r="E44" s="1100">
        <f>IF(E45 = "", 'Vehicle Considerations'!$B$14, IF($D$40 = "Yes", 'Vehicle Considerations'!$B$14,E45))</f>
        <v>20</v>
      </c>
      <c r="F44" s="1100">
        <f>IF(F45 = "", 'Vehicle Considerations'!$B$14, IF($D$40 = "Yes", 'Vehicle Considerations'!$B$14,F45))</f>
        <v>20</v>
      </c>
      <c r="G44" s="1100">
        <f>IF(G45 = "", 'Vehicle Considerations'!$B$14, IF($D$40 = "Yes", 'Vehicle Considerations'!$B$14,G45))</f>
        <v>20</v>
      </c>
      <c r="H44" s="1100">
        <f>IF(H45 = "", 'Vehicle Considerations'!$B$14, IF($D$40 = "Yes", 'Vehicle Considerations'!$B$14,H45))</f>
        <v>20</v>
      </c>
      <c r="I44" s="1100">
        <f>IF(I45 = "", 'Vehicle Considerations'!$B$14, IF($D$40 = "Yes", 'Vehicle Considerations'!$B$14,I45))</f>
        <v>20</v>
      </c>
      <c r="J44" s="1100">
        <f>IF(J45 = "", 'Vehicle Considerations'!$B$14, IF($D$40 = "Yes", 'Vehicle Considerations'!$B$14,J45))</f>
        <v>20</v>
      </c>
      <c r="K44" s="299"/>
      <c r="L44" s="297"/>
    </row>
    <row r="45" spans="1:30" s="353" customFormat="1" ht="31" outlineLevel="1" x14ac:dyDescent="0.35">
      <c r="B45" s="491"/>
      <c r="C45" s="629" t="s">
        <v>63</v>
      </c>
      <c r="D45" s="803"/>
      <c r="E45" s="803"/>
      <c r="F45" s="803"/>
      <c r="G45" s="803"/>
      <c r="H45" s="803"/>
      <c r="I45" s="803"/>
      <c r="J45" s="803"/>
      <c r="K45" s="9"/>
      <c r="L45" s="769"/>
    </row>
    <row r="46" spans="1:30" outlineLevel="1" x14ac:dyDescent="0.35">
      <c r="A46" s="353"/>
      <c r="B46" s="309"/>
      <c r="C46" s="310"/>
      <c r="D46" s="311"/>
      <c r="E46" s="311"/>
      <c r="F46" s="299"/>
      <c r="G46" s="299"/>
      <c r="H46" s="299"/>
      <c r="I46" s="299"/>
      <c r="J46" s="299"/>
      <c r="K46" s="299"/>
      <c r="L46" s="297"/>
    </row>
    <row r="47" spans="1:30" outlineLevel="1" x14ac:dyDescent="0.35">
      <c r="A47" s="353"/>
      <c r="B47" s="309"/>
      <c r="C47" s="310"/>
      <c r="D47" s="311"/>
      <c r="E47" s="311"/>
      <c r="F47" s="299"/>
      <c r="G47" s="299"/>
      <c r="H47" s="299"/>
      <c r="I47" s="299"/>
      <c r="J47" s="299"/>
      <c r="K47" s="299"/>
      <c r="L47" s="297"/>
    </row>
    <row r="48" spans="1:30" ht="16" outlineLevel="1" thickBot="1" x14ac:dyDescent="0.4">
      <c r="A48" s="353"/>
      <c r="B48" s="309"/>
      <c r="C48" s="310"/>
      <c r="D48" s="311"/>
      <c r="E48" s="311"/>
      <c r="F48" s="299"/>
      <c r="G48" s="299"/>
      <c r="H48" s="299"/>
      <c r="I48" s="299"/>
      <c r="J48" s="299"/>
      <c r="K48" s="299"/>
      <c r="L48" s="297"/>
    </row>
    <row r="49" spans="1:30" ht="16" thickBot="1" x14ac:dyDescent="0.4">
      <c r="A49" s="353"/>
      <c r="B49" s="309"/>
      <c r="C49" s="1159" t="s">
        <v>64</v>
      </c>
      <c r="D49" s="311"/>
      <c r="E49" s="311"/>
      <c r="F49" s="299"/>
      <c r="G49" s="299"/>
      <c r="H49" s="299"/>
      <c r="I49" s="299"/>
      <c r="J49" s="299"/>
      <c r="K49" s="299"/>
      <c r="L49" s="297"/>
    </row>
    <row r="50" spans="1:30" ht="16" outlineLevel="1" thickBot="1" x14ac:dyDescent="0.4">
      <c r="A50" s="353"/>
      <c r="B50" s="296"/>
      <c r="C50" s="1273" t="str">
        <f>"Fill in value for either capacity or energy"</f>
        <v>Fill in value for either capacity or energy</v>
      </c>
      <c r="D50" s="1144" t="s">
        <v>50</v>
      </c>
      <c r="E50" s="1145" t="s">
        <v>51</v>
      </c>
      <c r="F50" s="1145" t="s">
        <v>52</v>
      </c>
      <c r="G50" s="1145" t="s">
        <v>53</v>
      </c>
      <c r="H50" s="1145" t="s">
        <v>54</v>
      </c>
      <c r="I50" s="1145" t="s">
        <v>55</v>
      </c>
      <c r="J50" s="1146" t="s">
        <v>56</v>
      </c>
      <c r="K50" s="295"/>
      <c r="L50" s="298"/>
      <c r="M50" s="295"/>
      <c r="N50"/>
      <c r="O50"/>
      <c r="P50"/>
      <c r="Q50"/>
      <c r="R50"/>
      <c r="S50"/>
      <c r="T50"/>
      <c r="U50"/>
      <c r="V50"/>
      <c r="W50"/>
      <c r="X50"/>
      <c r="Y50"/>
      <c r="Z50"/>
      <c r="AA50"/>
      <c r="AB50"/>
      <c r="AC50"/>
      <c r="AD50"/>
    </row>
    <row r="51" spans="1:30" s="353" customFormat="1" outlineLevel="1" x14ac:dyDescent="0.35">
      <c r="B51" s="1132"/>
      <c r="C51" s="301" t="s">
        <v>65</v>
      </c>
      <c r="D51" s="1157"/>
      <c r="E51" s="1157"/>
      <c r="F51" s="1157"/>
      <c r="G51" s="1157"/>
      <c r="H51" s="1157"/>
      <c r="I51" s="1157"/>
      <c r="J51" s="1157"/>
      <c r="K51" s="1103"/>
      <c r="L51" s="1133"/>
      <c r="M51" s="1136"/>
    </row>
    <row r="52" spans="1:30" s="353" customFormat="1" outlineLevel="1" x14ac:dyDescent="0.35">
      <c r="B52" s="1132"/>
      <c r="C52" s="301" t="s">
        <v>66</v>
      </c>
      <c r="D52" s="1160">
        <v>100</v>
      </c>
      <c r="E52" s="1160">
        <v>100</v>
      </c>
      <c r="F52" s="1160">
        <v>100</v>
      </c>
      <c r="G52" s="1160">
        <v>100</v>
      </c>
      <c r="H52" s="1160">
        <v>100</v>
      </c>
      <c r="I52" s="1160">
        <v>100</v>
      </c>
      <c r="J52" s="1160">
        <v>100</v>
      </c>
      <c r="K52" s="1103"/>
      <c r="L52" s="1133"/>
      <c r="M52" s="1136"/>
    </row>
    <row r="53" spans="1:30" s="353" customFormat="1" ht="16" outlineLevel="1" thickBot="1" x14ac:dyDescent="0.4">
      <c r="B53" s="1132"/>
      <c r="C53" s="1094"/>
      <c r="D53" s="299"/>
      <c r="E53" s="299"/>
      <c r="F53" s="299"/>
      <c r="G53" s="299"/>
      <c r="H53" s="299"/>
      <c r="I53" s="299"/>
      <c r="J53" s="299"/>
      <c r="K53" s="1103"/>
      <c r="L53" s="1133"/>
      <c r="M53" s="1103"/>
    </row>
    <row r="54" spans="1:30" s="353" customFormat="1" ht="16" thickBot="1" x14ac:dyDescent="0.3">
      <c r="B54" s="491"/>
      <c r="C54" s="1155" t="s">
        <v>67</v>
      </c>
      <c r="D54" s="484"/>
      <c r="E54" s="484"/>
      <c r="F54" s="484"/>
      <c r="G54" s="484"/>
      <c r="H54" s="484"/>
      <c r="I54" s="484"/>
      <c r="J54" s="484"/>
      <c r="K54" s="1103"/>
      <c r="L54" s="1133"/>
      <c r="M54" s="1103"/>
    </row>
    <row r="55" spans="1:30" ht="16" outlineLevel="1" thickBot="1" x14ac:dyDescent="0.4">
      <c r="A55" s="353"/>
      <c r="B55" s="302"/>
      <c r="C55" s="310"/>
      <c r="D55" s="1144" t="s">
        <v>50</v>
      </c>
      <c r="E55" s="1145" t="s">
        <v>51</v>
      </c>
      <c r="F55" s="1145" t="s">
        <v>52</v>
      </c>
      <c r="G55" s="1145" t="s">
        <v>53</v>
      </c>
      <c r="H55" s="1145" t="s">
        <v>54</v>
      </c>
      <c r="I55" s="1145" t="s">
        <v>55</v>
      </c>
      <c r="J55" s="1146" t="s">
        <v>56</v>
      </c>
      <c r="K55" s="295"/>
      <c r="L55" s="298"/>
      <c r="M55" s="295"/>
      <c r="N55"/>
      <c r="O55"/>
      <c r="P55"/>
      <c r="Q55"/>
      <c r="R55"/>
      <c r="S55"/>
      <c r="T55"/>
      <c r="U55"/>
      <c r="V55"/>
      <c r="W55"/>
      <c r="X55"/>
      <c r="Y55"/>
      <c r="Z55"/>
      <c r="AA55"/>
      <c r="AB55"/>
      <c r="AC55"/>
      <c r="AD55"/>
    </row>
    <row r="56" spans="1:30" outlineLevel="1" x14ac:dyDescent="0.35">
      <c r="A56" s="353"/>
      <c r="B56" s="296"/>
      <c r="C56" s="1283" t="str">
        <f xml:space="preserve"> IF(D34 = "Yes", "Charging Requirements**", "To select time to recharge, fast charge must be enabled")</f>
        <v>Charging Requirements**</v>
      </c>
      <c r="D56" s="1284">
        <f>1</f>
        <v>1</v>
      </c>
      <c r="E56" s="311"/>
      <c r="F56" s="299"/>
      <c r="G56" s="299"/>
      <c r="H56" s="299"/>
      <c r="I56" s="299"/>
      <c r="J56" s="299"/>
      <c r="K56" s="295"/>
      <c r="L56" s="298"/>
      <c r="M56" s="295"/>
      <c r="N56"/>
      <c r="O56"/>
      <c r="P56"/>
      <c r="Q56"/>
      <c r="R56"/>
      <c r="S56"/>
      <c r="T56"/>
      <c r="U56"/>
      <c r="V56"/>
      <c r="W56"/>
      <c r="X56"/>
      <c r="Y56"/>
      <c r="Z56"/>
      <c r="AA56"/>
      <c r="AB56"/>
      <c r="AC56"/>
      <c r="AD56"/>
    </row>
    <row r="57" spans="1:30" outlineLevel="1" x14ac:dyDescent="0.35">
      <c r="A57" s="353"/>
      <c r="B57" s="296"/>
      <c r="C57" s="301" t="s">
        <v>68</v>
      </c>
      <c r="D57" s="1161">
        <v>60</v>
      </c>
      <c r="E57" s="1161">
        <v>45</v>
      </c>
      <c r="F57" s="1161">
        <v>30</v>
      </c>
      <c r="G57" s="1161">
        <v>25</v>
      </c>
      <c r="H57" s="1161">
        <v>20</v>
      </c>
      <c r="I57" s="1161">
        <v>15</v>
      </c>
      <c r="J57" s="1161">
        <v>10</v>
      </c>
      <c r="K57" s="295"/>
      <c r="L57" s="298"/>
      <c r="M57" s="295"/>
      <c r="N57"/>
      <c r="O57"/>
      <c r="P57"/>
      <c r="Q57"/>
      <c r="R57"/>
      <c r="S57"/>
      <c r="T57"/>
      <c r="U57"/>
      <c r="V57"/>
      <c r="W57"/>
      <c r="X57"/>
      <c r="Y57"/>
      <c r="Z57"/>
      <c r="AA57"/>
      <c r="AB57"/>
      <c r="AC57"/>
      <c r="AD57"/>
    </row>
    <row r="58" spans="1:30" outlineLevel="1" x14ac:dyDescent="0.35">
      <c r="A58" s="353"/>
      <c r="B58" s="296"/>
      <c r="C58" s="1283" t="s">
        <v>69</v>
      </c>
      <c r="D58" s="311"/>
      <c r="E58" s="311"/>
      <c r="F58" s="299"/>
      <c r="G58" s="299"/>
      <c r="H58" s="299"/>
      <c r="I58" s="299"/>
      <c r="J58" s="299"/>
      <c r="K58" s="295"/>
      <c r="L58" s="298"/>
      <c r="M58" s="295"/>
      <c r="N58"/>
      <c r="O58"/>
      <c r="P58"/>
      <c r="Q58"/>
      <c r="R58"/>
      <c r="S58"/>
      <c r="T58"/>
      <c r="U58"/>
      <c r="V58"/>
      <c r="W58"/>
      <c r="X58"/>
      <c r="Y58"/>
      <c r="Z58"/>
      <c r="AA58"/>
      <c r="AB58"/>
      <c r="AC58"/>
      <c r="AD58"/>
    </row>
    <row r="59" spans="1:30" outlineLevel="1" x14ac:dyDescent="0.35">
      <c r="A59" s="353"/>
      <c r="B59" s="296"/>
      <c r="C59" s="301"/>
      <c r="D59" s="299"/>
      <c r="E59" s="1162"/>
      <c r="F59" s="299"/>
      <c r="G59" s="299"/>
      <c r="H59" s="299"/>
      <c r="I59" s="299"/>
      <c r="J59" s="299"/>
      <c r="K59" s="295"/>
      <c r="L59" s="298"/>
      <c r="M59" s="295"/>
      <c r="N59"/>
      <c r="O59"/>
      <c r="P59"/>
      <c r="Q59"/>
      <c r="R59"/>
      <c r="S59"/>
      <c r="T59"/>
      <c r="U59"/>
      <c r="V59"/>
      <c r="W59"/>
      <c r="X59"/>
      <c r="Y59"/>
      <c r="Z59"/>
      <c r="AA59"/>
      <c r="AB59"/>
      <c r="AC59"/>
      <c r="AD59"/>
    </row>
    <row r="60" spans="1:30" outlineLevel="1" x14ac:dyDescent="0.35">
      <c r="A60" s="353"/>
      <c r="B60" s="296"/>
      <c r="C60" s="301" t="s">
        <v>70</v>
      </c>
      <c r="D60" s="1163"/>
      <c r="E60" s="1163"/>
      <c r="F60" s="1163"/>
      <c r="G60" s="1163"/>
      <c r="H60" s="1163"/>
      <c r="I60" s="1163"/>
      <c r="J60" s="1163"/>
      <c r="K60" s="295"/>
      <c r="L60" s="298"/>
      <c r="M60" s="295"/>
      <c r="N60"/>
      <c r="O60"/>
      <c r="P60"/>
      <c r="Q60"/>
      <c r="R60"/>
      <c r="S60"/>
      <c r="T60"/>
      <c r="U60"/>
      <c r="V60"/>
      <c r="W60"/>
      <c r="X60"/>
      <c r="Y60"/>
      <c r="Z60"/>
      <c r="AA60"/>
      <c r="AB60"/>
      <c r="AC60"/>
      <c r="AD60"/>
    </row>
    <row r="61" spans="1:30" outlineLevel="1" x14ac:dyDescent="0.35">
      <c r="A61" s="353"/>
      <c r="B61" s="296"/>
      <c r="C61" s="1164" t="str">
        <f>IF(SUM(D60:J60) = 0, "", "By overriding the thickness, it is possible that design parameters may not be met, such as Target Pack Power")</f>
        <v/>
      </c>
      <c r="D61" s="299"/>
      <c r="E61" s="299"/>
      <c r="F61" s="299"/>
      <c r="G61" s="299"/>
      <c r="H61" s="299"/>
      <c r="I61" s="299"/>
      <c r="J61" s="299"/>
      <c r="K61" s="295"/>
      <c r="L61" s="298"/>
      <c r="M61" s="295"/>
      <c r="N61"/>
      <c r="O61"/>
      <c r="P61"/>
      <c r="Q61"/>
      <c r="R61"/>
      <c r="S61"/>
      <c r="T61"/>
      <c r="U61"/>
      <c r="V61"/>
      <c r="W61"/>
      <c r="X61"/>
      <c r="Y61"/>
      <c r="Z61"/>
      <c r="AA61"/>
      <c r="AB61"/>
      <c r="AC61"/>
      <c r="AD61"/>
    </row>
    <row r="62" spans="1:30" outlineLevel="1" x14ac:dyDescent="0.35">
      <c r="A62" s="353"/>
      <c r="B62" s="296"/>
      <c r="C62" s="301"/>
      <c r="D62" s="299"/>
      <c r="E62" s="299"/>
      <c r="F62" s="299"/>
      <c r="G62" s="299"/>
      <c r="H62" s="299"/>
      <c r="I62" s="299"/>
      <c r="J62" s="299"/>
      <c r="K62" s="295"/>
      <c r="L62" s="298"/>
      <c r="M62" s="295"/>
      <c r="N62"/>
      <c r="O62"/>
      <c r="P62"/>
      <c r="Q62"/>
      <c r="R62"/>
      <c r="S62"/>
      <c r="T62"/>
      <c r="U62"/>
      <c r="V62"/>
      <c r="W62"/>
      <c r="X62"/>
      <c r="Y62"/>
      <c r="Z62"/>
      <c r="AA62"/>
      <c r="AB62"/>
      <c r="AC62"/>
      <c r="AD62"/>
    </row>
    <row r="63" spans="1:30" ht="32.9" customHeight="1" outlineLevel="1" x14ac:dyDescent="0.35">
      <c r="A63" s="353"/>
      <c r="B63" s="296"/>
      <c r="C63" s="301" t="s">
        <v>71</v>
      </c>
      <c r="D63" s="1165">
        <v>30</v>
      </c>
      <c r="E63" s="1165">
        <v>30</v>
      </c>
      <c r="F63" s="1165">
        <v>30</v>
      </c>
      <c r="G63" s="1165">
        <v>30</v>
      </c>
      <c r="H63" s="1165">
        <v>30</v>
      </c>
      <c r="I63" s="1165">
        <v>30</v>
      </c>
      <c r="J63" s="1165">
        <v>30</v>
      </c>
      <c r="K63" s="295"/>
      <c r="L63" s="298"/>
      <c r="M63" s="295"/>
      <c r="N63"/>
      <c r="O63"/>
      <c r="P63"/>
      <c r="Q63"/>
      <c r="R63"/>
      <c r="S63"/>
      <c r="T63"/>
      <c r="U63"/>
      <c r="V63"/>
      <c r="W63"/>
      <c r="X63"/>
      <c r="Y63"/>
      <c r="Z63"/>
      <c r="AA63"/>
      <c r="AB63"/>
      <c r="AC63"/>
      <c r="AD63"/>
    </row>
    <row r="64" spans="1:30" ht="16" outlineLevel="1" thickBot="1" x14ac:dyDescent="0.4">
      <c r="A64" s="353"/>
      <c r="B64" s="296"/>
      <c r="C64" s="301"/>
      <c r="D64" s="299"/>
      <c r="E64" s="299"/>
      <c r="F64" s="299"/>
      <c r="G64" s="299"/>
      <c r="H64" s="299"/>
      <c r="I64" s="299"/>
      <c r="J64" s="299"/>
      <c r="K64" s="295"/>
      <c r="L64" s="298"/>
      <c r="M64" s="295"/>
      <c r="N64"/>
      <c r="O64"/>
      <c r="P64"/>
      <c r="Q64"/>
      <c r="R64"/>
      <c r="S64"/>
      <c r="T64"/>
      <c r="U64"/>
      <c r="V64"/>
      <c r="W64"/>
      <c r="X64"/>
      <c r="Y64"/>
      <c r="Z64"/>
      <c r="AA64"/>
      <c r="AB64"/>
      <c r="AC64"/>
      <c r="AD64"/>
    </row>
    <row r="65" spans="1:30" ht="16" thickBot="1" x14ac:dyDescent="0.4">
      <c r="A65" s="353"/>
      <c r="B65" s="296"/>
      <c r="C65" s="1155" t="s">
        <v>72</v>
      </c>
      <c r="D65" s="299"/>
      <c r="E65" s="299"/>
      <c r="F65" s="299"/>
      <c r="G65" s="299"/>
      <c r="H65" s="299"/>
      <c r="I65" s="299"/>
      <c r="J65" s="299"/>
      <c r="K65" s="295"/>
      <c r="L65" s="298"/>
      <c r="M65" s="295"/>
      <c r="N65"/>
      <c r="O65"/>
      <c r="P65"/>
      <c r="Q65"/>
      <c r="R65"/>
      <c r="S65"/>
      <c r="T65"/>
      <c r="U65"/>
      <c r="V65"/>
      <c r="W65"/>
      <c r="X65"/>
      <c r="Y65"/>
      <c r="Z65"/>
      <c r="AA65"/>
      <c r="AB65"/>
      <c r="AC65"/>
      <c r="AD65"/>
    </row>
    <row r="66" spans="1:30" ht="16" outlineLevel="1" thickBot="1" x14ac:dyDescent="0.4">
      <c r="A66" s="353"/>
      <c r="B66" s="296"/>
      <c r="C66" s="301"/>
      <c r="D66" s="1144" t="s">
        <v>50</v>
      </c>
      <c r="E66" s="1145" t="s">
        <v>51</v>
      </c>
      <c r="F66" s="1145" t="s">
        <v>52</v>
      </c>
      <c r="G66" s="1145" t="s">
        <v>53</v>
      </c>
      <c r="H66" s="1145" t="s">
        <v>54</v>
      </c>
      <c r="I66" s="1145" t="s">
        <v>55</v>
      </c>
      <c r="J66" s="1146" t="s">
        <v>56</v>
      </c>
      <c r="K66" s="295"/>
      <c r="L66" s="298"/>
      <c r="M66" s="295"/>
      <c r="N66"/>
      <c r="O66"/>
      <c r="P66"/>
      <c r="Q66"/>
      <c r="R66"/>
      <c r="S66"/>
      <c r="T66"/>
      <c r="U66"/>
      <c r="V66"/>
      <c r="W66"/>
      <c r="X66"/>
      <c r="Y66"/>
      <c r="Z66"/>
      <c r="AA66"/>
      <c r="AB66"/>
      <c r="AC66"/>
      <c r="AD66"/>
    </row>
    <row r="67" spans="1:30" outlineLevel="1" x14ac:dyDescent="0.35">
      <c r="A67" s="353"/>
      <c r="B67" s="296"/>
      <c r="C67" s="301" t="s">
        <v>73</v>
      </c>
      <c r="D67" s="1213">
        <v>20</v>
      </c>
      <c r="E67" s="1213">
        <v>20</v>
      </c>
      <c r="F67" s="1213">
        <v>20</v>
      </c>
      <c r="G67" s="1213">
        <v>20</v>
      </c>
      <c r="H67" s="1213">
        <v>20</v>
      </c>
      <c r="I67" s="1213">
        <v>20</v>
      </c>
      <c r="J67" s="1213">
        <v>20</v>
      </c>
      <c r="K67" s="295"/>
      <c r="L67" s="298"/>
      <c r="M67" s="295"/>
      <c r="N67"/>
      <c r="O67"/>
      <c r="P67"/>
      <c r="Q67"/>
      <c r="R67"/>
      <c r="S67"/>
      <c r="T67"/>
      <c r="U67"/>
      <c r="V67"/>
      <c r="W67"/>
      <c r="X67"/>
      <c r="Y67"/>
      <c r="Z67"/>
      <c r="AA67"/>
      <c r="AB67"/>
      <c r="AC67"/>
      <c r="AD67"/>
    </row>
    <row r="68" spans="1:30" outlineLevel="1" x14ac:dyDescent="0.35">
      <c r="A68" s="353"/>
      <c r="B68" s="296"/>
      <c r="C68" s="301" t="s">
        <v>74</v>
      </c>
      <c r="D68" s="1166">
        <v>2</v>
      </c>
      <c r="E68" s="1166">
        <v>2</v>
      </c>
      <c r="F68" s="1166">
        <v>2</v>
      </c>
      <c r="G68" s="1166">
        <v>2</v>
      </c>
      <c r="H68" s="1166">
        <v>2</v>
      </c>
      <c r="I68" s="1166">
        <v>2</v>
      </c>
      <c r="J68" s="1166">
        <v>2</v>
      </c>
      <c r="K68" s="295"/>
      <c r="L68" s="298"/>
      <c r="M68" s="295"/>
      <c r="N68"/>
      <c r="O68"/>
      <c r="P68"/>
      <c r="Q68"/>
      <c r="R68"/>
      <c r="S68"/>
      <c r="T68"/>
      <c r="U68"/>
      <c r="V68"/>
      <c r="W68"/>
      <c r="X68"/>
      <c r="Y68"/>
      <c r="Z68"/>
      <c r="AA68"/>
      <c r="AB68"/>
      <c r="AC68"/>
      <c r="AD68"/>
    </row>
    <row r="69" spans="1:30" outlineLevel="1" x14ac:dyDescent="0.35">
      <c r="A69" s="353"/>
      <c r="B69" s="296"/>
      <c r="C69" s="301" t="s">
        <v>75</v>
      </c>
      <c r="D69" s="1166">
        <v>5</v>
      </c>
      <c r="E69" s="1166">
        <v>5</v>
      </c>
      <c r="F69" s="1166">
        <v>5</v>
      </c>
      <c r="G69" s="1166">
        <v>5</v>
      </c>
      <c r="H69" s="1166">
        <v>5</v>
      </c>
      <c r="I69" s="1166">
        <v>5</v>
      </c>
      <c r="J69" s="1166">
        <v>5</v>
      </c>
      <c r="K69" s="295"/>
      <c r="L69" s="298"/>
      <c r="M69" s="295"/>
      <c r="N69"/>
      <c r="O69"/>
      <c r="P69"/>
      <c r="Q69"/>
      <c r="R69"/>
      <c r="S69"/>
      <c r="T69"/>
      <c r="U69"/>
      <c r="V69"/>
      <c r="W69"/>
      <c r="X69"/>
      <c r="Y69"/>
      <c r="Z69"/>
      <c r="AA69"/>
      <c r="AB69"/>
      <c r="AC69"/>
      <c r="AD69"/>
    </row>
    <row r="70" spans="1:30" outlineLevel="1" x14ac:dyDescent="0.35">
      <c r="A70" s="353"/>
      <c r="B70" s="296"/>
      <c r="C70" s="301" t="s">
        <v>76</v>
      </c>
      <c r="D70" s="1166">
        <v>4</v>
      </c>
      <c r="E70" s="1166">
        <v>4</v>
      </c>
      <c r="F70" s="1166">
        <v>4</v>
      </c>
      <c r="G70" s="1166">
        <v>4</v>
      </c>
      <c r="H70" s="1166">
        <v>4</v>
      </c>
      <c r="I70" s="1166">
        <v>4</v>
      </c>
      <c r="J70" s="1166">
        <v>4</v>
      </c>
      <c r="K70" s="295"/>
      <c r="L70" s="298"/>
      <c r="M70" s="295"/>
      <c r="N70"/>
      <c r="O70"/>
      <c r="P70"/>
      <c r="Q70"/>
      <c r="R70"/>
      <c r="S70"/>
      <c r="T70"/>
      <c r="U70"/>
      <c r="V70"/>
      <c r="W70"/>
      <c r="X70"/>
      <c r="Y70"/>
      <c r="Z70"/>
      <c r="AA70"/>
      <c r="AB70"/>
      <c r="AC70"/>
      <c r="AD70"/>
    </row>
    <row r="71" spans="1:30" outlineLevel="1" x14ac:dyDescent="0.35">
      <c r="A71" s="353"/>
      <c r="B71" s="296"/>
      <c r="C71" s="301" t="s">
        <v>77</v>
      </c>
      <c r="D71" s="1166">
        <v>2</v>
      </c>
      <c r="E71" s="1166">
        <v>2</v>
      </c>
      <c r="F71" s="1166">
        <v>2</v>
      </c>
      <c r="G71" s="1166">
        <v>2</v>
      </c>
      <c r="H71" s="1166">
        <v>2</v>
      </c>
      <c r="I71" s="1166">
        <v>2</v>
      </c>
      <c r="J71" s="1166">
        <v>2</v>
      </c>
      <c r="K71" s="295"/>
      <c r="L71" s="298"/>
      <c r="M71" s="295"/>
      <c r="N71"/>
      <c r="O71"/>
      <c r="P71"/>
      <c r="Q71"/>
      <c r="R71"/>
      <c r="S71"/>
      <c r="T71"/>
      <c r="U71"/>
      <c r="V71"/>
      <c r="W71"/>
      <c r="X71"/>
      <c r="Y71"/>
      <c r="Z71"/>
      <c r="AA71"/>
      <c r="AB71"/>
      <c r="AC71"/>
      <c r="AD71"/>
    </row>
    <row r="72" spans="1:30" s="353" customFormat="1" ht="12.5" outlineLevel="1" x14ac:dyDescent="0.25">
      <c r="B72" s="1132"/>
      <c r="C72" s="1085"/>
      <c r="D72" s="1366"/>
      <c r="E72" s="9"/>
      <c r="F72" s="9"/>
      <c r="G72" s="9"/>
      <c r="H72" s="9"/>
      <c r="I72" s="9"/>
      <c r="J72" s="9"/>
      <c r="K72" s="1103"/>
      <c r="L72" s="1133"/>
      <c r="M72" s="1103"/>
    </row>
    <row r="73" spans="1:30" s="353" customFormat="1" ht="12.5" x14ac:dyDescent="0.25">
      <c r="B73" s="1132"/>
      <c r="C73" s="1085"/>
      <c r="D73" s="9"/>
      <c r="E73" s="9"/>
      <c r="F73" s="9"/>
      <c r="G73" s="9"/>
      <c r="H73" s="9"/>
      <c r="I73" s="9"/>
      <c r="J73" s="9"/>
      <c r="K73" s="1103"/>
      <c r="L73" s="1133"/>
      <c r="M73" s="1103"/>
    </row>
    <row r="74" spans="1:30" s="353" customFormat="1" ht="12.5" x14ac:dyDescent="0.25">
      <c r="B74" s="1132"/>
      <c r="C74" s="1085"/>
      <c r="D74" s="9"/>
      <c r="E74" s="9"/>
      <c r="F74" s="9"/>
      <c r="G74" s="9"/>
      <c r="H74" s="9"/>
      <c r="I74" s="9"/>
      <c r="J74" s="9"/>
      <c r="K74" s="1103"/>
      <c r="L74" s="1133"/>
      <c r="M74" s="1103"/>
    </row>
    <row r="75" spans="1:30" s="353" customFormat="1" ht="12.5" x14ac:dyDescent="0.25">
      <c r="B75" s="1132"/>
      <c r="C75" s="1085"/>
      <c r="D75" s="9"/>
      <c r="E75" s="9"/>
      <c r="F75" s="9"/>
      <c r="G75" s="9"/>
      <c r="H75" s="9"/>
      <c r="I75" s="9"/>
      <c r="J75" s="9"/>
      <c r="K75" s="1103"/>
      <c r="L75" s="1133"/>
      <c r="M75" s="1103"/>
    </row>
    <row r="76" spans="1:30" s="353" customFormat="1" ht="12.5" x14ac:dyDescent="0.25">
      <c r="B76" s="1132"/>
      <c r="C76" s="1285"/>
      <c r="D76" s="190"/>
      <c r="E76" s="190"/>
      <c r="F76" s="9"/>
      <c r="G76" s="9"/>
      <c r="H76" s="9"/>
      <c r="I76" s="9"/>
      <c r="J76" s="9"/>
      <c r="K76" s="1103"/>
      <c r="L76" s="1134"/>
      <c r="M76" s="1103"/>
    </row>
    <row r="77" spans="1:30" s="353" customFormat="1" ht="12.5" x14ac:dyDescent="0.25">
      <c r="B77" s="1132"/>
      <c r="C77" s="1085"/>
      <c r="D77" s="9"/>
      <c r="E77" s="9"/>
      <c r="F77" s="9"/>
      <c r="G77" s="9"/>
      <c r="H77" s="9"/>
      <c r="I77" s="9"/>
      <c r="J77" s="9"/>
      <c r="K77" s="1103"/>
      <c r="L77" s="1133"/>
      <c r="M77" s="1103"/>
    </row>
    <row r="78" spans="1:30" s="353" customFormat="1" ht="12.5" x14ac:dyDescent="0.25">
      <c r="B78" s="1132"/>
      <c r="C78" s="1285"/>
      <c r="D78" s="190"/>
      <c r="E78" s="190"/>
      <c r="F78" s="9"/>
      <c r="G78" s="9"/>
      <c r="H78" s="9"/>
      <c r="I78" s="9"/>
      <c r="J78" s="9"/>
      <c r="K78" s="1103"/>
      <c r="L78" s="1133"/>
      <c r="M78" s="1103"/>
    </row>
    <row r="79" spans="1:30" s="353" customFormat="1" ht="12.5" x14ac:dyDescent="0.25">
      <c r="B79" s="1132"/>
      <c r="C79" s="1085"/>
      <c r="D79" s="9"/>
      <c r="E79" s="9"/>
      <c r="F79" s="9"/>
      <c r="G79" s="9"/>
      <c r="H79" s="9"/>
      <c r="I79" s="9"/>
      <c r="J79" s="9"/>
      <c r="K79" s="1103"/>
      <c r="L79" s="1133"/>
      <c r="M79" s="1103"/>
    </row>
    <row r="80" spans="1:30" s="353" customFormat="1" ht="12.5" x14ac:dyDescent="0.25">
      <c r="B80" s="1132"/>
      <c r="C80" s="1285"/>
      <c r="D80" s="9"/>
      <c r="E80" s="9"/>
      <c r="F80" s="9"/>
      <c r="G80" s="9"/>
      <c r="H80" s="9"/>
      <c r="I80" s="9"/>
      <c r="J80" s="9"/>
      <c r="K80" s="1103"/>
      <c r="L80" s="1133"/>
      <c r="M80" s="1103"/>
    </row>
    <row r="81" spans="1:31" s="353" customFormat="1" ht="13" thickBot="1" x14ac:dyDescent="0.3">
      <c r="B81" s="785"/>
      <c r="C81" s="644"/>
      <c r="D81" s="644"/>
      <c r="E81" s="644"/>
      <c r="F81" s="644"/>
      <c r="G81" s="644"/>
      <c r="H81" s="644"/>
      <c r="I81" s="644"/>
      <c r="J81" s="644"/>
      <c r="K81" s="644"/>
      <c r="L81" s="1135"/>
      <c r="M81" s="9"/>
    </row>
    <row r="82" spans="1:31" ht="18.5" thickBot="1" x14ac:dyDescent="0.45">
      <c r="A82" s="353"/>
      <c r="B82" s="1106" t="s">
        <v>78</v>
      </c>
      <c r="C82" s="1107"/>
      <c r="D82" s="1114"/>
      <c r="E82" s="1115"/>
      <c r="F82" s="1112"/>
      <c r="G82" s="1111"/>
      <c r="H82" s="1111"/>
      <c r="I82" s="1111"/>
      <c r="J82" s="1116"/>
      <c r="K82" s="1112"/>
      <c r="L82" s="1113"/>
      <c r="M82" s="299"/>
      <c r="N82"/>
      <c r="O82"/>
      <c r="P82"/>
      <c r="Q82"/>
      <c r="R82"/>
      <c r="S82"/>
      <c r="T82"/>
      <c r="U82"/>
      <c r="V82"/>
      <c r="W82"/>
      <c r="X82"/>
      <c r="Y82"/>
      <c r="Z82"/>
      <c r="AA82"/>
      <c r="AB82"/>
      <c r="AC82"/>
      <c r="AD82"/>
    </row>
    <row r="83" spans="1:31" ht="18" thickBot="1" x14ac:dyDescent="0.4">
      <c r="A83" s="353"/>
      <c r="B83" s="1405" t="s">
        <v>79</v>
      </c>
      <c r="C83" s="1406"/>
      <c r="D83" s="1406"/>
      <c r="E83" s="1406"/>
      <c r="F83" s="1406"/>
      <c r="G83" s="1406"/>
      <c r="H83" s="1406"/>
      <c r="I83" s="1406"/>
      <c r="J83" s="1406"/>
      <c r="K83" s="1406"/>
      <c r="L83" s="1407"/>
      <c r="M83" s="299"/>
      <c r="N83"/>
      <c r="O83"/>
      <c r="P83"/>
      <c r="Q83"/>
      <c r="R83"/>
      <c r="S83"/>
      <c r="T83"/>
      <c r="U83"/>
      <c r="V83"/>
      <c r="W83"/>
      <c r="X83"/>
      <c r="Y83"/>
      <c r="Z83"/>
      <c r="AA83"/>
      <c r="AB83"/>
      <c r="AC83"/>
      <c r="AD83"/>
    </row>
    <row r="84" spans="1:31" outlineLevel="1" x14ac:dyDescent="0.35">
      <c r="A84" s="353"/>
      <c r="B84" s="588"/>
      <c r="C84" s="308"/>
      <c r="D84" s="308"/>
      <c r="E84" s="308"/>
      <c r="F84" s="308"/>
      <c r="G84" s="308"/>
      <c r="H84" s="308"/>
      <c r="I84" s="308"/>
      <c r="J84" s="308"/>
      <c r="K84" s="308"/>
      <c r="L84" s="294"/>
      <c r="M84" s="299"/>
      <c r="N84"/>
      <c r="O84"/>
      <c r="P84"/>
      <c r="Q84"/>
      <c r="R84"/>
      <c r="S84"/>
      <c r="T84"/>
      <c r="U84"/>
      <c r="V84"/>
      <c r="W84"/>
      <c r="X84"/>
      <c r="Y84"/>
      <c r="Z84"/>
      <c r="AA84"/>
      <c r="AB84"/>
      <c r="AC84"/>
      <c r="AD84"/>
    </row>
    <row r="85" spans="1:31" ht="18" outlineLevel="1" x14ac:dyDescent="0.35">
      <c r="A85" s="353"/>
      <c r="B85" s="309"/>
      <c r="C85" s="1204" t="s">
        <v>80</v>
      </c>
      <c r="D85" s="295"/>
      <c r="E85" s="1099" t="s">
        <v>30</v>
      </c>
      <c r="F85" s="299"/>
      <c r="G85" s="299"/>
      <c r="H85" s="299"/>
      <c r="I85" s="299"/>
      <c r="J85" s="299"/>
      <c r="K85" s="299"/>
      <c r="L85" s="297"/>
      <c r="M85" s="299"/>
      <c r="N85"/>
      <c r="O85"/>
      <c r="P85"/>
      <c r="Q85"/>
      <c r="R85"/>
      <c r="S85"/>
      <c r="T85"/>
      <c r="U85"/>
      <c r="V85"/>
      <c r="W85"/>
      <c r="X85"/>
      <c r="Y85"/>
      <c r="Z85"/>
      <c r="AA85"/>
      <c r="AB85"/>
      <c r="AC85"/>
      <c r="AD85"/>
    </row>
    <row r="86" spans="1:31" outlineLevel="1" x14ac:dyDescent="0.35">
      <c r="A86" s="353"/>
      <c r="B86" s="309"/>
      <c r="C86" s="301" t="s">
        <v>81</v>
      </c>
      <c r="D86" s="1154">
        <f>Chem!C147</f>
        <v>26</v>
      </c>
      <c r="E86" s="1101"/>
      <c r="F86" s="299"/>
      <c r="G86" s="299"/>
      <c r="H86" s="299"/>
      <c r="I86" s="299"/>
      <c r="J86" s="299"/>
      <c r="K86" s="299"/>
      <c r="L86" s="297"/>
      <c r="M86" s="299"/>
      <c r="N86" s="299"/>
      <c r="O86"/>
      <c r="P86"/>
      <c r="Q86"/>
      <c r="R86"/>
      <c r="S86"/>
      <c r="T86"/>
      <c r="U86"/>
      <c r="V86"/>
      <c r="W86"/>
      <c r="X86"/>
      <c r="Y86"/>
      <c r="Z86"/>
      <c r="AA86"/>
      <c r="AB86"/>
      <c r="AC86"/>
      <c r="AD86"/>
      <c r="AE86"/>
    </row>
    <row r="87" spans="1:31" outlineLevel="1" x14ac:dyDescent="0.35">
      <c r="A87" s="353"/>
      <c r="B87" s="309"/>
      <c r="C87" s="301" t="s">
        <v>82</v>
      </c>
      <c r="D87" s="1154">
        <f>Chem!C148</f>
        <v>7</v>
      </c>
      <c r="E87" s="1101"/>
      <c r="F87" s="299"/>
      <c r="G87" s="299"/>
      <c r="H87" s="299"/>
      <c r="I87" s="299"/>
      <c r="J87" s="299"/>
      <c r="K87" s="299"/>
      <c r="L87" s="297"/>
      <c r="M87" s="299"/>
      <c r="N87"/>
      <c r="O87"/>
      <c r="P87"/>
      <c r="Q87"/>
      <c r="R87"/>
      <c r="S87"/>
      <c r="T87"/>
      <c r="U87"/>
      <c r="V87"/>
      <c r="W87"/>
      <c r="X87"/>
      <c r="Y87"/>
      <c r="Z87"/>
      <c r="AA87"/>
      <c r="AB87"/>
      <c r="AC87"/>
      <c r="AD87"/>
    </row>
    <row r="88" spans="1:31" outlineLevel="1" x14ac:dyDescent="0.35">
      <c r="A88" s="353"/>
      <c r="B88" s="309"/>
      <c r="C88" s="301" t="s">
        <v>83</v>
      </c>
      <c r="D88" s="1154">
        <f>Chem!C149</f>
        <v>15</v>
      </c>
      <c r="E88" s="1101"/>
      <c r="F88" s="299"/>
      <c r="G88" s="299"/>
      <c r="H88" s="299"/>
      <c r="I88" s="299"/>
      <c r="J88" s="299"/>
      <c r="K88" s="299"/>
      <c r="L88" s="297"/>
      <c r="M88" s="299"/>
      <c r="N88"/>
      <c r="O88"/>
      <c r="P88"/>
      <c r="Q88"/>
      <c r="R88"/>
      <c r="S88"/>
      <c r="T88"/>
      <c r="U88"/>
      <c r="V88"/>
      <c r="W88"/>
      <c r="X88"/>
      <c r="Y88"/>
      <c r="Z88"/>
      <c r="AA88"/>
      <c r="AB88"/>
      <c r="AC88"/>
      <c r="AD88"/>
    </row>
    <row r="89" spans="1:31" outlineLevel="1" x14ac:dyDescent="0.35">
      <c r="A89" s="353"/>
      <c r="B89" s="309"/>
      <c r="C89" s="301" t="str">
        <f>"Solvent (" &amp; Chem!C14 &amp; "), $/kg"</f>
        <v>Solvent (NMP), $/kg</v>
      </c>
      <c r="D89" s="1154">
        <f>Chem!C150</f>
        <v>2.7</v>
      </c>
      <c r="E89" s="1101"/>
      <c r="F89" s="299"/>
      <c r="G89" s="299"/>
      <c r="H89" s="299"/>
      <c r="I89" s="299"/>
      <c r="J89" s="299"/>
      <c r="K89" s="299"/>
      <c r="L89" s="297"/>
      <c r="M89" s="299"/>
      <c r="N89"/>
      <c r="O89"/>
      <c r="P89"/>
      <c r="Q89"/>
      <c r="R89"/>
      <c r="S89"/>
      <c r="T89"/>
      <c r="U89"/>
      <c r="V89"/>
      <c r="W89"/>
      <c r="X89"/>
      <c r="Y89"/>
      <c r="Z89"/>
      <c r="AA89"/>
      <c r="AB89"/>
      <c r="AC89"/>
      <c r="AD89"/>
    </row>
    <row r="90" spans="1:31" outlineLevel="1" x14ac:dyDescent="0.35">
      <c r="A90" s="353"/>
      <c r="B90" s="309"/>
      <c r="C90" s="299"/>
      <c r="D90" s="299"/>
      <c r="E90" s="299"/>
      <c r="F90" s="299"/>
      <c r="G90" s="299"/>
      <c r="H90" s="299"/>
      <c r="I90" s="299"/>
      <c r="J90" s="299"/>
      <c r="K90" s="299"/>
      <c r="L90" s="297"/>
      <c r="M90" s="299"/>
      <c r="N90"/>
      <c r="O90"/>
      <c r="P90"/>
      <c r="Q90"/>
      <c r="R90"/>
      <c r="S90"/>
      <c r="T90"/>
      <c r="U90"/>
      <c r="V90"/>
      <c r="W90"/>
      <c r="X90"/>
      <c r="Y90"/>
      <c r="Z90"/>
      <c r="AA90"/>
      <c r="AB90"/>
      <c r="AC90"/>
      <c r="AD90"/>
    </row>
    <row r="91" spans="1:31" ht="18" outlineLevel="1" x14ac:dyDescent="0.35">
      <c r="A91" s="353"/>
      <c r="B91" s="309"/>
      <c r="C91" s="1204" t="s">
        <v>84</v>
      </c>
      <c r="D91" s="295"/>
      <c r="E91" s="1099" t="s">
        <v>30</v>
      </c>
      <c r="F91" s="299"/>
      <c r="G91" s="299"/>
      <c r="H91" s="299"/>
      <c r="I91" s="299"/>
      <c r="J91" s="299"/>
      <c r="K91" s="299"/>
      <c r="L91" s="297"/>
      <c r="M91" s="299"/>
      <c r="N91"/>
      <c r="O91"/>
      <c r="P91"/>
      <c r="Q91"/>
      <c r="R91"/>
      <c r="S91"/>
      <c r="T91"/>
      <c r="U91"/>
      <c r="V91"/>
      <c r="W91"/>
      <c r="X91"/>
      <c r="Y91"/>
      <c r="Z91"/>
      <c r="AA91"/>
      <c r="AB91"/>
      <c r="AC91"/>
      <c r="AD91"/>
    </row>
    <row r="92" spans="1:31" outlineLevel="1" x14ac:dyDescent="0.35">
      <c r="A92" s="353"/>
      <c r="B92" s="309"/>
      <c r="C92" s="301" t="s">
        <v>81</v>
      </c>
      <c r="D92" s="1154">
        <f>Chem!C153</f>
        <v>10</v>
      </c>
      <c r="E92" s="1101"/>
      <c r="F92" s="299"/>
      <c r="G92" s="299"/>
      <c r="H92" s="299"/>
      <c r="I92" s="299"/>
      <c r="J92" s="299"/>
      <c r="K92" s="299"/>
      <c r="L92" s="297"/>
      <c r="M92" s="299"/>
      <c r="N92"/>
      <c r="O92"/>
      <c r="P92"/>
      <c r="Q92"/>
      <c r="R92"/>
      <c r="S92"/>
      <c r="T92"/>
      <c r="U92"/>
      <c r="V92"/>
      <c r="W92"/>
      <c r="X92"/>
      <c r="Y92"/>
      <c r="Z92"/>
      <c r="AA92"/>
      <c r="AB92"/>
      <c r="AC92"/>
      <c r="AD92"/>
    </row>
    <row r="93" spans="1:31" outlineLevel="1" x14ac:dyDescent="0.35">
      <c r="A93" s="353"/>
      <c r="B93" s="309"/>
      <c r="C93" s="301" t="s">
        <v>82</v>
      </c>
      <c r="D93" s="1154">
        <f>Chem!C154</f>
        <v>7</v>
      </c>
      <c r="E93" s="1101"/>
      <c r="F93" s="299"/>
      <c r="G93" s="299"/>
      <c r="H93" s="299"/>
      <c r="I93" s="299"/>
      <c r="J93" s="299"/>
      <c r="K93" s="299"/>
      <c r="L93" s="297"/>
      <c r="M93" s="299"/>
      <c r="N93"/>
      <c r="O93"/>
      <c r="P93"/>
      <c r="Q93"/>
      <c r="R93"/>
      <c r="S93"/>
      <c r="T93"/>
      <c r="U93"/>
      <c r="V93"/>
      <c r="W93"/>
      <c r="X93"/>
      <c r="Y93"/>
      <c r="Z93"/>
      <c r="AA93"/>
      <c r="AB93"/>
      <c r="AC93"/>
      <c r="AD93"/>
    </row>
    <row r="94" spans="1:31" outlineLevel="1" x14ac:dyDescent="0.35">
      <c r="A94" s="353"/>
      <c r="B94" s="309"/>
      <c r="C94" s="301" t="s">
        <v>83</v>
      </c>
      <c r="D94" s="1154">
        <f>Chem!C155</f>
        <v>10</v>
      </c>
      <c r="E94" s="1101"/>
      <c r="F94" s="299"/>
      <c r="G94" s="299"/>
      <c r="H94" s="299"/>
      <c r="I94" s="299"/>
      <c r="J94" s="299"/>
      <c r="K94" s="299"/>
      <c r="L94" s="297"/>
      <c r="M94" s="299"/>
      <c r="N94"/>
      <c r="O94"/>
      <c r="P94"/>
      <c r="Q94"/>
      <c r="R94"/>
      <c r="S94"/>
      <c r="T94"/>
      <c r="U94"/>
      <c r="V94"/>
      <c r="W94"/>
      <c r="X94"/>
      <c r="Y94"/>
      <c r="Z94"/>
      <c r="AA94"/>
      <c r="AB94"/>
      <c r="AC94"/>
      <c r="AD94"/>
    </row>
    <row r="95" spans="1:31" outlineLevel="1" x14ac:dyDescent="0.35">
      <c r="A95" s="353"/>
      <c r="B95" s="309"/>
      <c r="C95" s="301" t="str">
        <f>"Solvent (" &amp; Chem!$C$43 &amp; "), $/kg"</f>
        <v>Solvent (Water), $/kg</v>
      </c>
      <c r="D95" s="1154">
        <f>Chem!C156</f>
        <v>0</v>
      </c>
      <c r="E95" s="1101"/>
      <c r="F95" s="299"/>
      <c r="G95" s="299"/>
      <c r="H95" s="299"/>
      <c r="I95" s="299"/>
      <c r="J95" s="299"/>
      <c r="K95" s="299"/>
      <c r="L95" s="297"/>
      <c r="M95" s="299"/>
      <c r="N95"/>
      <c r="O95"/>
      <c r="P95"/>
      <c r="Q95"/>
      <c r="R95"/>
      <c r="S95"/>
      <c r="T95"/>
      <c r="U95"/>
      <c r="V95"/>
      <c r="W95"/>
      <c r="X95"/>
      <c r="Y95"/>
      <c r="Z95"/>
      <c r="AA95"/>
      <c r="AB95"/>
      <c r="AC95"/>
      <c r="AD95"/>
    </row>
    <row r="96" spans="1:31" outlineLevel="1" x14ac:dyDescent="0.35">
      <c r="A96" s="353"/>
      <c r="B96" s="309"/>
      <c r="C96" s="299"/>
      <c r="D96" s="299"/>
      <c r="E96" s="299"/>
      <c r="F96" s="299"/>
      <c r="G96" s="299"/>
      <c r="H96" s="299"/>
      <c r="I96" s="299"/>
      <c r="J96" s="299"/>
      <c r="K96" s="299"/>
      <c r="L96" s="297"/>
      <c r="M96" s="299"/>
      <c r="N96"/>
      <c r="O96"/>
      <c r="P96"/>
      <c r="Q96"/>
      <c r="R96"/>
      <c r="S96"/>
      <c r="T96"/>
      <c r="U96"/>
      <c r="V96"/>
      <c r="W96"/>
      <c r="X96"/>
      <c r="Y96"/>
      <c r="Z96"/>
      <c r="AA96"/>
      <c r="AB96"/>
      <c r="AC96"/>
      <c r="AD96"/>
    </row>
    <row r="97" spans="1:30" outlineLevel="1" x14ac:dyDescent="0.35">
      <c r="A97" s="353"/>
      <c r="B97" s="309"/>
      <c r="C97" s="301" t="str">
        <f>LEFT(Chem!C30,2)&amp;" foil, $/m²"</f>
        <v>Al foil, $/m²</v>
      </c>
      <c r="D97" s="1154">
        <f>Chem!C159</f>
        <v>0.2</v>
      </c>
      <c r="E97" s="1101"/>
      <c r="F97" s="299"/>
      <c r="G97" s="299"/>
      <c r="H97" s="299"/>
      <c r="I97" s="299"/>
      <c r="J97" s="299"/>
      <c r="K97" s="299"/>
      <c r="L97" s="297"/>
      <c r="M97" s="299"/>
      <c r="N97"/>
      <c r="O97"/>
      <c r="P97"/>
      <c r="Q97"/>
      <c r="R97"/>
      <c r="S97"/>
      <c r="T97"/>
      <c r="U97"/>
      <c r="V97"/>
      <c r="W97"/>
      <c r="X97"/>
      <c r="Y97"/>
      <c r="Z97"/>
      <c r="AA97"/>
      <c r="AB97"/>
      <c r="AC97"/>
      <c r="AD97"/>
    </row>
    <row r="98" spans="1:30" outlineLevel="1" x14ac:dyDescent="0.35">
      <c r="A98" s="353"/>
      <c r="B98" s="309"/>
      <c r="C98" s="301" t="str">
        <f>IF(Chem!C57 = "Copper", "Cu", "Al") &amp;" foil, $/m²"</f>
        <v>Cu foil, $/m²</v>
      </c>
      <c r="D98" s="1154">
        <f>Chem!C160</f>
        <v>1.2</v>
      </c>
      <c r="E98" s="1101"/>
      <c r="F98" s="299"/>
      <c r="G98" s="299"/>
      <c r="H98" s="299"/>
      <c r="I98" s="299"/>
      <c r="J98" s="299"/>
      <c r="K98" s="299"/>
      <c r="L98" s="297"/>
      <c r="M98" s="299"/>
      <c r="N98"/>
      <c r="O98"/>
      <c r="P98"/>
      <c r="Q98"/>
      <c r="R98"/>
      <c r="S98"/>
      <c r="T98"/>
      <c r="U98"/>
      <c r="V98"/>
      <c r="W98"/>
      <c r="X98"/>
      <c r="Y98"/>
      <c r="Z98"/>
      <c r="AA98"/>
      <c r="AB98"/>
      <c r="AC98"/>
      <c r="AD98"/>
    </row>
    <row r="99" spans="1:30" outlineLevel="1" x14ac:dyDescent="0.35">
      <c r="A99" s="353"/>
      <c r="B99" s="309"/>
      <c r="C99" s="301" t="s">
        <v>85</v>
      </c>
      <c r="D99" s="1154">
        <f>Chem!C161</f>
        <v>0.9</v>
      </c>
      <c r="E99" s="1101"/>
      <c r="F99" s="299"/>
      <c r="G99" s="299"/>
      <c r="H99" s="299"/>
      <c r="I99" s="299"/>
      <c r="J99" s="299"/>
      <c r="K99" s="299"/>
      <c r="L99" s="297"/>
      <c r="M99" s="299"/>
      <c r="N99"/>
      <c r="O99"/>
      <c r="P99"/>
      <c r="Q99"/>
      <c r="R99"/>
      <c r="S99"/>
      <c r="T99"/>
      <c r="U99"/>
      <c r="V99"/>
      <c r="W99"/>
      <c r="X99"/>
      <c r="Y99"/>
      <c r="Z99"/>
      <c r="AA99"/>
      <c r="AB99"/>
      <c r="AC99"/>
      <c r="AD99"/>
    </row>
    <row r="100" spans="1:30" outlineLevel="1" x14ac:dyDescent="0.35">
      <c r="A100" s="353"/>
      <c r="B100" s="309"/>
      <c r="C100" s="301" t="s">
        <v>86</v>
      </c>
      <c r="D100" s="1154">
        <f>Chem!C162</f>
        <v>10</v>
      </c>
      <c r="E100" s="1101"/>
      <c r="F100" s="299"/>
      <c r="G100" s="299"/>
      <c r="H100" s="299"/>
      <c r="I100" s="299"/>
      <c r="J100" s="299"/>
      <c r="K100" s="299"/>
      <c r="L100" s="297"/>
      <c r="M100" s="299"/>
      <c r="N100"/>
      <c r="O100"/>
      <c r="P100"/>
      <c r="Q100"/>
      <c r="R100"/>
      <c r="S100"/>
      <c r="T100"/>
      <c r="U100"/>
      <c r="V100"/>
      <c r="W100"/>
      <c r="X100"/>
      <c r="Y100"/>
      <c r="Z100"/>
      <c r="AA100"/>
      <c r="AB100"/>
      <c r="AC100"/>
      <c r="AD100"/>
    </row>
    <row r="101" spans="1:30" ht="16" outlineLevel="1" thickBot="1" x14ac:dyDescent="0.4">
      <c r="A101" s="353"/>
      <c r="B101" s="303"/>
      <c r="C101" s="300"/>
      <c r="D101" s="300"/>
      <c r="E101" s="300"/>
      <c r="F101" s="300"/>
      <c r="G101" s="300"/>
      <c r="H101" s="300"/>
      <c r="I101" s="300"/>
      <c r="J101" s="300"/>
      <c r="K101" s="300"/>
      <c r="L101" s="304"/>
      <c r="M101" s="299"/>
      <c r="N101"/>
      <c r="O101"/>
      <c r="P101"/>
      <c r="Q101"/>
      <c r="R101"/>
      <c r="S101"/>
      <c r="T101"/>
      <c r="U101"/>
      <c r="V101"/>
      <c r="W101"/>
      <c r="X101"/>
      <c r="Y101"/>
      <c r="Z101"/>
      <c r="AA101"/>
      <c r="AB101"/>
      <c r="AC101"/>
      <c r="AD101"/>
    </row>
    <row r="102" spans="1:30" ht="18" outlineLevel="1" thickBot="1" x14ac:dyDescent="0.4">
      <c r="A102" s="353"/>
      <c r="B102" s="1405" t="s">
        <v>87</v>
      </c>
      <c r="C102" s="1406"/>
      <c r="D102" s="1406"/>
      <c r="E102" s="1406"/>
      <c r="F102" s="1406"/>
      <c r="G102" s="1406"/>
      <c r="H102" s="1406"/>
      <c r="I102" s="1406"/>
      <c r="J102" s="1406"/>
      <c r="K102" s="1406"/>
      <c r="L102" s="1407"/>
      <c r="M102" s="299"/>
      <c r="N102"/>
      <c r="O102"/>
      <c r="P102"/>
      <c r="Q102"/>
      <c r="R102"/>
      <c r="S102"/>
      <c r="T102"/>
      <c r="U102"/>
      <c r="V102"/>
      <c r="W102"/>
      <c r="X102"/>
      <c r="Y102"/>
      <c r="Z102"/>
      <c r="AA102"/>
      <c r="AB102"/>
      <c r="AC102"/>
      <c r="AD102"/>
    </row>
    <row r="103" spans="1:30" ht="16" outlineLevel="1" thickBot="1" x14ac:dyDescent="0.4">
      <c r="A103" s="353"/>
      <c r="B103" s="309"/>
      <c r="C103" s="299"/>
      <c r="D103" s="299"/>
      <c r="E103" s="299"/>
      <c r="F103" s="299"/>
      <c r="G103" s="299"/>
      <c r="H103" s="299"/>
      <c r="I103" s="299"/>
      <c r="J103" s="299"/>
      <c r="K103" s="299"/>
      <c r="L103" s="297"/>
      <c r="M103" s="299"/>
      <c r="N103"/>
      <c r="O103"/>
      <c r="P103"/>
      <c r="Q103"/>
      <c r="R103"/>
      <c r="S103"/>
      <c r="T103"/>
      <c r="U103"/>
      <c r="V103"/>
      <c r="W103"/>
      <c r="X103"/>
      <c r="Y103"/>
      <c r="Z103"/>
      <c r="AA103"/>
      <c r="AB103"/>
      <c r="AC103"/>
      <c r="AD103"/>
    </row>
    <row r="104" spans="1:30" ht="16" outlineLevel="1" thickBot="1" x14ac:dyDescent="0.4">
      <c r="A104" s="353"/>
      <c r="B104" s="309"/>
      <c r="C104" s="310"/>
      <c r="D104" s="1144" t="s">
        <v>50</v>
      </c>
      <c r="E104" s="1145" t="s">
        <v>51</v>
      </c>
      <c r="F104" s="1145" t="s">
        <v>52</v>
      </c>
      <c r="G104" s="1145" t="s">
        <v>53</v>
      </c>
      <c r="H104" s="1145" t="s">
        <v>54</v>
      </c>
      <c r="I104" s="1145" t="s">
        <v>55</v>
      </c>
      <c r="J104" s="1146" t="s">
        <v>56</v>
      </c>
      <c r="K104" s="299"/>
      <c r="L104" s="297"/>
      <c r="M104" s="299"/>
      <c r="N104"/>
      <c r="O104"/>
      <c r="P104"/>
      <c r="Q104"/>
      <c r="R104"/>
      <c r="S104"/>
      <c r="T104"/>
      <c r="U104"/>
      <c r="V104"/>
      <c r="W104"/>
      <c r="X104"/>
      <c r="Y104"/>
      <c r="Z104"/>
      <c r="AA104"/>
      <c r="AB104"/>
      <c r="AC104"/>
      <c r="AD104"/>
    </row>
    <row r="105" spans="1:30" outlineLevel="1" x14ac:dyDescent="0.35">
      <c r="A105" s="353"/>
      <c r="B105" s="309"/>
      <c r="C105" s="301" t="s">
        <v>88</v>
      </c>
      <c r="D105" s="1212">
        <v>500000</v>
      </c>
      <c r="E105" s="1212">
        <v>500000</v>
      </c>
      <c r="F105" s="1212">
        <v>500000</v>
      </c>
      <c r="G105" s="1212">
        <v>500000</v>
      </c>
      <c r="H105" s="1212">
        <v>500000</v>
      </c>
      <c r="I105" s="1212">
        <v>500000</v>
      </c>
      <c r="J105" s="1212">
        <v>500000</v>
      </c>
      <c r="K105" s="299"/>
      <c r="L105" s="297"/>
      <c r="M105" s="299"/>
      <c r="N105"/>
      <c r="O105"/>
      <c r="P105"/>
      <c r="Q105"/>
      <c r="R105"/>
      <c r="S105"/>
      <c r="T105"/>
      <c r="U105"/>
      <c r="V105"/>
      <c r="W105"/>
      <c r="X105"/>
      <c r="Y105"/>
      <c r="Z105"/>
      <c r="AA105"/>
      <c r="AB105"/>
      <c r="AC105"/>
      <c r="AD105"/>
    </row>
    <row r="106" spans="1:30" ht="16" outlineLevel="1" thickBot="1" x14ac:dyDescent="0.4">
      <c r="A106" s="353"/>
      <c r="B106" s="309"/>
      <c r="C106" s="301"/>
      <c r="D106" s="299"/>
      <c r="E106" s="299"/>
      <c r="F106" s="299"/>
      <c r="G106" s="299"/>
      <c r="H106" s="299"/>
      <c r="I106" s="299"/>
      <c r="J106" s="299"/>
      <c r="K106" s="299"/>
      <c r="L106" s="297"/>
      <c r="M106" s="299"/>
      <c r="N106" s="613"/>
      <c r="O106"/>
      <c r="P106"/>
      <c r="Q106"/>
      <c r="R106"/>
      <c r="S106"/>
      <c r="T106"/>
      <c r="U106"/>
      <c r="V106"/>
      <c r="W106"/>
      <c r="X106"/>
      <c r="Y106"/>
      <c r="Z106"/>
      <c r="AA106"/>
      <c r="AB106"/>
      <c r="AC106"/>
      <c r="AD106"/>
    </row>
    <row r="107" spans="1:30" ht="16" outlineLevel="1" thickBot="1" x14ac:dyDescent="0.4">
      <c r="A107" s="353"/>
      <c r="B107" s="309"/>
      <c r="C107" s="301" t="s">
        <v>89</v>
      </c>
      <c r="D107" s="1408" t="s">
        <v>90</v>
      </c>
      <c r="E107" s="1409"/>
      <c r="F107" s="1409"/>
      <c r="G107" s="1409"/>
      <c r="H107" s="1409"/>
      <c r="I107" s="1409"/>
      <c r="J107" s="1410"/>
      <c r="K107" s="299"/>
      <c r="L107" s="297"/>
      <c r="M107" s="299"/>
      <c r="N107"/>
      <c r="O107"/>
      <c r="P107"/>
      <c r="Q107"/>
      <c r="R107"/>
      <c r="S107"/>
      <c r="T107"/>
      <c r="U107"/>
      <c r="V107"/>
      <c r="W107"/>
      <c r="X107"/>
      <c r="Y107"/>
      <c r="Z107"/>
      <c r="AA107"/>
      <c r="AB107"/>
      <c r="AC107"/>
      <c r="AD107"/>
    </row>
    <row r="108" spans="1:30" outlineLevel="1" x14ac:dyDescent="0.35">
      <c r="A108" s="353"/>
      <c r="B108" s="309"/>
      <c r="C108" s="1247" t="str">
        <f>IF(_utilization_type=1,"       When method other than Method 1 is selected, other options below become available","      In addition, fill in values for one of the two below")</f>
        <v xml:space="preserve">       When method other than Method 1 is selected, other options below become available</v>
      </c>
      <c r="D108" s="484"/>
      <c r="E108" s="484"/>
      <c r="F108" s="484"/>
      <c r="G108" s="484"/>
      <c r="H108" s="484"/>
      <c r="I108" s="484"/>
      <c r="J108" s="484"/>
      <c r="K108" s="299"/>
      <c r="L108" s="297"/>
      <c r="M108" s="299"/>
      <c r="N108"/>
      <c r="O108"/>
      <c r="P108"/>
      <c r="Q108"/>
      <c r="R108"/>
      <c r="S108"/>
      <c r="T108"/>
      <c r="U108"/>
      <c r="V108"/>
      <c r="W108"/>
      <c r="X108"/>
      <c r="Y108"/>
      <c r="Z108"/>
      <c r="AA108"/>
      <c r="AB108"/>
      <c r="AC108"/>
      <c r="AD108"/>
    </row>
    <row r="109" spans="1:30" outlineLevel="1" x14ac:dyDescent="0.35">
      <c r="A109" s="353"/>
      <c r="B109" s="309"/>
      <c r="C109" s="299" t="s">
        <v>91</v>
      </c>
      <c r="D109" s="1152"/>
      <c r="E109" s="1152"/>
      <c r="F109" s="1152"/>
      <c r="G109" s="1152"/>
      <c r="H109" s="1152"/>
      <c r="I109" s="1152"/>
      <c r="J109" s="1152"/>
      <c r="K109" s="1081"/>
      <c r="L109" s="297"/>
      <c r="M109" s="299"/>
      <c r="N109"/>
      <c r="O109"/>
      <c r="P109"/>
      <c r="Q109"/>
      <c r="R109"/>
      <c r="S109"/>
      <c r="T109"/>
      <c r="U109"/>
      <c r="V109"/>
      <c r="W109"/>
      <c r="X109"/>
      <c r="Y109"/>
      <c r="Z109"/>
      <c r="AA109"/>
      <c r="AB109"/>
      <c r="AC109"/>
      <c r="AD109"/>
    </row>
    <row r="110" spans="1:30" outlineLevel="1" x14ac:dyDescent="0.35">
      <c r="A110" s="353"/>
      <c r="B110" s="309"/>
      <c r="C110" s="299" t="s">
        <v>92</v>
      </c>
      <c r="D110" s="1153">
        <v>0.9</v>
      </c>
      <c r="E110" s="1153">
        <v>0.95</v>
      </c>
      <c r="F110" s="1153">
        <v>1</v>
      </c>
      <c r="G110" s="1153">
        <v>1</v>
      </c>
      <c r="H110" s="1153">
        <v>1</v>
      </c>
      <c r="I110" s="1153">
        <v>1</v>
      </c>
      <c r="J110" s="1153">
        <v>1</v>
      </c>
      <c r="K110" s="299"/>
      <c r="L110" s="297"/>
      <c r="M110" s="299"/>
      <c r="N110"/>
      <c r="O110"/>
      <c r="P110"/>
      <c r="Q110"/>
      <c r="R110"/>
      <c r="S110"/>
      <c r="T110"/>
      <c r="U110"/>
      <c r="V110"/>
      <c r="W110"/>
      <c r="X110"/>
      <c r="Y110"/>
      <c r="Z110"/>
      <c r="AA110"/>
      <c r="AB110"/>
      <c r="AC110"/>
      <c r="AD110"/>
    </row>
    <row r="111" spans="1:30" outlineLevel="1" x14ac:dyDescent="0.35">
      <c r="A111" s="353"/>
      <c r="B111" s="309"/>
      <c r="C111" s="310"/>
      <c r="D111" s="311"/>
      <c r="E111" s="311"/>
      <c r="F111" s="299"/>
      <c r="G111" s="299"/>
      <c r="H111" s="299"/>
      <c r="I111" s="299"/>
      <c r="J111" s="299"/>
      <c r="K111" s="299"/>
      <c r="L111" s="297"/>
      <c r="M111" s="299"/>
      <c r="N111"/>
      <c r="O111"/>
      <c r="P111"/>
      <c r="Q111"/>
      <c r="R111"/>
      <c r="S111"/>
      <c r="T111"/>
      <c r="U111"/>
      <c r="V111"/>
      <c r="W111"/>
      <c r="X111"/>
      <c r="Y111"/>
      <c r="Z111"/>
      <c r="AA111"/>
      <c r="AB111"/>
      <c r="AC111"/>
      <c r="AD111"/>
    </row>
    <row r="112" spans="1:30" outlineLevel="1" x14ac:dyDescent="0.35">
      <c r="A112" s="353"/>
      <c r="B112" s="309"/>
      <c r="C112" s="299" t="s">
        <v>93</v>
      </c>
      <c r="D112" s="1413">
        <v>95</v>
      </c>
      <c r="E112" s="1413"/>
      <c r="F112" s="1413"/>
      <c r="G112" s="1413"/>
      <c r="H112" s="1413"/>
      <c r="I112" s="1413"/>
      <c r="J112" s="1413"/>
      <c r="K112" s="299"/>
      <c r="L112" s="297"/>
      <c r="M112" s="299"/>
      <c r="N112"/>
      <c r="O112"/>
      <c r="P112"/>
      <c r="Q112"/>
      <c r="R112"/>
      <c r="S112"/>
      <c r="T112"/>
      <c r="U112"/>
      <c r="V112"/>
      <c r="W112"/>
      <c r="X112"/>
      <c r="Y112"/>
      <c r="Z112"/>
      <c r="AA112"/>
      <c r="AB112"/>
      <c r="AC112"/>
      <c r="AD112"/>
    </row>
    <row r="113" spans="1:34" ht="16" thickBot="1" x14ac:dyDescent="0.4">
      <c r="A113" s="353"/>
      <c r="B113" s="309"/>
      <c r="C113" s="310"/>
      <c r="D113" s="311"/>
      <c r="E113" s="311"/>
      <c r="F113" s="299"/>
      <c r="G113" s="299"/>
      <c r="H113" s="299"/>
      <c r="I113" s="299"/>
      <c r="J113" s="299"/>
      <c r="K113" s="299"/>
      <c r="L113" s="297"/>
      <c r="M113" s="299"/>
      <c r="N113"/>
      <c r="O113"/>
      <c r="P113"/>
      <c r="Q113"/>
      <c r="R113"/>
      <c r="S113"/>
      <c r="T113"/>
      <c r="U113"/>
      <c r="V113"/>
      <c r="W113"/>
      <c r="X113"/>
      <c r="Y113"/>
      <c r="Z113"/>
      <c r="AA113"/>
      <c r="AB113"/>
      <c r="AC113"/>
      <c r="AD113"/>
    </row>
    <row r="114" spans="1:34" ht="18" thickBot="1" x14ac:dyDescent="0.4">
      <c r="A114" s="353"/>
      <c r="B114" s="1405" t="s">
        <v>94</v>
      </c>
      <c r="C114" s="1406"/>
      <c r="D114" s="1406"/>
      <c r="E114" s="1406"/>
      <c r="F114" s="1406"/>
      <c r="G114" s="1406"/>
      <c r="H114" s="1406"/>
      <c r="I114" s="1406"/>
      <c r="J114" s="1406"/>
      <c r="K114" s="1406"/>
      <c r="L114" s="1407"/>
      <c r="M114" s="299"/>
      <c r="N114"/>
      <c r="O114"/>
      <c r="P114"/>
      <c r="Q114"/>
      <c r="R114"/>
      <c r="S114"/>
      <c r="T114"/>
      <c r="U114"/>
      <c r="V114"/>
      <c r="W114"/>
      <c r="X114"/>
      <c r="Y114"/>
      <c r="Z114"/>
      <c r="AA114"/>
      <c r="AB114"/>
      <c r="AC114"/>
      <c r="AD114"/>
    </row>
    <row r="115" spans="1:34" ht="22.5" customHeight="1" thickBot="1" x14ac:dyDescent="0.4">
      <c r="A115" s="353"/>
      <c r="B115" s="309"/>
      <c r="C115" s="310"/>
      <c r="D115" s="311"/>
      <c r="E115" s="311"/>
      <c r="F115" s="299"/>
      <c r="G115" s="299"/>
      <c r="H115" s="299"/>
      <c r="I115" s="299"/>
      <c r="J115" s="299"/>
      <c r="K115" s="299"/>
      <c r="L115" s="297"/>
      <c r="M115" s="299"/>
      <c r="N115"/>
      <c r="O115"/>
      <c r="P115"/>
      <c r="Q115"/>
      <c r="R115"/>
      <c r="S115"/>
      <c r="T115"/>
      <c r="U115"/>
      <c r="V115"/>
      <c r="W115"/>
      <c r="X115"/>
      <c r="Y115"/>
      <c r="Z115"/>
      <c r="AA115"/>
      <c r="AB115"/>
      <c r="AC115"/>
      <c r="AD115"/>
    </row>
    <row r="116" spans="1:34" ht="16" thickBot="1" x14ac:dyDescent="0.4">
      <c r="A116" s="353"/>
      <c r="B116" s="309"/>
      <c r="C116" s="301" t="s">
        <v>95</v>
      </c>
      <c r="D116" s="1408" t="s">
        <v>96</v>
      </c>
      <c r="E116" s="1409"/>
      <c r="F116" s="1409"/>
      <c r="G116" s="1409"/>
      <c r="H116" s="1409"/>
      <c r="I116" s="1409"/>
      <c r="J116" s="1410"/>
      <c r="K116" s="299"/>
      <c r="L116" s="297"/>
      <c r="M116" s="299"/>
      <c r="N116"/>
      <c r="O116"/>
      <c r="P116"/>
      <c r="Q116"/>
      <c r="R116"/>
      <c r="S116"/>
      <c r="T116"/>
      <c r="U116"/>
      <c r="V116"/>
      <c r="W116"/>
      <c r="X116"/>
      <c r="Y116"/>
      <c r="Z116"/>
      <c r="AA116"/>
      <c r="AB116"/>
      <c r="AC116"/>
      <c r="AD116"/>
    </row>
    <row r="117" spans="1:34" ht="16" thickBot="1" x14ac:dyDescent="0.4">
      <c r="A117" s="353"/>
      <c r="B117" s="309"/>
      <c r="C117" s="310"/>
      <c r="D117" s="311"/>
      <c r="E117" s="311"/>
      <c r="F117" s="299"/>
      <c r="G117" s="299"/>
      <c r="H117" s="299"/>
      <c r="I117" s="299"/>
      <c r="J117" s="299"/>
      <c r="K117" s="299"/>
      <c r="L117" s="297"/>
      <c r="M117" s="299"/>
      <c r="N117"/>
      <c r="O117"/>
      <c r="P117"/>
      <c r="Q117"/>
      <c r="R117"/>
      <c r="S117"/>
      <c r="T117"/>
      <c r="U117"/>
      <c r="V117"/>
      <c r="W117"/>
      <c r="X117"/>
      <c r="Y117"/>
      <c r="Z117"/>
      <c r="AA117"/>
      <c r="AB117"/>
      <c r="AC117"/>
      <c r="AD117"/>
    </row>
    <row r="118" spans="1:34" ht="18" thickBot="1" x14ac:dyDescent="0.4">
      <c r="A118" s="353"/>
      <c r="B118" s="1088"/>
      <c r="C118" s="301" t="s">
        <v>97</v>
      </c>
      <c r="D118" s="1408" t="s">
        <v>98</v>
      </c>
      <c r="E118" s="1409"/>
      <c r="F118" s="1409"/>
      <c r="G118" s="1409"/>
      <c r="H118" s="1409"/>
      <c r="I118" s="1409"/>
      <c r="J118" s="1410"/>
      <c r="K118" s="1089"/>
      <c r="L118" s="1090"/>
      <c r="M118" s="299"/>
      <c r="N118"/>
      <c r="O118"/>
      <c r="P118"/>
      <c r="Q118"/>
      <c r="R118"/>
      <c r="S118"/>
      <c r="T118"/>
      <c r="U118"/>
      <c r="V118"/>
      <c r="W118"/>
      <c r="X118"/>
      <c r="Y118"/>
      <c r="Z118"/>
      <c r="AA118"/>
      <c r="AB118"/>
      <c r="AC118"/>
      <c r="AD118"/>
    </row>
    <row r="119" spans="1:34" x14ac:dyDescent="0.35">
      <c r="A119" s="353"/>
      <c r="B119" s="309"/>
      <c r="C119" s="299"/>
      <c r="D119" s="299"/>
      <c r="E119" s="299"/>
      <c r="F119" s="299"/>
      <c r="G119" s="299"/>
      <c r="H119" s="299"/>
      <c r="I119" s="299"/>
      <c r="J119" s="299"/>
      <c r="K119" s="299"/>
      <c r="L119" s="297"/>
      <c r="M119" s="299"/>
      <c r="N119"/>
      <c r="O119"/>
      <c r="P119"/>
      <c r="Q119"/>
      <c r="R119"/>
      <c r="S119"/>
      <c r="T119"/>
      <c r="U119"/>
      <c r="V119"/>
      <c r="W119"/>
      <c r="X119"/>
      <c r="Y119"/>
      <c r="Z119"/>
      <c r="AA119"/>
      <c r="AB119"/>
      <c r="AC119"/>
      <c r="AD119"/>
    </row>
    <row r="120" spans="1:34" ht="16" thickBot="1" x14ac:dyDescent="0.4">
      <c r="A120" s="353"/>
      <c r="B120" s="303"/>
      <c r="C120" s="313"/>
      <c r="D120" s="314"/>
      <c r="E120" s="314"/>
      <c r="F120" s="300"/>
      <c r="G120" s="300"/>
      <c r="H120" s="300"/>
      <c r="I120" s="300"/>
      <c r="J120" s="300"/>
      <c r="K120" s="300"/>
      <c r="L120" s="304"/>
      <c r="M120" s="299"/>
      <c r="N120"/>
      <c r="O120"/>
      <c r="P120"/>
      <c r="Q120"/>
      <c r="R120"/>
      <c r="S120"/>
      <c r="T120"/>
      <c r="U120"/>
      <c r="V120"/>
      <c r="W120"/>
      <c r="X120"/>
      <c r="Y120"/>
      <c r="Z120"/>
      <c r="AA120"/>
      <c r="AB120"/>
      <c r="AC120"/>
      <c r="AD120"/>
    </row>
    <row r="121" spans="1:34" x14ac:dyDescent="0.35">
      <c r="A121" s="353"/>
      <c r="B121" s="299"/>
      <c r="C121" s="299"/>
      <c r="D121" s="299"/>
      <c r="E121" s="299"/>
      <c r="F121" s="299"/>
      <c r="G121" s="299"/>
      <c r="H121" s="299"/>
      <c r="I121" s="299"/>
      <c r="J121" s="299"/>
      <c r="K121" s="299"/>
      <c r="L121" s="299"/>
      <c r="M121" s="299"/>
      <c r="N121"/>
      <c r="O121"/>
      <c r="P121"/>
      <c r="Q121"/>
      <c r="R121"/>
      <c r="S121"/>
      <c r="T121"/>
      <c r="U121"/>
      <c r="V121"/>
      <c r="W121"/>
      <c r="X121"/>
      <c r="Y121"/>
      <c r="Z121"/>
      <c r="AA121"/>
      <c r="AB121"/>
      <c r="AC121"/>
      <c r="AD121"/>
    </row>
    <row r="122" spans="1:34" ht="16" thickBot="1" x14ac:dyDescent="0.4">
      <c r="A122" s="353"/>
      <c r="B122" s="299"/>
      <c r="C122" s="299"/>
      <c r="D122" s="299"/>
      <c r="E122" s="299"/>
      <c r="F122" s="299"/>
      <c r="G122" s="299"/>
      <c r="H122" s="299"/>
      <c r="I122" s="299"/>
      <c r="J122" s="299"/>
      <c r="K122" s="299"/>
      <c r="L122" s="299"/>
      <c r="M122" s="299"/>
      <c r="N122"/>
      <c r="O122"/>
      <c r="P122"/>
      <c r="Q122"/>
      <c r="R122"/>
      <c r="S122"/>
      <c r="T122"/>
      <c r="U122"/>
      <c r="V122"/>
      <c r="W122"/>
      <c r="X122"/>
      <c r="Y122"/>
      <c r="Z122"/>
      <c r="AA122"/>
      <c r="AB122"/>
      <c r="AC122"/>
      <c r="AD122"/>
    </row>
    <row r="123" spans="1:34" ht="12" customHeight="1" x14ac:dyDescent="0.35">
      <c r="A123" s="353"/>
      <c r="B123" s="1399" t="s">
        <v>99</v>
      </c>
      <c r="C123" s="1400"/>
      <c r="D123" s="1400"/>
      <c r="E123" s="1400"/>
      <c r="F123" s="1400"/>
      <c r="G123" s="1400"/>
      <c r="H123" s="1400"/>
      <c r="I123" s="1400"/>
      <c r="J123" s="1400"/>
      <c r="K123" s="1400"/>
      <c r="L123" s="1401"/>
      <c r="O123" s="353"/>
      <c r="P123" s="353"/>
      <c r="Q123" s="353"/>
      <c r="R123" s="353"/>
      <c r="S123" s="353"/>
      <c r="T123" s="353"/>
      <c r="U123" s="353"/>
      <c r="V123" s="353"/>
      <c r="W123" s="353"/>
      <c r="X123" s="353"/>
      <c r="Y123" s="353"/>
    </row>
    <row r="124" spans="1:34" ht="10.5" customHeight="1" thickBot="1" x14ac:dyDescent="0.4">
      <c r="A124" s="353"/>
      <c r="B124" s="1402"/>
      <c r="C124" s="1403"/>
      <c r="D124" s="1403"/>
      <c r="E124" s="1403"/>
      <c r="F124" s="1403"/>
      <c r="G124" s="1403"/>
      <c r="H124" s="1403"/>
      <c r="I124" s="1403"/>
      <c r="J124" s="1403"/>
      <c r="K124" s="1403"/>
      <c r="L124" s="1404"/>
      <c r="O124" s="353"/>
      <c r="P124" s="353"/>
      <c r="Q124" s="353"/>
      <c r="R124" s="353"/>
      <c r="S124" s="353"/>
      <c r="T124" s="353"/>
      <c r="U124" s="353"/>
      <c r="V124" s="353"/>
      <c r="W124" s="353"/>
      <c r="X124" s="353"/>
      <c r="Y124" s="353"/>
    </row>
    <row r="125" spans="1:34" ht="18.5" thickBot="1" x14ac:dyDescent="0.45">
      <c r="A125" s="353"/>
      <c r="B125" s="1220" t="s">
        <v>100</v>
      </c>
      <c r="C125" s="1221"/>
      <c r="D125" s="1222"/>
      <c r="E125" s="1222"/>
      <c r="F125" s="1223"/>
      <c r="G125" s="1223"/>
      <c r="H125" s="1223"/>
      <c r="I125" s="1224"/>
      <c r="J125" s="1223"/>
      <c r="K125" s="1223"/>
      <c r="L125" s="1225"/>
      <c r="O125" s="353"/>
      <c r="P125" s="353"/>
      <c r="Q125" s="353"/>
      <c r="R125" s="353"/>
      <c r="S125" s="353"/>
      <c r="T125" s="353"/>
      <c r="U125" s="353"/>
      <c r="V125" s="353"/>
      <c r="W125" s="353"/>
      <c r="X125" s="353"/>
      <c r="Y125" s="353"/>
      <c r="AG125"/>
      <c r="AH125"/>
    </row>
    <row r="126" spans="1:34" ht="16" thickBot="1" x14ac:dyDescent="0.4">
      <c r="A126" s="353"/>
      <c r="B126" s="309"/>
      <c r="C126" s="310"/>
      <c r="D126" s="1215" t="s">
        <v>50</v>
      </c>
      <c r="E126" s="1216" t="s">
        <v>51</v>
      </c>
      <c r="F126" s="1216" t="s">
        <v>52</v>
      </c>
      <c r="G126" s="1216" t="s">
        <v>53</v>
      </c>
      <c r="H126" s="1216" t="s">
        <v>54</v>
      </c>
      <c r="I126" s="1216" t="s">
        <v>55</v>
      </c>
      <c r="J126" s="1217" t="s">
        <v>56</v>
      </c>
      <c r="K126" s="9"/>
      <c r="L126" s="297"/>
      <c r="O126" s="353"/>
      <c r="P126" s="353"/>
      <c r="Q126" s="353"/>
      <c r="R126" s="353"/>
      <c r="S126" s="353"/>
      <c r="T126" s="353"/>
      <c r="U126" s="353"/>
      <c r="V126" s="353"/>
      <c r="W126" s="353"/>
      <c r="X126" s="353"/>
      <c r="Y126" s="353"/>
    </row>
    <row r="127" spans="1:34" x14ac:dyDescent="0.35">
      <c r="A127" s="353"/>
      <c r="B127" s="309"/>
      <c r="K127" s="353"/>
      <c r="L127" s="299"/>
      <c r="M127" s="309"/>
    </row>
    <row r="128" spans="1:34" x14ac:dyDescent="0.35">
      <c r="A128" s="353"/>
      <c r="B128" s="309"/>
      <c r="C128" s="295"/>
      <c r="D128" s="7"/>
      <c r="E128" s="7"/>
      <c r="F128" s="301"/>
      <c r="G128" s="301"/>
      <c r="H128" s="301"/>
      <c r="I128" s="301"/>
      <c r="J128" s="299"/>
      <c r="K128" s="9"/>
      <c r="L128" s="297"/>
      <c r="O128" s="353"/>
      <c r="P128" s="353"/>
      <c r="Q128" s="353"/>
      <c r="R128" s="353"/>
      <c r="S128" s="353"/>
      <c r="T128" s="353"/>
      <c r="U128" s="353"/>
      <c r="V128" s="353"/>
      <c r="W128" s="353"/>
      <c r="X128" s="353"/>
      <c r="Y128" s="353"/>
    </row>
    <row r="129" spans="1:25" x14ac:dyDescent="0.35">
      <c r="A129" s="353"/>
      <c r="B129" s="309"/>
      <c r="C129" s="1094" t="s">
        <v>101</v>
      </c>
      <c r="D129" s="1147" t="str">
        <f ca="1">'Battery Design'!G512</f>
        <v>None</v>
      </c>
      <c r="E129" s="1147" t="str">
        <f ca="1">'Battery Design'!H512</f>
        <v>None</v>
      </c>
      <c r="F129" s="1147" t="str">
        <f ca="1">'Battery Design'!I512</f>
        <v>None</v>
      </c>
      <c r="G129" s="1147" t="str">
        <f ca="1">'Battery Design'!J512</f>
        <v>None</v>
      </c>
      <c r="H129" s="1147" t="str">
        <f ca="1">'Battery Design'!K512</f>
        <v>None</v>
      </c>
      <c r="I129" s="1147" t="str">
        <f ca="1">'Battery Design'!L512</f>
        <v>None</v>
      </c>
      <c r="J129" s="1147" t="str">
        <f ca="1">'Battery Design'!M512</f>
        <v>None</v>
      </c>
      <c r="K129" s="9"/>
      <c r="L129" s="297"/>
      <c r="O129" s="353"/>
      <c r="P129" s="353"/>
      <c r="Q129" s="353"/>
      <c r="R129" s="353"/>
      <c r="S129" s="353"/>
      <c r="T129" s="353"/>
      <c r="U129" s="353"/>
      <c r="V129" s="353"/>
      <c r="W129" s="353"/>
      <c r="X129" s="353"/>
      <c r="Y129" s="353"/>
    </row>
    <row r="130" spans="1:25" x14ac:dyDescent="0.35">
      <c r="A130" s="353"/>
      <c r="B130" s="309"/>
      <c r="C130" s="1094" t="s">
        <v>102</v>
      </c>
      <c r="D130" s="1147" t="str">
        <f ca="1">'Battery Design'!G515</f>
        <v>None</v>
      </c>
      <c r="E130" s="1147" t="str">
        <f ca="1">'Battery Design'!H515</f>
        <v>None</v>
      </c>
      <c r="F130" s="1147" t="str">
        <f ca="1">'Battery Design'!I515</f>
        <v>None</v>
      </c>
      <c r="G130" s="1147" t="str">
        <f ca="1">'Battery Design'!J515</f>
        <v>None</v>
      </c>
      <c r="H130" s="1147" t="str">
        <f ca="1">'Battery Design'!K515</f>
        <v>None</v>
      </c>
      <c r="I130" s="1147" t="str">
        <f ca="1">'Battery Design'!L515</f>
        <v>12</v>
      </c>
      <c r="J130" s="1147" t="str">
        <f ca="1">'Battery Design'!M515</f>
        <v>12</v>
      </c>
      <c r="K130" s="9"/>
      <c r="L130" s="297"/>
      <c r="O130" s="353"/>
      <c r="P130" s="353"/>
      <c r="Q130" s="353"/>
      <c r="R130" s="353"/>
      <c r="S130" s="353"/>
      <c r="T130" s="353"/>
      <c r="U130" s="353"/>
      <c r="V130" s="353"/>
      <c r="W130" s="353"/>
      <c r="X130" s="353"/>
      <c r="Y130" s="353"/>
    </row>
    <row r="131" spans="1:25" x14ac:dyDescent="0.35">
      <c r="A131" s="353"/>
      <c r="B131" s="309"/>
      <c r="C131" s="1148" t="s">
        <v>103</v>
      </c>
      <c r="D131" s="1149">
        <f>'Battery Design'!G24*'Manufacturing Costs'!G400/1000/1000</f>
        <v>50</v>
      </c>
      <c r="E131" s="1149">
        <f>'Battery Design'!H24*'Manufacturing Costs'!H400/1000/1000</f>
        <v>50</v>
      </c>
      <c r="F131" s="1149">
        <f>'Battery Design'!I24*'Manufacturing Costs'!I400/1000/1000</f>
        <v>50</v>
      </c>
      <c r="G131" s="1149">
        <f>'Battery Design'!J24*'Manufacturing Costs'!J400/1000/1000</f>
        <v>50</v>
      </c>
      <c r="H131" s="1149">
        <f>'Battery Design'!K24*'Manufacturing Costs'!K400/1000/1000</f>
        <v>50</v>
      </c>
      <c r="I131" s="1149">
        <f>'Battery Design'!L24*'Manufacturing Costs'!L400/1000/1000</f>
        <v>50</v>
      </c>
      <c r="J131" s="1149">
        <f>'Battery Design'!M24*'Manufacturing Costs'!M400/1000/1000</f>
        <v>50</v>
      </c>
      <c r="K131" s="9"/>
      <c r="L131" s="297"/>
      <c r="O131" s="353"/>
      <c r="P131" s="353"/>
      <c r="Q131" s="353"/>
      <c r="R131" s="353"/>
      <c r="S131" s="353"/>
      <c r="T131" s="353"/>
      <c r="U131" s="353"/>
      <c r="V131" s="353"/>
      <c r="W131" s="353"/>
      <c r="X131" s="353"/>
      <c r="Y131" s="353"/>
    </row>
    <row r="132" spans="1:25" x14ac:dyDescent="0.35">
      <c r="A132" s="353"/>
      <c r="B132" s="309"/>
      <c r="C132" s="1170" t="s">
        <v>104</v>
      </c>
      <c r="D132" s="1150">
        <f>'Battery Design'!G14/'Battery Design'!G24</f>
        <v>3</v>
      </c>
      <c r="E132" s="1150">
        <f>'Battery Design'!H14/'Battery Design'!H24</f>
        <v>3</v>
      </c>
      <c r="F132" s="1150">
        <f>'Battery Design'!I14/'Battery Design'!I24</f>
        <v>3</v>
      </c>
      <c r="G132" s="1150">
        <f>'Battery Design'!J14/'Battery Design'!J24</f>
        <v>3</v>
      </c>
      <c r="H132" s="1150">
        <f>'Battery Design'!K14/'Battery Design'!K24</f>
        <v>3</v>
      </c>
      <c r="I132" s="1150">
        <f>'Battery Design'!L14/'Battery Design'!L24</f>
        <v>3</v>
      </c>
      <c r="J132" s="1150">
        <f>'Battery Design'!M14/'Battery Design'!M24</f>
        <v>3</v>
      </c>
      <c r="K132" s="9"/>
      <c r="L132" s="297"/>
      <c r="O132" s="353"/>
      <c r="P132" s="353"/>
      <c r="Q132" s="353"/>
      <c r="R132" s="353"/>
      <c r="S132" s="353"/>
      <c r="T132" s="353"/>
      <c r="U132" s="353"/>
      <c r="V132" s="353"/>
      <c r="W132" s="353"/>
      <c r="X132" s="353"/>
      <c r="Y132" s="353"/>
    </row>
    <row r="133" spans="1:25" ht="20" x14ac:dyDescent="0.4">
      <c r="A133" s="353"/>
      <c r="B133" s="309"/>
      <c r="C133" s="1148" t="s">
        <v>105</v>
      </c>
      <c r="D133" s="682" t="str">
        <f ca="1">Thermal!G144</f>
        <v>Excellent</v>
      </c>
      <c r="E133" s="682" t="str">
        <f ca="1">Thermal!H144</f>
        <v>Excellent</v>
      </c>
      <c r="F133" s="682" t="str">
        <f ca="1">Thermal!I144</f>
        <v>Excellent</v>
      </c>
      <c r="G133" s="682" t="str">
        <f ca="1">Thermal!J144</f>
        <v>Excellent</v>
      </c>
      <c r="H133" s="682" t="str">
        <f ca="1">Thermal!K144</f>
        <v>Excellent</v>
      </c>
      <c r="I133" s="682" t="str">
        <f ca="1">Thermal!L144</f>
        <v>Excellent</v>
      </c>
      <c r="J133" s="682" t="str">
        <f ca="1">Thermal!M144</f>
        <v>Excellent</v>
      </c>
      <c r="K133" s="536"/>
      <c r="L133" s="332"/>
      <c r="M133" s="305"/>
      <c r="N133" s="305"/>
      <c r="O133" s="342"/>
      <c r="P133" s="353"/>
      <c r="Q133" s="353"/>
      <c r="R133" s="353"/>
      <c r="S133" s="353"/>
      <c r="T133" s="353"/>
      <c r="U133" s="353"/>
      <c r="V133" s="353"/>
      <c r="W133" s="353"/>
      <c r="X133" s="353"/>
      <c r="Y133" s="353"/>
    </row>
    <row r="134" spans="1:25" x14ac:dyDescent="0.35">
      <c r="A134" s="353"/>
      <c r="B134" s="309"/>
      <c r="C134" s="1148" t="s">
        <v>106</v>
      </c>
      <c r="D134" s="1167" t="str">
        <f ca="1">'Battery Design'!G289</f>
        <v>Max Thickness</v>
      </c>
      <c r="E134" s="1167" t="str">
        <f ca="1">'Battery Design'!H289</f>
        <v>Max Thickness</v>
      </c>
      <c r="F134" s="1167" t="str">
        <f ca="1">'Battery Design'!I289</f>
        <v>Charging</v>
      </c>
      <c r="G134" s="1167" t="str">
        <f ca="1">'Battery Design'!J289</f>
        <v>Charging</v>
      </c>
      <c r="H134" s="1167" t="str">
        <f ca="1">'Battery Design'!K289</f>
        <v>Charging</v>
      </c>
      <c r="I134" s="1167" t="str">
        <f ca="1">'Battery Design'!L289</f>
        <v>Charging</v>
      </c>
      <c r="J134" s="1167" t="str">
        <f ca="1">'Battery Design'!M289</f>
        <v>Charging</v>
      </c>
      <c r="K134" s="9"/>
      <c r="L134" s="297"/>
      <c r="O134" s="353"/>
      <c r="P134" s="353"/>
      <c r="Q134" s="353"/>
      <c r="R134" s="353"/>
      <c r="S134" s="353"/>
      <c r="T134" s="353"/>
      <c r="U134" s="353"/>
      <c r="V134" s="353"/>
      <c r="W134" s="353"/>
      <c r="X134" s="353"/>
      <c r="Y134" s="353"/>
    </row>
    <row r="135" spans="1:25" ht="29.5" customHeight="1" x14ac:dyDescent="0.35">
      <c r="A135" s="353"/>
      <c r="B135" s="309"/>
      <c r="K135" s="9"/>
      <c r="L135" s="297"/>
      <c r="O135" s="353"/>
      <c r="P135" s="353"/>
      <c r="Q135" s="353"/>
      <c r="R135" s="353"/>
      <c r="S135" s="353"/>
      <c r="T135" s="353"/>
      <c r="U135" s="353"/>
      <c r="V135" s="353"/>
      <c r="W135" s="353"/>
      <c r="X135" s="353"/>
      <c r="Y135" s="353"/>
    </row>
    <row r="136" spans="1:25" x14ac:dyDescent="0.35">
      <c r="A136" s="353"/>
      <c r="B136" s="309"/>
      <c r="C136" s="27"/>
      <c r="D136" s="1151"/>
      <c r="E136" s="1151"/>
      <c r="F136" s="1151"/>
      <c r="G136" s="1151"/>
      <c r="H136" s="1151"/>
      <c r="I136" s="1151"/>
      <c r="J136" s="1151"/>
      <c r="K136" s="9"/>
      <c r="L136" s="297"/>
      <c r="O136" s="353"/>
      <c r="P136" s="353"/>
      <c r="Q136" s="353"/>
      <c r="R136" s="353"/>
      <c r="S136" s="353"/>
      <c r="T136" s="353"/>
      <c r="U136" s="353"/>
      <c r="V136" s="353"/>
      <c r="W136" s="353"/>
      <c r="X136" s="353"/>
      <c r="Y136" s="353"/>
    </row>
    <row r="137" spans="1:25" s="312" customFormat="1" x14ac:dyDescent="0.35">
      <c r="A137" s="90"/>
      <c r="B137" s="309"/>
      <c r="C137" s="310"/>
      <c r="D137" s="1269"/>
      <c r="E137" s="1269"/>
      <c r="F137" s="1269"/>
      <c r="G137" s="1269"/>
      <c r="H137" s="1269"/>
      <c r="I137" s="1269"/>
      <c r="J137" s="1269"/>
      <c r="K137" s="61"/>
      <c r="L137" s="334"/>
      <c r="O137" s="353"/>
      <c r="P137" s="353"/>
      <c r="Q137" s="353"/>
      <c r="R137" s="353"/>
      <c r="S137" s="353"/>
      <c r="T137" s="353"/>
      <c r="U137" s="353"/>
      <c r="V137" s="353"/>
      <c r="W137" s="353"/>
      <c r="X137" s="353"/>
      <c r="Y137" s="353"/>
    </row>
    <row r="138" spans="1:25" x14ac:dyDescent="0.35">
      <c r="A138" s="353"/>
      <c r="B138" s="309"/>
      <c r="C138" s="310"/>
      <c r="D138" s="311"/>
      <c r="E138" s="311"/>
      <c r="F138" s="299"/>
      <c r="G138" s="299"/>
      <c r="H138" s="299"/>
      <c r="I138" s="299"/>
      <c r="J138" s="299"/>
      <c r="K138" s="299"/>
      <c r="L138" s="297"/>
      <c r="O138" s="329"/>
      <c r="P138" s="353"/>
      <c r="Q138" s="353"/>
      <c r="R138" s="353"/>
      <c r="S138" s="353"/>
      <c r="T138" s="353"/>
      <c r="U138" s="353"/>
      <c r="V138" s="353"/>
      <c r="W138" s="353"/>
      <c r="X138" s="353"/>
      <c r="Y138" s="353"/>
    </row>
    <row r="139" spans="1:25" ht="15.75" customHeight="1" thickBot="1" x14ac:dyDescent="0.4">
      <c r="A139" s="353"/>
      <c r="B139" s="309"/>
      <c r="C139" s="310"/>
      <c r="D139" s="311"/>
      <c r="E139" s="311"/>
      <c r="F139" s="299"/>
      <c r="G139" s="299"/>
      <c r="H139" s="299"/>
      <c r="I139" s="299"/>
      <c r="J139" s="299"/>
      <c r="K139" s="299"/>
      <c r="L139" s="297"/>
      <c r="O139" s="353"/>
      <c r="P139" s="353"/>
      <c r="Q139" s="353"/>
      <c r="R139" s="353"/>
      <c r="S139" s="353"/>
      <c r="T139" s="353"/>
      <c r="U139" s="353"/>
      <c r="V139" s="353"/>
      <c r="W139" s="353"/>
      <c r="X139" s="353"/>
      <c r="Y139" s="353"/>
    </row>
    <row r="140" spans="1:25" s="312" customFormat="1" ht="18.5" thickBot="1" x14ac:dyDescent="0.45">
      <c r="B140" s="1218" t="s">
        <v>107</v>
      </c>
      <c r="C140" s="315"/>
      <c r="D140" s="1386"/>
      <c r="E140" s="1386"/>
      <c r="F140" s="1219"/>
      <c r="G140" s="1219"/>
      <c r="H140" s="1219"/>
      <c r="I140" s="1219"/>
      <c r="J140" s="1219"/>
      <c r="K140" s="1226"/>
      <c r="L140" s="1227"/>
      <c r="O140" s="353"/>
      <c r="P140" s="353"/>
      <c r="Q140" s="353"/>
      <c r="R140" s="353"/>
      <c r="S140" s="353"/>
      <c r="T140" s="353"/>
      <c r="U140" s="353"/>
      <c r="V140" s="353"/>
      <c r="W140" s="353"/>
      <c r="X140" s="353"/>
      <c r="Y140" s="353"/>
    </row>
    <row r="141" spans="1:25" s="312" customFormat="1" x14ac:dyDescent="0.35">
      <c r="B141" s="588"/>
      <c r="C141" s="306"/>
      <c r="D141" s="307"/>
      <c r="E141" s="307"/>
      <c r="F141" s="308"/>
      <c r="G141" s="308"/>
      <c r="H141" s="308"/>
      <c r="I141" s="308"/>
      <c r="J141" s="308"/>
      <c r="K141" s="1230"/>
      <c r="L141" s="1231"/>
      <c r="O141" s="353"/>
      <c r="P141" s="353"/>
      <c r="Q141" s="353"/>
      <c r="R141" s="353"/>
      <c r="S141" s="353"/>
      <c r="T141" s="353"/>
      <c r="U141" s="353"/>
      <c r="V141" s="353"/>
      <c r="W141" s="353"/>
      <c r="X141" s="353"/>
      <c r="Y141" s="353"/>
    </row>
    <row r="142" spans="1:25" s="312" customFormat="1" x14ac:dyDescent="0.35">
      <c r="B142" s="309"/>
      <c r="C142" s="310"/>
      <c r="D142" s="311"/>
      <c r="E142" s="311"/>
      <c r="F142" s="299"/>
      <c r="G142" s="299"/>
      <c r="H142" s="299"/>
      <c r="I142" s="299"/>
      <c r="J142" s="299"/>
      <c r="K142" s="333"/>
      <c r="L142" s="334"/>
      <c r="O142" s="353"/>
      <c r="P142" s="353"/>
      <c r="Q142" s="353"/>
      <c r="R142" s="353"/>
      <c r="S142" s="353"/>
      <c r="T142" s="353"/>
      <c r="U142" s="353"/>
      <c r="V142" s="353"/>
      <c r="W142" s="353"/>
      <c r="X142" s="353"/>
      <c r="Y142" s="353"/>
    </row>
    <row r="143" spans="1:25" s="312" customFormat="1" ht="16" thickBot="1" x14ac:dyDescent="0.4">
      <c r="B143" s="309"/>
      <c r="C143" s="310"/>
      <c r="D143" s="311"/>
      <c r="E143" s="311"/>
      <c r="F143" s="299"/>
      <c r="G143" s="299"/>
      <c r="H143" s="299"/>
      <c r="I143" s="299"/>
      <c r="J143" s="299"/>
      <c r="K143" s="333"/>
      <c r="L143" s="334"/>
      <c r="O143" s="353"/>
      <c r="P143" s="353"/>
      <c r="Q143" s="353"/>
      <c r="R143" s="353"/>
      <c r="S143" s="353"/>
      <c r="T143" s="353"/>
      <c r="U143" s="353"/>
      <c r="V143" s="353"/>
      <c r="W143" s="353"/>
      <c r="X143" s="353"/>
      <c r="Y143" s="353"/>
    </row>
    <row r="144" spans="1:25" s="312" customFormat="1" ht="16" thickBot="1" x14ac:dyDescent="0.4">
      <c r="B144" s="1232"/>
      <c r="C144" s="310"/>
      <c r="D144" s="316" t="str">
        <f>IF($C$145 ="Absolute", C146, "Change in " &amp; C146 &amp; ", %")</f>
        <v>Battery system rated power, kW</v>
      </c>
      <c r="E144" s="316">
        <f t="array" ref="E144">SUM(IF(ISERROR(C190:C220), 0, 1)) - 1</f>
        <v>24</v>
      </c>
      <c r="F144" s="316" t="str">
        <f>IF($C$145 ="Absolute", C147, "Change in " &amp; C147 &amp; ", %")</f>
        <v>Positive electrode thickness, µm</v>
      </c>
      <c r="G144" s="316"/>
      <c r="H144" s="316" t="str">
        <f>IF($C$145 ="Absolute", C148, "Change in " &amp; C148 &amp; ", %")</f>
        <v>Cell cost, $/kWh</v>
      </c>
      <c r="I144" s="316"/>
      <c r="J144" s="317" t="e">
        <f ca="1">IFERROR(IF(AND(#REF!="Acceptable", D133="Excellent", D136="Yes"), "", NA()), NA())</f>
        <v>#N/A</v>
      </c>
      <c r="K144" s="333"/>
      <c r="L144" s="334"/>
      <c r="O144" s="353"/>
      <c r="P144" s="353"/>
      <c r="Q144" s="353"/>
      <c r="R144" s="353"/>
      <c r="S144" s="353"/>
      <c r="T144" s="353"/>
      <c r="U144" s="353"/>
      <c r="V144" s="353"/>
      <c r="W144" s="353"/>
      <c r="X144" s="353"/>
      <c r="Y144" s="353"/>
    </row>
    <row r="145" spans="2:25" s="312" customFormat="1" ht="16" thickBot="1" x14ac:dyDescent="0.4">
      <c r="B145" s="1122" t="s">
        <v>108</v>
      </c>
      <c r="C145" s="1228" t="s">
        <v>109</v>
      </c>
      <c r="D145" s="1123" t="s">
        <v>50</v>
      </c>
      <c r="E145" s="1124" t="s">
        <v>51</v>
      </c>
      <c r="F145" s="1124" t="s">
        <v>52</v>
      </c>
      <c r="G145" s="1124" t="s">
        <v>53</v>
      </c>
      <c r="H145" s="1124" t="s">
        <v>54</v>
      </c>
      <c r="I145" s="1124" t="s">
        <v>55</v>
      </c>
      <c r="J145" s="1125" t="s">
        <v>56</v>
      </c>
      <c r="K145" s="333"/>
      <c r="L145" s="334"/>
      <c r="O145" s="353"/>
      <c r="P145" s="353"/>
      <c r="Q145" s="353"/>
      <c r="R145" s="353"/>
      <c r="S145" s="353"/>
      <c r="T145" s="353"/>
      <c r="U145" s="353"/>
      <c r="V145" s="353"/>
      <c r="W145" s="353"/>
      <c r="X145" s="353"/>
      <c r="Y145" s="353"/>
    </row>
    <row r="146" spans="2:25" s="312" customFormat="1" ht="51.75" customHeight="1" thickBot="1" x14ac:dyDescent="0.4">
      <c r="B146" s="1122" t="s">
        <v>110</v>
      </c>
      <c r="C146" s="1229" t="s">
        <v>111</v>
      </c>
      <c r="D146" s="1126">
        <f ca="1">INDEX(D$190:D$242, MATCH($C146, $C$190:$C$242, 0))</f>
        <v>299.99999999999977</v>
      </c>
      <c r="E146" s="1127">
        <f ca="1">INDEX(E$190:E$241, MATCH($C146, $C$190:$C$242, 0))</f>
        <v>299.99999999999977</v>
      </c>
      <c r="F146" s="1127">
        <f t="shared" ref="F146:J148" ca="1" si="0">INDEX(F$190:F$242, MATCH($C146, $C$190:$C$242, 0))</f>
        <v>300.00000000000006</v>
      </c>
      <c r="G146" s="1127">
        <f t="shared" ca="1" si="0"/>
        <v>300.00000000000017</v>
      </c>
      <c r="H146" s="1127">
        <f t="shared" ca="1" si="0"/>
        <v>299.99999999999983</v>
      </c>
      <c r="I146" s="1127">
        <f t="shared" ca="1" si="0"/>
        <v>300.00000000000006</v>
      </c>
      <c r="J146" s="1128">
        <f t="shared" ca="1" si="0"/>
        <v>299.99999999999915</v>
      </c>
      <c r="K146" s="333"/>
      <c r="L146" s="1233"/>
      <c r="O146" s="353"/>
      <c r="P146" s="353"/>
      <c r="Q146" s="353"/>
      <c r="R146" s="353"/>
      <c r="S146" s="353"/>
      <c r="T146" s="353"/>
      <c r="U146" s="353"/>
      <c r="V146" s="353"/>
      <c r="W146" s="353"/>
      <c r="X146" s="353"/>
      <c r="Y146" s="353"/>
    </row>
    <row r="147" spans="2:25" s="312" customFormat="1" ht="48.75" customHeight="1" thickBot="1" x14ac:dyDescent="0.4">
      <c r="B147" s="1122" t="s">
        <v>112</v>
      </c>
      <c r="C147" s="1229" t="s">
        <v>113</v>
      </c>
      <c r="D147" s="1126">
        <f ca="1">INDEX(D$190:D$242, MATCH($C147, $C$190:$C$242, 0))</f>
        <v>120</v>
      </c>
      <c r="E147" s="1127">
        <f ca="1">INDEX(E$190:E$241, MATCH($C147, $C$190:$C$242, 0))</f>
        <v>120</v>
      </c>
      <c r="F147" s="1127">
        <f t="shared" ca="1" si="0"/>
        <v>108.28682636679949</v>
      </c>
      <c r="G147" s="1127">
        <f t="shared" ca="1" si="0"/>
        <v>93.859128158890144</v>
      </c>
      <c r="H147" s="1127">
        <f t="shared" ca="1" si="0"/>
        <v>77.09682591912636</v>
      </c>
      <c r="I147" s="1127">
        <f t="shared" ca="1" si="0"/>
        <v>56.979291521262034</v>
      </c>
      <c r="J147" s="1128">
        <f t="shared" ca="1" si="0"/>
        <v>30.309835647059309</v>
      </c>
      <c r="K147" s="333"/>
      <c r="L147" s="334"/>
      <c r="O147" s="353"/>
      <c r="P147" s="353"/>
      <c r="Q147" s="353"/>
      <c r="R147" s="353"/>
      <c r="S147" s="353"/>
      <c r="T147" s="353"/>
      <c r="U147" s="353"/>
      <c r="V147" s="353"/>
      <c r="W147" s="353"/>
      <c r="X147" s="353"/>
      <c r="Y147" s="353"/>
    </row>
    <row r="148" spans="2:25" s="312" customFormat="1" ht="48" customHeight="1" thickBot="1" x14ac:dyDescent="0.4">
      <c r="B148" s="1122" t="s">
        <v>114</v>
      </c>
      <c r="C148" s="1229" t="s">
        <v>115</v>
      </c>
      <c r="D148" s="1129">
        <f ca="1">INDEX(D$190:D$242, MATCH($C148, $C$190:$C$242, 0))</f>
        <v>79.019206028106339</v>
      </c>
      <c r="E148" s="1130">
        <f ca="1">INDEX(E$190:E$241, MATCH($C148, $C$190:$C$242, 0))</f>
        <v>79.019206028106339</v>
      </c>
      <c r="F148" s="1130">
        <f t="shared" ca="1" si="0"/>
        <v>79.84681680321539</v>
      </c>
      <c r="G148" s="1130">
        <f t="shared" ca="1" si="0"/>
        <v>81.178555098647692</v>
      </c>
      <c r="H148" s="1130">
        <f t="shared" ca="1" si="0"/>
        <v>83.3513627330384</v>
      </c>
      <c r="I148" s="1130">
        <f t="shared" ca="1" si="0"/>
        <v>87.840108728018407</v>
      </c>
      <c r="J148" s="1131">
        <f t="shared" ca="1" si="0"/>
        <v>102.92481124890611</v>
      </c>
      <c r="K148" s="333"/>
      <c r="L148" s="334"/>
      <c r="O148" s="353"/>
      <c r="P148" s="353"/>
      <c r="Q148" s="353"/>
      <c r="R148" s="353"/>
      <c r="S148" s="353"/>
      <c r="T148" s="353"/>
      <c r="U148" s="353"/>
      <c r="V148" s="353"/>
      <c r="W148" s="353"/>
      <c r="X148" s="353"/>
      <c r="Y148" s="353"/>
    </row>
    <row r="149" spans="2:25" s="312" customFormat="1" outlineLevel="2" x14ac:dyDescent="0.35">
      <c r="B149" s="1234"/>
      <c r="C149" s="333"/>
      <c r="D149" s="333"/>
      <c r="E149" s="333"/>
      <c r="F149" s="333"/>
      <c r="G149" s="333"/>
      <c r="H149" s="333"/>
      <c r="I149" s="333"/>
      <c r="J149" s="333"/>
      <c r="K149" s="333"/>
      <c r="L149" s="334"/>
      <c r="O149" s="353"/>
      <c r="P149" s="353"/>
      <c r="Q149" s="353"/>
      <c r="R149" s="353"/>
      <c r="S149" s="353"/>
      <c r="T149" s="353"/>
      <c r="U149" s="353"/>
      <c r="V149" s="353"/>
      <c r="W149" s="353"/>
      <c r="X149" s="353"/>
      <c r="Y149" s="353"/>
    </row>
    <row r="150" spans="2:25" s="312" customFormat="1" outlineLevel="2" x14ac:dyDescent="0.35">
      <c r="B150" s="1234"/>
      <c r="C150" s="333"/>
      <c r="D150" s="333"/>
      <c r="E150" s="333"/>
      <c r="F150" s="333"/>
      <c r="G150" s="333"/>
      <c r="H150" s="333"/>
      <c r="I150" s="333"/>
      <c r="J150" s="333"/>
      <c r="K150" s="333"/>
      <c r="L150" s="334"/>
      <c r="O150" s="353"/>
      <c r="P150" s="353"/>
      <c r="Q150" s="353"/>
      <c r="R150" s="353"/>
      <c r="S150" s="353"/>
      <c r="T150" s="353"/>
      <c r="U150" s="353"/>
      <c r="V150" s="353"/>
      <c r="W150" s="353"/>
      <c r="X150" s="353"/>
      <c r="Y150" s="353"/>
    </row>
    <row r="151" spans="2:25" s="312" customFormat="1" outlineLevel="2" x14ac:dyDescent="0.35">
      <c r="B151" s="1234"/>
      <c r="C151" s="333"/>
      <c r="D151" s="333"/>
      <c r="E151" s="333"/>
      <c r="F151" s="333"/>
      <c r="G151" s="333"/>
      <c r="H151" s="333"/>
      <c r="I151" s="333"/>
      <c r="J151" s="333"/>
      <c r="K151" s="333"/>
      <c r="L151" s="334"/>
      <c r="O151" s="353"/>
      <c r="P151" s="353"/>
      <c r="Q151" s="353"/>
      <c r="R151" s="353"/>
      <c r="S151" s="353"/>
      <c r="T151" s="353"/>
      <c r="U151" s="353"/>
      <c r="V151" s="353"/>
      <c r="W151" s="353"/>
      <c r="X151" s="353"/>
      <c r="Y151" s="353"/>
    </row>
    <row r="152" spans="2:25" s="312" customFormat="1" outlineLevel="2" x14ac:dyDescent="0.35">
      <c r="B152" s="1234"/>
      <c r="C152" s="333"/>
      <c r="D152" s="333"/>
      <c r="E152" s="333"/>
      <c r="F152" s="333"/>
      <c r="G152" s="333"/>
      <c r="H152" s="333"/>
      <c r="I152" s="333"/>
      <c r="J152" s="333"/>
      <c r="K152" s="333"/>
      <c r="L152" s="334"/>
      <c r="O152" s="353"/>
      <c r="P152" s="353"/>
      <c r="Q152" s="353"/>
      <c r="R152" s="353"/>
      <c r="S152" s="353"/>
      <c r="T152" s="353"/>
      <c r="U152" s="353"/>
      <c r="V152" s="353"/>
      <c r="W152" s="353"/>
      <c r="X152" s="353"/>
      <c r="Y152" s="353"/>
    </row>
    <row r="153" spans="2:25" s="312" customFormat="1" outlineLevel="2" x14ac:dyDescent="0.35">
      <c r="B153" s="1234"/>
      <c r="C153" s="333"/>
      <c r="D153" s="333"/>
      <c r="E153" s="333"/>
      <c r="F153" s="333"/>
      <c r="G153" s="333"/>
      <c r="H153" s="333"/>
      <c r="I153" s="333"/>
      <c r="J153" s="333"/>
      <c r="K153" s="333"/>
      <c r="L153" s="334"/>
      <c r="O153" s="353"/>
      <c r="P153" s="353"/>
      <c r="Q153" s="353"/>
      <c r="R153" s="353"/>
      <c r="S153" s="353"/>
      <c r="T153" s="353"/>
      <c r="U153" s="353"/>
      <c r="V153" s="353"/>
      <c r="W153" s="353"/>
      <c r="X153" s="353"/>
      <c r="Y153" s="353"/>
    </row>
    <row r="154" spans="2:25" s="312" customFormat="1" outlineLevel="2" x14ac:dyDescent="0.35">
      <c r="B154" s="1234"/>
      <c r="C154" s="333"/>
      <c r="D154" s="333"/>
      <c r="E154" s="333"/>
      <c r="F154" s="333"/>
      <c r="G154" s="333"/>
      <c r="H154" s="333"/>
      <c r="I154" s="333"/>
      <c r="J154" s="333"/>
      <c r="K154" s="333"/>
      <c r="L154" s="334"/>
      <c r="O154" s="353"/>
      <c r="P154" s="353"/>
      <c r="Q154" s="353"/>
      <c r="R154" s="353"/>
      <c r="S154" s="353"/>
      <c r="T154" s="353"/>
      <c r="U154" s="353"/>
      <c r="V154" s="353"/>
      <c r="W154" s="353"/>
      <c r="X154" s="353"/>
      <c r="Y154" s="353"/>
    </row>
    <row r="155" spans="2:25" s="312" customFormat="1" outlineLevel="2" x14ac:dyDescent="0.35">
      <c r="B155" s="1234"/>
      <c r="C155" s="333"/>
      <c r="D155" s="333"/>
      <c r="E155" s="333"/>
      <c r="F155" s="333"/>
      <c r="G155" s="333"/>
      <c r="H155" s="333"/>
      <c r="I155" s="333"/>
      <c r="J155" s="333"/>
      <c r="K155" s="333"/>
      <c r="L155" s="334"/>
      <c r="O155" s="353"/>
      <c r="P155" s="353"/>
      <c r="Q155" s="353"/>
      <c r="R155" s="353"/>
      <c r="S155" s="353"/>
      <c r="T155" s="353"/>
      <c r="U155" s="353"/>
      <c r="V155" s="353"/>
      <c r="W155" s="353"/>
      <c r="X155" s="353"/>
      <c r="Y155" s="353"/>
    </row>
    <row r="156" spans="2:25" s="312" customFormat="1" outlineLevel="2" x14ac:dyDescent="0.35">
      <c r="B156" s="1234"/>
      <c r="C156" s="333"/>
      <c r="D156" s="333"/>
      <c r="E156" s="333"/>
      <c r="F156" s="333"/>
      <c r="G156" s="333"/>
      <c r="H156" s="333"/>
      <c r="I156" s="333"/>
      <c r="J156" s="333"/>
      <c r="K156" s="333"/>
      <c r="L156" s="334"/>
      <c r="O156" s="353"/>
      <c r="P156" s="353"/>
      <c r="Q156" s="353"/>
      <c r="R156" s="353"/>
      <c r="S156" s="353"/>
      <c r="T156" s="353"/>
      <c r="U156" s="353"/>
      <c r="V156" s="353"/>
      <c r="W156" s="353"/>
      <c r="X156" s="353"/>
      <c r="Y156" s="353"/>
    </row>
    <row r="157" spans="2:25" s="312" customFormat="1" outlineLevel="2" x14ac:dyDescent="0.35">
      <c r="B157" s="1234"/>
      <c r="C157" s="333"/>
      <c r="D157" s="333"/>
      <c r="E157" s="333"/>
      <c r="F157" s="333"/>
      <c r="G157" s="333"/>
      <c r="H157" s="333"/>
      <c r="I157" s="333"/>
      <c r="J157" s="333"/>
      <c r="K157" s="333"/>
      <c r="L157" s="334"/>
      <c r="O157" s="353"/>
      <c r="P157" s="353"/>
      <c r="Q157" s="353"/>
      <c r="R157" s="353"/>
      <c r="S157" s="353"/>
      <c r="T157" s="353"/>
      <c r="U157" s="353"/>
      <c r="V157" s="353"/>
      <c r="W157" s="353"/>
      <c r="X157" s="353"/>
      <c r="Y157" s="353"/>
    </row>
    <row r="158" spans="2:25" s="312" customFormat="1" outlineLevel="2" x14ac:dyDescent="0.35">
      <c r="B158" s="1234"/>
      <c r="C158" s="333"/>
      <c r="D158" s="333"/>
      <c r="E158" s="333"/>
      <c r="F158" s="333"/>
      <c r="G158" s="333"/>
      <c r="H158" s="333"/>
      <c r="I158" s="333"/>
      <c r="J158" s="333"/>
      <c r="K158" s="333"/>
      <c r="L158" s="334"/>
      <c r="O158" s="353"/>
      <c r="P158" s="353"/>
      <c r="Q158" s="353"/>
      <c r="R158" s="353"/>
      <c r="S158" s="353"/>
      <c r="T158" s="353"/>
      <c r="U158" s="353"/>
      <c r="V158" s="353"/>
      <c r="W158" s="353"/>
      <c r="X158" s="353"/>
      <c r="Y158" s="353"/>
    </row>
    <row r="159" spans="2:25" s="312" customFormat="1" outlineLevel="2" x14ac:dyDescent="0.35">
      <c r="B159" s="1234"/>
      <c r="C159" s="333"/>
      <c r="D159" s="333"/>
      <c r="E159" s="333"/>
      <c r="F159" s="333"/>
      <c r="G159" s="333"/>
      <c r="H159" s="333"/>
      <c r="I159" s="333"/>
      <c r="J159" s="333"/>
      <c r="K159" s="333"/>
      <c r="L159" s="334"/>
      <c r="O159" s="353"/>
      <c r="P159" s="353"/>
      <c r="Q159" s="353"/>
      <c r="R159" s="353"/>
      <c r="S159" s="353"/>
      <c r="T159" s="353"/>
      <c r="U159" s="353"/>
      <c r="V159" s="353"/>
      <c r="W159" s="353"/>
      <c r="X159" s="353"/>
      <c r="Y159" s="353"/>
    </row>
    <row r="160" spans="2:25" s="312" customFormat="1" outlineLevel="2" x14ac:dyDescent="0.35">
      <c r="B160" s="1234"/>
      <c r="C160" s="333"/>
      <c r="D160" s="333"/>
      <c r="E160" s="333"/>
      <c r="F160" s="333"/>
      <c r="G160" s="333"/>
      <c r="H160" s="333"/>
      <c r="I160" s="333"/>
      <c r="J160" s="333"/>
      <c r="K160" s="333"/>
      <c r="L160" s="334"/>
      <c r="O160" s="353"/>
      <c r="P160" s="353"/>
      <c r="Q160" s="353"/>
      <c r="R160" s="353"/>
      <c r="S160" s="353"/>
      <c r="T160" s="353"/>
      <c r="U160" s="353"/>
      <c r="V160" s="353"/>
      <c r="W160" s="353"/>
      <c r="X160" s="353"/>
      <c r="Y160" s="353"/>
    </row>
    <row r="161" spans="1:31" s="312" customFormat="1" outlineLevel="2" x14ac:dyDescent="0.35">
      <c r="B161" s="1234"/>
      <c r="C161" s="333"/>
      <c r="D161" s="333"/>
      <c r="E161" s="333"/>
      <c r="F161" s="333"/>
      <c r="G161" s="333"/>
      <c r="H161" s="333"/>
      <c r="I161" s="333"/>
      <c r="J161" s="333"/>
      <c r="K161" s="333"/>
      <c r="L161" s="334"/>
      <c r="O161" s="353"/>
      <c r="P161" s="353"/>
      <c r="Q161" s="353"/>
      <c r="R161" s="353"/>
      <c r="S161" s="353"/>
      <c r="T161" s="353"/>
      <c r="U161" s="353"/>
      <c r="V161" s="353"/>
      <c r="W161" s="353"/>
      <c r="X161" s="353"/>
      <c r="Y161" s="353"/>
    </row>
    <row r="162" spans="1:31" s="312" customFormat="1" outlineLevel="2" x14ac:dyDescent="0.35">
      <c r="B162" s="1234"/>
      <c r="C162" s="333"/>
      <c r="D162" s="333"/>
      <c r="E162" s="333"/>
      <c r="F162" s="333"/>
      <c r="G162" s="333"/>
      <c r="H162" s="333"/>
      <c r="I162" s="333"/>
      <c r="J162" s="333"/>
      <c r="K162" s="333"/>
      <c r="L162" s="334"/>
      <c r="O162" s="353"/>
      <c r="P162" s="353"/>
      <c r="Q162" s="353"/>
      <c r="R162" s="353"/>
      <c r="S162" s="353"/>
      <c r="T162" s="353"/>
      <c r="U162" s="353"/>
      <c r="V162" s="353"/>
      <c r="W162" s="353"/>
      <c r="X162" s="353"/>
      <c r="Y162" s="353"/>
    </row>
    <row r="163" spans="1:31" s="312" customFormat="1" outlineLevel="2" x14ac:dyDescent="0.35">
      <c r="B163" s="1234"/>
      <c r="C163" s="333"/>
      <c r="D163" s="333"/>
      <c r="E163" s="333"/>
      <c r="F163" s="333"/>
      <c r="G163" s="333"/>
      <c r="H163" s="333"/>
      <c r="I163" s="333"/>
      <c r="J163" s="333"/>
      <c r="K163" s="333"/>
      <c r="L163" s="334"/>
      <c r="O163" s="353"/>
      <c r="P163" s="353"/>
      <c r="Q163" s="353"/>
      <c r="R163" s="353"/>
      <c r="S163" s="353"/>
      <c r="T163" s="353"/>
      <c r="U163" s="353"/>
      <c r="V163" s="353"/>
      <c r="W163" s="353"/>
      <c r="X163" s="353"/>
      <c r="Y163" s="353"/>
    </row>
    <row r="164" spans="1:31" s="312" customFormat="1" outlineLevel="2" x14ac:dyDescent="0.35">
      <c r="B164" s="1234"/>
      <c r="C164" s="333"/>
      <c r="D164" s="333"/>
      <c r="E164" s="333"/>
      <c r="F164" s="333"/>
      <c r="G164" s="333"/>
      <c r="H164" s="333"/>
      <c r="I164" s="333"/>
      <c r="J164" s="333"/>
      <c r="K164" s="333"/>
      <c r="L164" s="334"/>
      <c r="O164" s="353"/>
      <c r="P164" s="353"/>
      <c r="Q164" s="353"/>
      <c r="R164" s="353"/>
      <c r="S164" s="353"/>
      <c r="T164" s="353"/>
      <c r="U164" s="353"/>
      <c r="V164" s="353"/>
      <c r="W164" s="353"/>
      <c r="X164" s="353"/>
      <c r="Y164" s="353"/>
    </row>
    <row r="165" spans="1:31" s="312" customFormat="1" outlineLevel="2" x14ac:dyDescent="0.35">
      <c r="B165" s="1234"/>
      <c r="C165" s="333"/>
      <c r="D165" s="333"/>
      <c r="E165" s="333"/>
      <c r="F165" s="333"/>
      <c r="G165" s="333"/>
      <c r="H165" s="333"/>
      <c r="I165" s="333"/>
      <c r="J165" s="333"/>
      <c r="K165" s="333"/>
      <c r="L165" s="334"/>
      <c r="O165" s="353"/>
      <c r="P165" s="353"/>
      <c r="Q165" s="353"/>
      <c r="R165" s="353"/>
      <c r="S165" s="353"/>
      <c r="T165" s="353"/>
      <c r="U165" s="353"/>
      <c r="V165" s="353"/>
      <c r="W165" s="353"/>
      <c r="X165" s="353"/>
      <c r="Y165" s="353"/>
    </row>
    <row r="166" spans="1:31" s="312" customFormat="1" outlineLevel="2" x14ac:dyDescent="0.35">
      <c r="B166" s="1234"/>
      <c r="C166" s="333"/>
      <c r="D166" s="333"/>
      <c r="E166" s="333"/>
      <c r="F166" s="333"/>
      <c r="G166" s="333"/>
      <c r="H166" s="333"/>
      <c r="I166" s="333"/>
      <c r="J166" s="333"/>
      <c r="K166" s="333"/>
      <c r="L166" s="334"/>
      <c r="O166" s="353"/>
      <c r="P166" s="353"/>
      <c r="Q166" s="353"/>
      <c r="R166" s="353"/>
      <c r="S166" s="353"/>
      <c r="T166" s="353"/>
      <c r="U166" s="353"/>
      <c r="V166" s="353"/>
      <c r="W166" s="353"/>
      <c r="X166" s="353"/>
      <c r="Y166" s="353"/>
      <c r="Z166" s="353"/>
    </row>
    <row r="167" spans="1:31" s="312" customFormat="1" outlineLevel="2" x14ac:dyDescent="0.35">
      <c r="B167" s="1234"/>
      <c r="C167" s="333"/>
      <c r="D167" s="333"/>
      <c r="E167" s="333"/>
      <c r="F167" s="333"/>
      <c r="G167" s="333"/>
      <c r="H167" s="333"/>
      <c r="I167" s="333"/>
      <c r="J167" s="333"/>
      <c r="K167" s="333"/>
      <c r="L167" s="334"/>
      <c r="O167" s="353"/>
      <c r="P167" s="353"/>
      <c r="Q167" s="353"/>
      <c r="R167" s="353"/>
      <c r="S167" s="353"/>
      <c r="T167" s="353"/>
      <c r="U167" s="353"/>
      <c r="V167" s="353"/>
      <c r="W167" s="353"/>
      <c r="X167" s="353"/>
      <c r="Y167" s="353"/>
      <c r="Z167" s="353"/>
      <c r="AA167" s="7"/>
      <c r="AB167" s="7"/>
      <c r="AC167" s="7"/>
      <c r="AD167" s="7"/>
      <c r="AE167" s="7"/>
    </row>
    <row r="168" spans="1:31" outlineLevel="2" x14ac:dyDescent="0.35">
      <c r="A168" s="7"/>
      <c r="B168" s="309"/>
      <c r="C168" s="299"/>
      <c r="D168" s="299"/>
      <c r="E168" s="299"/>
      <c r="F168" s="299"/>
      <c r="G168" s="299"/>
      <c r="H168" s="299"/>
      <c r="I168" s="299"/>
      <c r="J168" s="299"/>
      <c r="K168" s="299"/>
      <c r="L168" s="297"/>
      <c r="O168" s="353"/>
      <c r="P168" s="353"/>
      <c r="Q168" s="353"/>
      <c r="R168" s="353"/>
      <c r="S168" s="353"/>
      <c r="T168" s="353"/>
      <c r="U168" s="353"/>
      <c r="V168" s="353"/>
      <c r="W168" s="353"/>
      <c r="X168" s="353"/>
      <c r="Y168" s="353"/>
      <c r="Z168" s="353"/>
    </row>
    <row r="169" spans="1:31" outlineLevel="2" x14ac:dyDescent="0.35">
      <c r="A169" s="353"/>
      <c r="B169" s="309"/>
      <c r="C169" s="299"/>
      <c r="D169" s="299"/>
      <c r="E169" s="299"/>
      <c r="F169" s="299"/>
      <c r="G169" s="299"/>
      <c r="H169" s="299"/>
      <c r="I169" s="299"/>
      <c r="J169" s="299"/>
      <c r="K169" s="299"/>
      <c r="L169" s="297"/>
      <c r="O169" s="353"/>
      <c r="P169" s="353"/>
      <c r="Q169" s="353"/>
      <c r="R169" s="353"/>
      <c r="S169" s="353"/>
      <c r="T169" s="353"/>
      <c r="U169" s="353"/>
      <c r="V169" s="353"/>
      <c r="W169" s="353"/>
      <c r="X169" s="353"/>
      <c r="Y169" s="353"/>
      <c r="Z169" s="353"/>
    </row>
    <row r="170" spans="1:31" outlineLevel="2" x14ac:dyDescent="0.35">
      <c r="A170" s="353"/>
      <c r="B170" s="309"/>
      <c r="C170" s="299"/>
      <c r="D170" s="299"/>
      <c r="E170" s="299"/>
      <c r="F170" s="299"/>
      <c r="G170" s="299"/>
      <c r="H170" s="299"/>
      <c r="I170" s="299"/>
      <c r="J170" s="299"/>
      <c r="K170" s="299"/>
      <c r="L170" s="297"/>
      <c r="O170" s="353"/>
      <c r="P170" s="353"/>
      <c r="Q170" s="353"/>
      <c r="R170" s="353"/>
      <c r="S170" s="353"/>
      <c r="T170" s="353"/>
      <c r="U170" s="353"/>
      <c r="V170" s="353"/>
      <c r="W170" s="353"/>
      <c r="X170" s="353"/>
      <c r="Y170" s="353"/>
      <c r="Z170" s="353"/>
    </row>
    <row r="171" spans="1:31" outlineLevel="2" x14ac:dyDescent="0.35">
      <c r="A171" s="353"/>
      <c r="B171" s="309"/>
      <c r="C171" s="299"/>
      <c r="D171" s="299"/>
      <c r="E171" s="299"/>
      <c r="F171" s="299"/>
      <c r="G171" s="299"/>
      <c r="H171" s="299"/>
      <c r="I171" s="299"/>
      <c r="J171" s="299"/>
      <c r="K171" s="299"/>
      <c r="L171" s="297"/>
      <c r="O171" s="353"/>
      <c r="P171" s="353"/>
      <c r="Q171" s="353"/>
      <c r="R171" s="353"/>
      <c r="S171" s="353"/>
      <c r="T171" s="353"/>
      <c r="U171" s="353"/>
      <c r="V171" s="353"/>
      <c r="W171" s="353"/>
      <c r="X171" s="353"/>
      <c r="Y171" s="353"/>
      <c r="Z171" s="353"/>
    </row>
    <row r="172" spans="1:31" outlineLevel="2" x14ac:dyDescent="0.35">
      <c r="A172" s="353"/>
      <c r="B172" s="309"/>
      <c r="C172" s="299"/>
      <c r="D172" s="299"/>
      <c r="E172" s="299"/>
      <c r="F172" s="299"/>
      <c r="G172" s="299"/>
      <c r="H172" s="299"/>
      <c r="I172" s="299"/>
      <c r="J172" s="299"/>
      <c r="K172" s="299"/>
      <c r="L172" s="297"/>
      <c r="O172" s="353"/>
      <c r="P172" s="353"/>
      <c r="Q172" s="353"/>
      <c r="R172" s="353"/>
      <c r="S172" s="353"/>
      <c r="T172" s="353"/>
      <c r="U172" s="353"/>
      <c r="V172" s="353"/>
      <c r="W172" s="353"/>
      <c r="X172" s="353"/>
      <c r="Y172" s="353"/>
      <c r="Z172" s="353"/>
    </row>
    <row r="173" spans="1:31" outlineLevel="2" x14ac:dyDescent="0.35">
      <c r="A173" s="353"/>
      <c r="B173" s="309"/>
      <c r="C173" s="299"/>
      <c r="D173" s="299"/>
      <c r="E173" s="299"/>
      <c r="F173" s="299"/>
      <c r="G173" s="299"/>
      <c r="H173" s="299"/>
      <c r="I173" s="299"/>
      <c r="J173" s="299"/>
      <c r="K173" s="299"/>
      <c r="L173" s="297"/>
      <c r="O173" s="353"/>
      <c r="P173" s="353"/>
      <c r="Q173" s="353"/>
      <c r="R173" s="353"/>
      <c r="S173" s="353"/>
      <c r="T173" s="353"/>
      <c r="U173" s="353"/>
      <c r="V173" s="353"/>
      <c r="W173" s="353"/>
      <c r="X173" s="353"/>
      <c r="Y173" s="353"/>
      <c r="Z173" s="353"/>
    </row>
    <row r="174" spans="1:31" outlineLevel="2" x14ac:dyDescent="0.35">
      <c r="A174" s="353"/>
      <c r="B174" s="309"/>
      <c r="C174" s="310"/>
      <c r="D174" s="311"/>
      <c r="E174" s="311"/>
      <c r="F174" s="299"/>
      <c r="G174" s="299"/>
      <c r="H174" s="299"/>
      <c r="I174" s="299"/>
      <c r="J174" s="299"/>
      <c r="K174" s="299"/>
      <c r="L174" s="297"/>
      <c r="O174" s="353"/>
      <c r="P174" s="353"/>
      <c r="Q174" s="353"/>
      <c r="R174" s="353"/>
      <c r="S174" s="353"/>
      <c r="T174" s="353"/>
      <c r="U174" s="353"/>
      <c r="V174" s="353"/>
      <c r="W174" s="353"/>
      <c r="X174" s="353"/>
      <c r="Y174" s="353"/>
    </row>
    <row r="175" spans="1:31" outlineLevel="2" x14ac:dyDescent="0.35">
      <c r="A175" s="353"/>
      <c r="B175" s="309"/>
      <c r="C175" s="310"/>
      <c r="D175" s="311"/>
      <c r="E175" s="311"/>
      <c r="F175" s="299"/>
      <c r="G175" s="299"/>
      <c r="H175" s="299"/>
      <c r="I175" s="299"/>
      <c r="J175" s="299"/>
      <c r="K175" s="299"/>
      <c r="L175" s="297"/>
      <c r="O175" s="353"/>
      <c r="P175" s="353"/>
      <c r="Q175" s="353"/>
      <c r="R175" s="353"/>
      <c r="S175" s="353"/>
      <c r="T175" s="353"/>
      <c r="U175" s="353"/>
      <c r="V175" s="353"/>
      <c r="W175" s="353"/>
      <c r="X175" s="353"/>
      <c r="Y175" s="353"/>
    </row>
    <row r="176" spans="1:31" outlineLevel="2" x14ac:dyDescent="0.35">
      <c r="A176" s="353"/>
      <c r="B176" s="309"/>
      <c r="C176" s="310"/>
      <c r="D176" s="311"/>
      <c r="E176" s="311"/>
      <c r="F176" s="299"/>
      <c r="G176" s="299"/>
      <c r="H176" s="299"/>
      <c r="I176" s="299"/>
      <c r="J176" s="299"/>
      <c r="K176" s="299"/>
      <c r="L176" s="297"/>
      <c r="O176" s="353"/>
      <c r="P176" s="353"/>
      <c r="Q176" s="353"/>
      <c r="R176" s="353"/>
      <c r="S176" s="353"/>
      <c r="T176" s="353"/>
      <c r="U176" s="353"/>
      <c r="V176" s="353"/>
      <c r="W176" s="353"/>
      <c r="X176" s="353"/>
      <c r="Y176" s="353"/>
    </row>
    <row r="177" spans="1:28" outlineLevel="2" x14ac:dyDescent="0.35">
      <c r="A177" s="353"/>
      <c r="B177" s="309"/>
      <c r="C177" s="310"/>
      <c r="D177" s="311"/>
      <c r="E177" s="311"/>
      <c r="F177" s="299"/>
      <c r="G177" s="299"/>
      <c r="H177" s="299"/>
      <c r="I177" s="299"/>
      <c r="J177" s="299"/>
      <c r="K177" s="299"/>
      <c r="L177" s="297"/>
      <c r="O177" s="353"/>
      <c r="P177" s="353"/>
      <c r="Q177" s="353"/>
      <c r="R177" s="353"/>
      <c r="S177" s="353"/>
      <c r="T177" s="353"/>
      <c r="U177" s="353"/>
      <c r="V177" s="353"/>
      <c r="W177" s="353"/>
      <c r="X177" s="353"/>
      <c r="Y177" s="353"/>
    </row>
    <row r="178" spans="1:28" outlineLevel="2" x14ac:dyDescent="0.35">
      <c r="A178" s="353"/>
      <c r="B178" s="309"/>
      <c r="C178" s="310"/>
      <c r="D178" s="311"/>
      <c r="E178" s="311"/>
      <c r="F178" s="299"/>
      <c r="G178" s="299"/>
      <c r="H178" s="299"/>
      <c r="I178" s="299"/>
      <c r="J178" s="299"/>
      <c r="K178" s="299"/>
      <c r="L178" s="297"/>
      <c r="O178" s="353"/>
      <c r="P178" s="353"/>
      <c r="Q178" s="353"/>
      <c r="R178" s="353"/>
      <c r="S178" s="353"/>
      <c r="T178" s="353"/>
      <c r="U178" s="353"/>
      <c r="V178" s="353"/>
      <c r="W178" s="353"/>
      <c r="X178" s="353"/>
      <c r="Y178" s="353"/>
    </row>
    <row r="179" spans="1:28" outlineLevel="2" x14ac:dyDescent="0.35">
      <c r="A179" s="353"/>
      <c r="B179" s="309"/>
      <c r="C179" s="310"/>
      <c r="D179" s="311"/>
      <c r="E179" s="311"/>
      <c r="F179" s="299"/>
      <c r="G179" s="299"/>
      <c r="H179" s="299"/>
      <c r="I179" s="299"/>
      <c r="J179" s="299"/>
      <c r="K179" s="299"/>
      <c r="L179" s="297"/>
      <c r="O179" s="353"/>
      <c r="P179" s="353"/>
      <c r="Q179" s="328"/>
      <c r="R179" s="353"/>
      <c r="S179" s="353"/>
      <c r="T179" s="353"/>
      <c r="U179" s="353"/>
      <c r="V179" s="353"/>
      <c r="W179" s="353"/>
      <c r="X179" s="353"/>
      <c r="Y179" s="353"/>
    </row>
    <row r="180" spans="1:28" outlineLevel="2" x14ac:dyDescent="0.35">
      <c r="A180" s="353"/>
      <c r="B180" s="309"/>
      <c r="C180" s="310"/>
      <c r="D180" s="311"/>
      <c r="E180" s="311"/>
      <c r="F180" s="299"/>
      <c r="G180" s="299"/>
      <c r="H180" s="299"/>
      <c r="I180" s="299"/>
      <c r="J180" s="299"/>
      <c r="K180" s="299"/>
      <c r="L180" s="297"/>
      <c r="O180" s="353"/>
      <c r="P180" s="353"/>
      <c r="Q180" s="353"/>
      <c r="R180" s="353"/>
      <c r="S180" s="353"/>
      <c r="T180" s="353"/>
      <c r="U180" s="353"/>
      <c r="V180" s="353"/>
      <c r="W180" s="353"/>
      <c r="X180" s="353"/>
      <c r="Y180" s="353"/>
    </row>
    <row r="181" spans="1:28" outlineLevel="2" x14ac:dyDescent="0.35">
      <c r="A181" s="353"/>
      <c r="B181" s="309"/>
      <c r="C181" s="310"/>
      <c r="D181" s="311"/>
      <c r="E181" s="311"/>
      <c r="F181" s="299"/>
      <c r="G181" s="299"/>
      <c r="H181" s="299"/>
      <c r="I181" s="299"/>
      <c r="J181" s="299"/>
      <c r="K181" s="299"/>
      <c r="L181" s="297"/>
      <c r="O181" s="353"/>
      <c r="P181" s="353"/>
      <c r="Q181" s="353"/>
      <c r="R181" s="353"/>
      <c r="S181" s="353"/>
      <c r="T181" s="353"/>
      <c r="U181" s="353"/>
      <c r="V181" s="353"/>
      <c r="W181" s="353"/>
      <c r="X181" s="353"/>
      <c r="Y181" s="353"/>
    </row>
    <row r="182" spans="1:28" ht="16" outlineLevel="2" thickBot="1" x14ac:dyDescent="0.4">
      <c r="A182" s="353"/>
      <c r="B182" s="303"/>
      <c r="C182" s="313"/>
      <c r="D182" s="314"/>
      <c r="E182" s="314"/>
      <c r="F182" s="300"/>
      <c r="G182" s="300"/>
      <c r="H182" s="300"/>
      <c r="I182" s="300"/>
      <c r="J182" s="300"/>
      <c r="K182" s="300"/>
      <c r="L182" s="304"/>
      <c r="O182" s="353"/>
      <c r="P182" s="353"/>
      <c r="Q182" s="353"/>
      <c r="R182" s="353"/>
      <c r="S182" s="353"/>
      <c r="T182" s="353"/>
      <c r="U182" s="353"/>
      <c r="V182" s="353"/>
      <c r="W182" s="353"/>
      <c r="X182" s="353"/>
      <c r="Y182" s="353"/>
    </row>
    <row r="183" spans="1:28" outlineLevel="2" x14ac:dyDescent="0.35">
      <c r="A183" s="353"/>
      <c r="B183" s="299"/>
      <c r="C183" s="310"/>
      <c r="D183" s="311"/>
      <c r="E183" s="311"/>
      <c r="F183" s="299"/>
      <c r="G183" s="299"/>
      <c r="H183" s="299"/>
      <c r="I183" s="299"/>
      <c r="J183" s="299"/>
      <c r="K183" s="299"/>
      <c r="L183" s="299"/>
      <c r="O183" s="353"/>
      <c r="P183" s="353"/>
      <c r="Q183" s="353"/>
      <c r="R183" s="353"/>
      <c r="S183" s="353"/>
      <c r="T183" s="353"/>
      <c r="U183" s="353"/>
      <c r="V183" s="353"/>
      <c r="W183" s="353"/>
      <c r="X183" s="353"/>
      <c r="Y183" s="353"/>
    </row>
    <row r="184" spans="1:28" ht="16" outlineLevel="2" thickBot="1" x14ac:dyDescent="0.4">
      <c r="A184" s="353"/>
      <c r="B184" s="299"/>
      <c r="C184" s="310"/>
      <c r="D184" s="311"/>
      <c r="E184" s="311"/>
      <c r="F184" s="299"/>
      <c r="G184" s="299"/>
      <c r="H184" s="299"/>
      <c r="I184" s="299"/>
      <c r="J184" s="299"/>
      <c r="K184" s="299"/>
      <c r="L184" s="5"/>
      <c r="M184"/>
      <c r="N184"/>
      <c r="O184"/>
      <c r="P184"/>
      <c r="Q184" s="353"/>
      <c r="R184" s="353"/>
      <c r="S184" s="353"/>
      <c r="T184" s="353"/>
      <c r="U184" s="353"/>
      <c r="V184" s="353"/>
      <c r="W184" s="353"/>
      <c r="X184" s="353"/>
      <c r="Y184" s="353"/>
    </row>
    <row r="185" spans="1:28" ht="20" outlineLevel="2" x14ac:dyDescent="0.4">
      <c r="A185" s="353"/>
      <c r="B185" s="1" t="s">
        <v>116</v>
      </c>
      <c r="C185" s="1389"/>
      <c r="D185" s="1389"/>
      <c r="E185" s="1389"/>
      <c r="F185" s="1389"/>
      <c r="G185" s="1390"/>
      <c r="H185" s="1118" t="s">
        <v>117</v>
      </c>
      <c r="I185" s="337"/>
      <c r="J185" s="338"/>
      <c r="K185" s="737"/>
      <c r="L185"/>
      <c r="M185"/>
      <c r="N185"/>
      <c r="O185"/>
      <c r="P185"/>
      <c r="Q185"/>
      <c r="R185"/>
      <c r="S185" s="353"/>
      <c r="T185" s="353"/>
      <c r="U185" s="353"/>
      <c r="V185" s="353"/>
      <c r="W185" s="353"/>
      <c r="X185" s="353"/>
      <c r="Y185" s="353"/>
    </row>
    <row r="186" spans="1:28" ht="18.75" customHeight="1" outlineLevel="2" thickBot="1" x14ac:dyDescent="0.55000000000000004">
      <c r="A186" s="353"/>
      <c r="B186" s="1391"/>
      <c r="C186" s="1392"/>
      <c r="D186" s="1392"/>
      <c r="E186" s="1392"/>
      <c r="F186" s="1392"/>
      <c r="G186" s="1393"/>
      <c r="H186" s="1119" t="s">
        <v>118</v>
      </c>
      <c r="I186" s="339"/>
      <c r="J186" s="340"/>
      <c r="K186" s="130"/>
      <c r="L186"/>
      <c r="M186" s="35"/>
      <c r="N186"/>
      <c r="O186"/>
      <c r="P186"/>
      <c r="Q186"/>
      <c r="R186"/>
      <c r="S186" s="508"/>
      <c r="T186" s="90"/>
      <c r="U186" s="90"/>
      <c r="V186" s="353"/>
      <c r="W186" s="353"/>
      <c r="X186" s="353"/>
      <c r="Y186" s="353"/>
    </row>
    <row r="187" spans="1:28" s="353" customFormat="1" ht="16" outlineLevel="2" thickBot="1" x14ac:dyDescent="0.4">
      <c r="B187" s="1139" t="s">
        <v>119</v>
      </c>
      <c r="C187" s="1139" t="str">
        <f>E33 &amp; " Vehicle with " &amp; E13 &amp; " Electrodes"</f>
        <v>EV Vehicle with NMC811-G (Energy) Electrodes</v>
      </c>
      <c r="D187" s="1140" t="str">
        <f t="shared" ref="D187:J187" si="1">D37</f>
        <v>Battery 1</v>
      </c>
      <c r="E187" s="1140" t="str">
        <f t="shared" si="1"/>
        <v>Battery 2</v>
      </c>
      <c r="F187" s="1140" t="str">
        <f t="shared" si="1"/>
        <v>Battery 3</v>
      </c>
      <c r="G187" s="1140" t="str">
        <f t="shared" si="1"/>
        <v>Battery 4</v>
      </c>
      <c r="H187" s="1140" t="str">
        <f t="shared" si="1"/>
        <v>Battery 5</v>
      </c>
      <c r="I187" s="1140" t="str">
        <f t="shared" si="1"/>
        <v>Battery 6</v>
      </c>
      <c r="J187" s="1141" t="str">
        <f t="shared" si="1"/>
        <v>Battery 7</v>
      </c>
      <c r="S187" s="1120"/>
      <c r="T187" s="90"/>
      <c r="U187" s="1121"/>
    </row>
    <row r="188" spans="1:28" s="353" customFormat="1" outlineLevel="2" x14ac:dyDescent="0.35">
      <c r="B188" s="27"/>
      <c r="C188" s="352" t="s">
        <v>120</v>
      </c>
      <c r="D188" s="1147" t="str">
        <f ca="1">D129</f>
        <v>None</v>
      </c>
      <c r="E188" s="1147" t="str">
        <f t="shared" ref="E188:J188" ca="1" si="2">E129</f>
        <v>None</v>
      </c>
      <c r="F188" s="1147" t="str">
        <f t="shared" ca="1" si="2"/>
        <v>None</v>
      </c>
      <c r="G188" s="1147" t="str">
        <f t="shared" ca="1" si="2"/>
        <v>None</v>
      </c>
      <c r="H188" s="1147" t="str">
        <f t="shared" ca="1" si="2"/>
        <v>None</v>
      </c>
      <c r="I188" s="1147" t="str">
        <f t="shared" ca="1" si="2"/>
        <v>None</v>
      </c>
      <c r="J188" s="1147" t="str">
        <f t="shared" ca="1" si="2"/>
        <v>None</v>
      </c>
      <c r="S188" s="90"/>
      <c r="T188" s="90"/>
      <c r="U188" s="1121"/>
    </row>
    <row r="189" spans="1:28" s="353" customFormat="1" outlineLevel="2" x14ac:dyDescent="0.35">
      <c r="B189" s="27"/>
      <c r="C189" s="352" t="s">
        <v>121</v>
      </c>
      <c r="D189" s="1147" t="str">
        <f ca="1">D130</f>
        <v>None</v>
      </c>
      <c r="E189" s="1147" t="str">
        <f t="shared" ref="E189:J189" ca="1" si="3">E130</f>
        <v>None</v>
      </c>
      <c r="F189" s="1147" t="str">
        <f t="shared" ca="1" si="3"/>
        <v>None</v>
      </c>
      <c r="G189" s="1147" t="str">
        <f t="shared" ca="1" si="3"/>
        <v>None</v>
      </c>
      <c r="H189" s="1147" t="str">
        <f t="shared" ca="1" si="3"/>
        <v>None</v>
      </c>
      <c r="I189" s="1147" t="str">
        <f t="shared" ca="1" si="3"/>
        <v>12</v>
      </c>
      <c r="J189" s="1147" t="str">
        <f t="shared" ca="1" si="3"/>
        <v>12</v>
      </c>
      <c r="S189" s="90"/>
      <c r="T189" s="90"/>
      <c r="U189" s="1121"/>
    </row>
    <row r="190" spans="1:28" ht="17.149999999999999" customHeight="1" outlineLevel="2" x14ac:dyDescent="0.35">
      <c r="A190" s="353"/>
      <c r="B190" s="1192">
        <v>1</v>
      </c>
      <c r="C190" s="1193" t="str">
        <f>IFERROR(INDEX('Summary of Results'!$B:$B, MATCH(B190, 'Summary of Results'!$A:$A, 0)), NA())</f>
        <v>Battery system total energy, kWh</v>
      </c>
      <c r="D190" s="1194">
        <f ca="1">IF(IFERROR(IF($C$145 = "Absolute", INDEX('Summary of Results'!G:G, MATCH($B190, 'Summary of Results'!$A:$A, 0)), (INDEX('Summary of Results'!G:G, MATCH($B190, 'Summary of Results'!$A:$A, 0))/INDEX('Summary of Results'!$G:$G, MATCH($B190, 'Summary of Results'!$A:$A, 0)) - 1)*100), NA()) = "", "", IFERROR(IF($C$145 = "Absolute", INDEX('Summary of Results'!G:G, MATCH($B190, 'Summary of Results'!$A:$A, 0)), (INDEX('Summary of Results'!G:G, MATCH($B190, 'Summary of Results'!$A:$A, 0))/INDEX('Summary of Results'!$G:$G, MATCH($B190, 'Summary of Results'!$A:$A, 0)) - 1)*100), NA()))</f>
        <v>99.999999999999972</v>
      </c>
      <c r="E190" s="1194">
        <f ca="1">IF(IFERROR(IF($C$145 = "Absolute", INDEX('Summary of Results'!H:H, MATCH($B190, 'Summary of Results'!$A:$A, 0)), (INDEX('Summary of Results'!H:H, MATCH($B190, 'Summary of Results'!$A:$A, 0))/INDEX('Summary of Results'!$G:$G, MATCH($B190, 'Summary of Results'!$A:$A, 0)) - 1)*100), NA()) = "", "", IFERROR(IF($C$145 = "Absolute", INDEX('Summary of Results'!H:H, MATCH($B190, 'Summary of Results'!$A:$A, 0)), (INDEX('Summary of Results'!H:H, MATCH($B190, 'Summary of Results'!$A:$A, 0))/INDEX('Summary of Results'!$G:$G, MATCH($B190, 'Summary of Results'!$A:$A, 0)) - 1)*100), NA()))</f>
        <v>99.999999999999972</v>
      </c>
      <c r="F190" s="1194">
        <f ca="1">IF(IFERROR(IF($C$145 = "Absolute", INDEX('Summary of Results'!I:I, MATCH($B190, 'Summary of Results'!$A:$A, 0)), (INDEX('Summary of Results'!I:I, MATCH($B190, 'Summary of Results'!$A:$A, 0))/INDEX('Summary of Results'!$G:$G, MATCH($B190, 'Summary of Results'!$A:$A, 0)) - 1)*100), NA()) = "", "", IFERROR(IF($C$145 = "Absolute", INDEX('Summary of Results'!I:I, MATCH($B190, 'Summary of Results'!$A:$A, 0)), (INDEX('Summary of Results'!I:I, MATCH($B190, 'Summary of Results'!$A:$A, 0))/INDEX('Summary of Results'!$G:$G, MATCH($B190, 'Summary of Results'!$A:$A, 0)) - 1)*100), NA()))</f>
        <v>99.999999999999957</v>
      </c>
      <c r="G190" s="1194">
        <f ca="1">IF(IFERROR(IF($C$145 = "Absolute", INDEX('Summary of Results'!J:J, MATCH($B190, 'Summary of Results'!$A:$A, 0)), (INDEX('Summary of Results'!J:J, MATCH($B190, 'Summary of Results'!$A:$A, 0))/INDEX('Summary of Results'!$G:$G, MATCH($B190, 'Summary of Results'!$A:$A, 0)) - 1)*100), NA()) = "", "", IFERROR(IF($C$145 = "Absolute", INDEX('Summary of Results'!J:J, MATCH($B190, 'Summary of Results'!$A:$A, 0)), (INDEX('Summary of Results'!J:J, MATCH($B190, 'Summary of Results'!$A:$A, 0))/INDEX('Summary of Results'!$G:$G, MATCH($B190, 'Summary of Results'!$A:$A, 0)) - 1)*100), NA()))</f>
        <v>99.999999999999957</v>
      </c>
      <c r="H190" s="1194">
        <f ca="1">IF(IFERROR(IF($C$145 = "Absolute", INDEX('Summary of Results'!K:K, MATCH($B190, 'Summary of Results'!$A:$A, 0)), (INDEX('Summary of Results'!K:K, MATCH($B190, 'Summary of Results'!$A:$A, 0))/INDEX('Summary of Results'!$G:$G, MATCH($B190, 'Summary of Results'!$A:$A, 0)) - 1)*100), NA()) = "", "", IFERROR(IF($C$145 = "Absolute", INDEX('Summary of Results'!K:K, MATCH($B190, 'Summary of Results'!$A:$A, 0)), (INDEX('Summary of Results'!K:K, MATCH($B190, 'Summary of Results'!$A:$A, 0))/INDEX('Summary of Results'!$G:$G, MATCH($B190, 'Summary of Results'!$A:$A, 0)) - 1)*100), NA()))</f>
        <v>99.999999999999957</v>
      </c>
      <c r="I190" s="1194">
        <f ca="1">IF(IFERROR(IF($C$145 = "Absolute", INDEX('Summary of Results'!L:L, MATCH($B190, 'Summary of Results'!$A:$A, 0)), (INDEX('Summary of Results'!L:L, MATCH($B190, 'Summary of Results'!$A:$A, 0))/INDEX('Summary of Results'!$G:$G, MATCH($B190, 'Summary of Results'!$A:$A, 0)) - 1)*100), NA()) = "", "", IFERROR(IF($C$145 = "Absolute", INDEX('Summary of Results'!L:L, MATCH($B190, 'Summary of Results'!$A:$A, 0)), (INDEX('Summary of Results'!L:L, MATCH($B190, 'Summary of Results'!$A:$A, 0))/INDEX('Summary of Results'!$G:$G, MATCH($B190, 'Summary of Results'!$A:$A, 0)) - 1)*100), NA()))</f>
        <v>99.999999999999957</v>
      </c>
      <c r="J190" s="1194">
        <f ca="1">IF(IFERROR(IF($C$145 = "Absolute", INDEX('Summary of Results'!M:M, MATCH($B190, 'Summary of Results'!$A:$A, 0)), (INDEX('Summary of Results'!M:M, MATCH($B190, 'Summary of Results'!$A:$A, 0))/INDEX('Summary of Results'!$G:$G, MATCH($B190, 'Summary of Results'!$A:$A, 0)) - 1)*100), NA()) = "", "", IFERROR(IF($C$145 = "Absolute", INDEX('Summary of Results'!M:M, MATCH($B190, 'Summary of Results'!$A:$A, 0)), (INDEX('Summary of Results'!M:M, MATCH($B190, 'Summary of Results'!$A:$A, 0))/INDEX('Summary of Results'!$G:$G, MATCH($B190, 'Summary of Results'!$A:$A, 0)) - 1)*100), NA()))</f>
        <v>100.00000000000048</v>
      </c>
      <c r="K190" s="737"/>
      <c r="L190"/>
      <c r="M190"/>
      <c r="N190"/>
      <c r="O190"/>
      <c r="P190"/>
      <c r="Q190"/>
      <c r="R190"/>
      <c r="S190" s="90"/>
      <c r="T190" s="90"/>
      <c r="U190" s="336"/>
      <c r="V190" s="1355"/>
      <c r="W190" s="1355"/>
      <c r="X190" s="1355"/>
      <c r="Y190" s="1355"/>
      <c r="Z190" s="1355"/>
      <c r="AA190" s="1355"/>
      <c r="AB190" s="1355"/>
    </row>
    <row r="191" spans="1:28" ht="15" customHeight="1" outlineLevel="2" x14ac:dyDescent="0.35">
      <c r="A191" s="353"/>
      <c r="B191" s="1192">
        <v>2</v>
      </c>
      <c r="C191" s="1193" t="str">
        <f>IFERROR(INDEX('Summary of Results'!$B:$B, MATCH(B191, 'Summary of Results'!$A:$A, 0)), NA())</f>
        <v>Battery system capacity, Ah</v>
      </c>
      <c r="D191" s="1194">
        <f ca="1">IF(IFERROR(IF($C$145 = "Absolute", INDEX('Summary of Results'!G:G, MATCH($B191, 'Summary of Results'!$A:$A, 0)), (INDEX('Summary of Results'!G:G, MATCH($B191, 'Summary of Results'!$A:$A, 0))/INDEX('Summary of Results'!$G:$G, MATCH($B191, 'Summary of Results'!$A:$A, 0)) - 1)*100), NA()) = "", "", IFERROR(IF($C$145 = "Absolute", INDEX('Summary of Results'!G:G, MATCH($B191, 'Summary of Results'!$A:$A, 0)), (INDEX('Summary of Results'!G:G, MATCH($B191, 'Summary of Results'!$A:$A, 0))/INDEX('Summary of Results'!$G:$G, MATCH($B191, 'Summary of Results'!$A:$A, 0)) - 1)*100), NA()))</f>
        <v>272.71642985239049</v>
      </c>
      <c r="E191" s="1194">
        <f ca="1">IF(IFERROR(IF($C$145 = "Absolute", INDEX('Summary of Results'!H:H, MATCH($B191, 'Summary of Results'!$A:$A, 0)), (INDEX('Summary of Results'!H:H, MATCH($B191, 'Summary of Results'!$A:$A, 0))/INDEX('Summary of Results'!$G:$G, MATCH($B191, 'Summary of Results'!$A:$A, 0)) - 1)*100), NA()) = "", "", IFERROR(IF($C$145 = "Absolute", INDEX('Summary of Results'!H:H, MATCH($B191, 'Summary of Results'!$A:$A, 0)), (INDEX('Summary of Results'!H:H, MATCH($B191, 'Summary of Results'!$A:$A, 0))/INDEX('Summary of Results'!$G:$G, MATCH($B191, 'Summary of Results'!$A:$A, 0)) - 1)*100), NA()))</f>
        <v>272.71642985239049</v>
      </c>
      <c r="F191" s="1194">
        <f ca="1">IF(IFERROR(IF($C$145 = "Absolute", INDEX('Summary of Results'!I:I, MATCH($B191, 'Summary of Results'!$A:$A, 0)), (INDEX('Summary of Results'!I:I, MATCH($B191, 'Summary of Results'!$A:$A, 0))/INDEX('Summary of Results'!$G:$G, MATCH($B191, 'Summary of Results'!$A:$A, 0)) - 1)*100), NA()) = "", "", IFERROR(IF($C$145 = "Absolute", INDEX('Summary of Results'!I:I, MATCH($B191, 'Summary of Results'!$A:$A, 0)), (INDEX('Summary of Results'!I:I, MATCH($B191, 'Summary of Results'!$A:$A, 0))/INDEX('Summary of Results'!$G:$G, MATCH($B191, 'Summary of Results'!$A:$A, 0)) - 1)*100), NA()))</f>
        <v>272.39111939487981</v>
      </c>
      <c r="G191" s="1194">
        <f ca="1">IF(IFERROR(IF($C$145 = "Absolute", INDEX('Summary of Results'!J:J, MATCH($B191, 'Summary of Results'!$A:$A, 0)), (INDEX('Summary of Results'!J:J, MATCH($B191, 'Summary of Results'!$A:$A, 0))/INDEX('Summary of Results'!$G:$G, MATCH($B191, 'Summary of Results'!$A:$A, 0)) - 1)*100), NA()) = "", "", IFERROR(IF($C$145 = "Absolute", INDEX('Summary of Results'!J:J, MATCH($B191, 'Summary of Results'!$A:$A, 0)), (INDEX('Summary of Results'!J:J, MATCH($B191, 'Summary of Results'!$A:$A, 0))/INDEX('Summary of Results'!$G:$G, MATCH($B191, 'Summary of Results'!$A:$A, 0)) - 1)*100), NA()))</f>
        <v>271.99082929772283</v>
      </c>
      <c r="H191" s="1194">
        <f ca="1">IF(IFERROR(IF($C$145 = "Absolute", INDEX('Summary of Results'!K:K, MATCH($B191, 'Summary of Results'!$A:$A, 0)), (INDEX('Summary of Results'!K:K, MATCH($B191, 'Summary of Results'!$A:$A, 0))/INDEX('Summary of Results'!$G:$G, MATCH($B191, 'Summary of Results'!$A:$A, 0)) - 1)*100), NA()) = "", "", IFERROR(IF($C$145 = "Absolute", INDEX('Summary of Results'!K:K, MATCH($B191, 'Summary of Results'!$A:$A, 0)), (INDEX('Summary of Results'!K:K, MATCH($B191, 'Summary of Results'!$A:$A, 0))/INDEX('Summary of Results'!$G:$G, MATCH($B191, 'Summary of Results'!$A:$A, 0)) - 1)*100), NA()))</f>
        <v>271.52829153100703</v>
      </c>
      <c r="I191" s="1194">
        <f ca="1">IF(IFERROR(IF($C$145 = "Absolute", INDEX('Summary of Results'!L:L, MATCH($B191, 'Summary of Results'!$A:$A, 0)), (INDEX('Summary of Results'!L:L, MATCH($B191, 'Summary of Results'!$A:$A, 0))/INDEX('Summary of Results'!$G:$G, MATCH($B191, 'Summary of Results'!$A:$A, 0)) - 1)*100), NA()) = "", "", IFERROR(IF($C$145 = "Absolute", INDEX('Summary of Results'!L:L, MATCH($B191, 'Summary of Results'!$A:$A, 0)), (INDEX('Summary of Results'!L:L, MATCH($B191, 'Summary of Results'!$A:$A, 0))/INDEX('Summary of Results'!$G:$G, MATCH($B191, 'Summary of Results'!$A:$A, 0)) - 1)*100), NA()))</f>
        <v>270.97448699448086</v>
      </c>
      <c r="J191" s="1194">
        <f ca="1">IF(IFERROR(IF($C$145 = "Absolute", INDEX('Summary of Results'!M:M, MATCH($B191, 'Summary of Results'!$A:$A, 0)), (INDEX('Summary of Results'!M:M, MATCH($B191, 'Summary of Results'!$A:$A, 0))/INDEX('Summary of Results'!$G:$G, MATCH($B191, 'Summary of Results'!$A:$A, 0)) - 1)*100), NA()) = "", "", IFERROR(IF($C$145 = "Absolute", INDEX('Summary of Results'!M:M, MATCH($B191, 'Summary of Results'!$A:$A, 0)), (INDEX('Summary of Results'!M:M, MATCH($B191, 'Summary of Results'!$A:$A, 0))/INDEX('Summary of Results'!$G:$G, MATCH($B191, 'Summary of Results'!$A:$A, 0)) - 1)*100), NA()))</f>
        <v>270.24418706661311</v>
      </c>
      <c r="K191"/>
      <c r="L191"/>
      <c r="M191"/>
      <c r="N191"/>
      <c r="O191"/>
      <c r="P191"/>
      <c r="Q191"/>
      <c r="R191"/>
      <c r="S191" s="90"/>
      <c r="T191" s="90"/>
      <c r="U191" s="336"/>
      <c r="V191" s="1355"/>
      <c r="W191" s="1355"/>
      <c r="X191" s="1355"/>
      <c r="Y191" s="1355"/>
      <c r="Z191" s="1355"/>
      <c r="AA191" s="1355"/>
      <c r="AB191" s="1355"/>
    </row>
    <row r="192" spans="1:28" ht="20" outlineLevel="2" x14ac:dyDescent="0.35">
      <c r="A192" s="353"/>
      <c r="B192" s="1192">
        <v>3</v>
      </c>
      <c r="C192" s="1193" t="str">
        <f>IFERROR(INDEX('Summary of Results'!$B:$B, MATCH(B192, 'Summary of Results'!$A:$A, 0)), NA())</f>
        <v>Battery system rated power, kW</v>
      </c>
      <c r="D192" s="1194">
        <f ca="1">IF(IFERROR(IF($C$145 = "Absolute", INDEX('Summary of Results'!G:G, MATCH($B192, 'Summary of Results'!$A:$A, 0)), (INDEX('Summary of Results'!G:G, MATCH($B192, 'Summary of Results'!$A:$A, 0))/INDEX('Summary of Results'!$G:$G, MATCH($B192, 'Summary of Results'!$A:$A, 0)) - 1)*100), NA()) = "", "", IFERROR(IF($C$145 = "Absolute", INDEX('Summary of Results'!G:G, MATCH($B192, 'Summary of Results'!$A:$A, 0)), (INDEX('Summary of Results'!G:G, MATCH($B192, 'Summary of Results'!$A:$A, 0))/INDEX('Summary of Results'!$G:$G, MATCH($B192, 'Summary of Results'!$A:$A, 0)) - 1)*100), NA()))</f>
        <v>299.99999999999977</v>
      </c>
      <c r="E192" s="1194">
        <f ca="1">IF(IFERROR(IF($C$145 = "Absolute", INDEX('Summary of Results'!H:H, MATCH($B192, 'Summary of Results'!$A:$A, 0)), (INDEX('Summary of Results'!H:H, MATCH($B192, 'Summary of Results'!$A:$A, 0))/INDEX('Summary of Results'!$G:$G, MATCH($B192, 'Summary of Results'!$A:$A, 0)) - 1)*100), NA()) = "", "", IFERROR(IF($C$145 = "Absolute", INDEX('Summary of Results'!H:H, MATCH($B192, 'Summary of Results'!$A:$A, 0)), (INDEX('Summary of Results'!H:H, MATCH($B192, 'Summary of Results'!$A:$A, 0))/INDEX('Summary of Results'!$G:$G, MATCH($B192, 'Summary of Results'!$A:$A, 0)) - 1)*100), NA()))</f>
        <v>299.99999999999977</v>
      </c>
      <c r="F192" s="1194">
        <f ca="1">IF(IFERROR(IF($C$145 = "Absolute", INDEX('Summary of Results'!I:I, MATCH($B192, 'Summary of Results'!$A:$A, 0)), (INDEX('Summary of Results'!I:I, MATCH($B192, 'Summary of Results'!$A:$A, 0))/INDEX('Summary of Results'!$G:$G, MATCH($B192, 'Summary of Results'!$A:$A, 0)) - 1)*100), NA()) = "", "", IFERROR(IF($C$145 = "Absolute", INDEX('Summary of Results'!I:I, MATCH($B192, 'Summary of Results'!$A:$A, 0)), (INDEX('Summary of Results'!I:I, MATCH($B192, 'Summary of Results'!$A:$A, 0))/INDEX('Summary of Results'!$G:$G, MATCH($B192, 'Summary of Results'!$A:$A, 0)) - 1)*100), NA()))</f>
        <v>300.00000000000006</v>
      </c>
      <c r="G192" s="1194">
        <f ca="1">IF(IFERROR(IF($C$145 = "Absolute", INDEX('Summary of Results'!J:J, MATCH($B192, 'Summary of Results'!$A:$A, 0)), (INDEX('Summary of Results'!J:J, MATCH($B192, 'Summary of Results'!$A:$A, 0))/INDEX('Summary of Results'!$G:$G, MATCH($B192, 'Summary of Results'!$A:$A, 0)) - 1)*100), NA()) = "", "", IFERROR(IF($C$145 = "Absolute", INDEX('Summary of Results'!J:J, MATCH($B192, 'Summary of Results'!$A:$A, 0)), (INDEX('Summary of Results'!J:J, MATCH($B192, 'Summary of Results'!$A:$A, 0))/INDEX('Summary of Results'!$G:$G, MATCH($B192, 'Summary of Results'!$A:$A, 0)) - 1)*100), NA()))</f>
        <v>300.00000000000017</v>
      </c>
      <c r="H192" s="1194">
        <f ca="1">IF(IFERROR(IF($C$145 = "Absolute", INDEX('Summary of Results'!K:K, MATCH($B192, 'Summary of Results'!$A:$A, 0)), (INDEX('Summary of Results'!K:K, MATCH($B192, 'Summary of Results'!$A:$A, 0))/INDEX('Summary of Results'!$G:$G, MATCH($B192, 'Summary of Results'!$A:$A, 0)) - 1)*100), NA()) = "", "", IFERROR(IF($C$145 = "Absolute", INDEX('Summary of Results'!K:K, MATCH($B192, 'Summary of Results'!$A:$A, 0)), (INDEX('Summary of Results'!K:K, MATCH($B192, 'Summary of Results'!$A:$A, 0))/INDEX('Summary of Results'!$G:$G, MATCH($B192, 'Summary of Results'!$A:$A, 0)) - 1)*100), NA()))</f>
        <v>299.99999999999983</v>
      </c>
      <c r="I192" s="1194">
        <f ca="1">IF(IFERROR(IF($C$145 = "Absolute", INDEX('Summary of Results'!L:L, MATCH($B192, 'Summary of Results'!$A:$A, 0)), (INDEX('Summary of Results'!L:L, MATCH($B192, 'Summary of Results'!$A:$A, 0))/INDEX('Summary of Results'!$G:$G, MATCH($B192, 'Summary of Results'!$A:$A, 0)) - 1)*100), NA()) = "", "", IFERROR(IF($C$145 = "Absolute", INDEX('Summary of Results'!L:L, MATCH($B192, 'Summary of Results'!$A:$A, 0)), (INDEX('Summary of Results'!L:L, MATCH($B192, 'Summary of Results'!$A:$A, 0))/INDEX('Summary of Results'!$G:$G, MATCH($B192, 'Summary of Results'!$A:$A, 0)) - 1)*100), NA()))</f>
        <v>300.00000000000006</v>
      </c>
      <c r="J192" s="1194">
        <f ca="1">IF(IFERROR(IF($C$145 = "Absolute", INDEX('Summary of Results'!M:M, MATCH($B192, 'Summary of Results'!$A:$A, 0)), (INDEX('Summary of Results'!M:M, MATCH($B192, 'Summary of Results'!$A:$A, 0))/INDEX('Summary of Results'!$G:$G, MATCH($B192, 'Summary of Results'!$A:$A, 0)) - 1)*100), NA()) = "", "", IFERROR(IF($C$145 = "Absolute", INDEX('Summary of Results'!M:M, MATCH($B192, 'Summary of Results'!$A:$A, 0)), (INDEX('Summary of Results'!M:M, MATCH($B192, 'Summary of Results'!$A:$A, 0))/INDEX('Summary of Results'!$G:$G, MATCH($B192, 'Summary of Results'!$A:$A, 0)) - 1)*100), NA()))</f>
        <v>299.99999999999915</v>
      </c>
      <c r="K192"/>
      <c r="L192"/>
      <c r="M192"/>
      <c r="N192"/>
      <c r="O192"/>
      <c r="P192"/>
      <c r="Q192"/>
      <c r="R192"/>
      <c r="S192" s="90"/>
      <c r="T192" s="90"/>
      <c r="U192" s="336"/>
      <c r="V192" s="1355"/>
      <c r="W192" s="1355"/>
      <c r="X192" s="1355"/>
      <c r="Y192" s="1355"/>
      <c r="Z192" s="1355"/>
      <c r="AA192" s="1355"/>
      <c r="AB192" s="1355"/>
    </row>
    <row r="193" spans="1:41" outlineLevel="2" x14ac:dyDescent="0.35">
      <c r="A193" s="353"/>
      <c r="B193" s="1192">
        <v>4</v>
      </c>
      <c r="C193" s="1193" t="str">
        <f>IFERROR(INDEX('Summary of Results'!$B:$B, MATCH(B193, 'Summary of Results'!$A:$A, 0)), NA())</f>
        <v>Battery system nominal operating voltage, V</v>
      </c>
      <c r="D193" s="1194">
        <f ca="1">IF(IFERROR(IF($C$145 = "Absolute", INDEX('Summary of Results'!G:G, MATCH($B193, 'Summary of Results'!$A:$A, 0)), (INDEX('Summary of Results'!G:G, MATCH($B193, 'Summary of Results'!$A:$A, 0))/INDEX('Summary of Results'!$G:$G, MATCH($B193, 'Summary of Results'!$A:$A, 0)) - 1)*100), NA()) = "", "", IFERROR(IF($C$145 = "Absolute", INDEX('Summary of Results'!G:G, MATCH($B193, 'Summary of Results'!$A:$A, 0)), (INDEX('Summary of Results'!G:G, MATCH($B193, 'Summary of Results'!$A:$A, 0))/INDEX('Summary of Results'!$G:$G, MATCH($B193, 'Summary of Results'!$A:$A, 0)) - 1)*100), NA()))</f>
        <v>366.68124488915322</v>
      </c>
      <c r="E193" s="1194">
        <f ca="1">IF(IFERROR(IF($C$145 = "Absolute", INDEX('Summary of Results'!H:H, MATCH($B193, 'Summary of Results'!$A:$A, 0)), (INDEX('Summary of Results'!H:H, MATCH($B193, 'Summary of Results'!$A:$A, 0))/INDEX('Summary of Results'!$G:$G, MATCH($B193, 'Summary of Results'!$A:$A, 0)) - 1)*100), NA()) = "", "", IFERROR(IF($C$145 = "Absolute", INDEX('Summary of Results'!H:H, MATCH($B193, 'Summary of Results'!$A:$A, 0)), (INDEX('Summary of Results'!H:H, MATCH($B193, 'Summary of Results'!$A:$A, 0))/INDEX('Summary of Results'!$G:$G, MATCH($B193, 'Summary of Results'!$A:$A, 0)) - 1)*100), NA()))</f>
        <v>366.68124488915322</v>
      </c>
      <c r="F193" s="1194">
        <f ca="1">IF(IFERROR(IF($C$145 = "Absolute", INDEX('Summary of Results'!I:I, MATCH($B193, 'Summary of Results'!$A:$A, 0)), (INDEX('Summary of Results'!I:I, MATCH($B193, 'Summary of Results'!$A:$A, 0))/INDEX('Summary of Results'!$G:$G, MATCH($B193, 'Summary of Results'!$A:$A, 0)) - 1)*100), NA()) = "", "", IFERROR(IF($C$145 = "Absolute", INDEX('Summary of Results'!I:I, MATCH($B193, 'Summary of Results'!$A:$A, 0)), (INDEX('Summary of Results'!I:I, MATCH($B193, 'Summary of Results'!$A:$A, 0))/INDEX('Summary of Results'!$G:$G, MATCH($B193, 'Summary of Results'!$A:$A, 0)) - 1)*100), NA()))</f>
        <v>367.11916387785027</v>
      </c>
      <c r="G193" s="1194">
        <f ca="1">IF(IFERROR(IF($C$145 = "Absolute", INDEX('Summary of Results'!J:J, MATCH($B193, 'Summary of Results'!$A:$A, 0)), (INDEX('Summary of Results'!J:J, MATCH($B193, 'Summary of Results'!$A:$A, 0))/INDEX('Summary of Results'!$G:$G, MATCH($B193, 'Summary of Results'!$A:$A, 0)) - 1)*100), NA()) = "", "", IFERROR(IF($C$145 = "Absolute", INDEX('Summary of Results'!J:J, MATCH($B193, 'Summary of Results'!$A:$A, 0)), (INDEX('Summary of Results'!J:J, MATCH($B193, 'Summary of Results'!$A:$A, 0))/INDEX('Summary of Results'!$G:$G, MATCH($B193, 'Summary of Results'!$A:$A, 0)) - 1)*100), NA()))</f>
        <v>367.65945476249624</v>
      </c>
      <c r="H193" s="1194">
        <f ca="1">IF(IFERROR(IF($C$145 = "Absolute", INDEX('Summary of Results'!K:K, MATCH($B193, 'Summary of Results'!$A:$A, 0)), (INDEX('Summary of Results'!K:K, MATCH($B193, 'Summary of Results'!$A:$A, 0))/INDEX('Summary of Results'!$G:$G, MATCH($B193, 'Summary of Results'!$A:$A, 0)) - 1)*100), NA()) = "", "", IFERROR(IF($C$145 = "Absolute", INDEX('Summary of Results'!K:K, MATCH($B193, 'Summary of Results'!$A:$A, 0)), (INDEX('Summary of Results'!K:K, MATCH($B193, 'Summary of Results'!$A:$A, 0))/INDEX('Summary of Results'!$G:$G, MATCH($B193, 'Summary of Results'!$A:$A, 0)) - 1)*100), NA()))</f>
        <v>368.28574818539863</v>
      </c>
      <c r="I193" s="1194">
        <f ca="1">IF(IFERROR(IF($C$145 = "Absolute", INDEX('Summary of Results'!L:L, MATCH($B193, 'Summary of Results'!$A:$A, 0)), (INDEX('Summary of Results'!L:L, MATCH($B193, 'Summary of Results'!$A:$A, 0))/INDEX('Summary of Results'!$G:$G, MATCH($B193, 'Summary of Results'!$A:$A, 0)) - 1)*100), NA()) = "", "", IFERROR(IF($C$145 = "Absolute", INDEX('Summary of Results'!L:L, MATCH($B193, 'Summary of Results'!$A:$A, 0)), (INDEX('Summary of Results'!L:L, MATCH($B193, 'Summary of Results'!$A:$A, 0))/INDEX('Summary of Results'!$G:$G, MATCH($B193, 'Summary of Results'!$A:$A, 0)) - 1)*100), NA()))</f>
        <v>369.03843276594796</v>
      </c>
      <c r="J193" s="1194">
        <f ca="1">IF(IFERROR(IF($C$145 = "Absolute", INDEX('Summary of Results'!M:M, MATCH($B193, 'Summary of Results'!$A:$A, 0)), (INDEX('Summary of Results'!M:M, MATCH($B193, 'Summary of Results'!$A:$A, 0))/INDEX('Summary of Results'!$G:$G, MATCH($B193, 'Summary of Results'!$A:$A, 0)) - 1)*100), NA()) = "", "", IFERROR(IF($C$145 = "Absolute", INDEX('Summary of Results'!M:M, MATCH($B193, 'Summary of Results'!$A:$A, 0)), (INDEX('Summary of Results'!M:M, MATCH($B193, 'Summary of Results'!$A:$A, 0))/INDEX('Summary of Results'!$G:$G, MATCH($B193, 'Summary of Results'!$A:$A, 0)) - 1)*100), NA()))</f>
        <v>370.03571135223439</v>
      </c>
      <c r="K193"/>
      <c r="L193"/>
      <c r="M193"/>
      <c r="N193"/>
      <c r="O193"/>
      <c r="P193"/>
      <c r="Q193"/>
      <c r="R193"/>
      <c r="S193"/>
      <c r="T193"/>
      <c r="U193"/>
      <c r="V193" s="1355"/>
      <c r="W193" s="1355"/>
      <c r="X193" s="1355"/>
      <c r="Y193" s="1355"/>
      <c r="Z193" s="1355"/>
      <c r="AA193" s="1355"/>
      <c r="AB193" s="1355"/>
      <c r="AC193"/>
      <c r="AD193"/>
      <c r="AE193"/>
      <c r="AF193"/>
      <c r="AG193"/>
      <c r="AH193"/>
      <c r="AI193"/>
      <c r="AJ193"/>
      <c r="AK193"/>
      <c r="AL193"/>
      <c r="AM193"/>
      <c r="AN193"/>
      <c r="AO193"/>
    </row>
    <row r="194" spans="1:41" outlineLevel="2" x14ac:dyDescent="0.35">
      <c r="A194" s="353"/>
      <c r="B194" s="1192">
        <v>5</v>
      </c>
      <c r="C194" s="1193" t="str">
        <f>IFERROR(INDEX('Summary of Results'!$B:$B, MATCH(B194, 'Summary of Results'!$A:$A, 0)), NA())</f>
        <v>Pack power to energy ratio (with respect to rated power)</v>
      </c>
      <c r="D194" s="1270">
        <f ca="1">IF(IFERROR(IF($C$145 = "Absolute", INDEX('Summary of Results'!G:G, MATCH($B194, 'Summary of Results'!$A:$A, 0)), (INDEX('Summary of Results'!G:G, MATCH($B194, 'Summary of Results'!$A:$A, 0))/INDEX('Summary of Results'!$G:$G, MATCH($B194, 'Summary of Results'!$A:$A, 0)) - 1)*100), NA()) = "", "", IFERROR(IF($C$145 = "Absolute", INDEX('Summary of Results'!G:G, MATCH($B194, 'Summary of Results'!$A:$A, 0)), (INDEX('Summary of Results'!G:G, MATCH($B194, 'Summary of Results'!$A:$A, 0))/INDEX('Summary of Results'!$G:$G, MATCH($B194, 'Summary of Results'!$A:$A, 0)) - 1)*100), NA()))</f>
        <v>2.9999999999999987</v>
      </c>
      <c r="E194" s="1270">
        <f ca="1">IF(IFERROR(IF($C$145 = "Absolute", INDEX('Summary of Results'!H:H, MATCH($B194, 'Summary of Results'!$A:$A, 0)), (INDEX('Summary of Results'!H:H, MATCH($B194, 'Summary of Results'!$A:$A, 0))/INDEX('Summary of Results'!$G:$G, MATCH($B194, 'Summary of Results'!$A:$A, 0)) - 1)*100), NA()) = "", "", IFERROR(IF($C$145 = "Absolute", INDEX('Summary of Results'!H:H, MATCH($B194, 'Summary of Results'!$A:$A, 0)), (INDEX('Summary of Results'!H:H, MATCH($B194, 'Summary of Results'!$A:$A, 0))/INDEX('Summary of Results'!$G:$G, MATCH($B194, 'Summary of Results'!$A:$A, 0)) - 1)*100), NA()))</f>
        <v>2.9999999999999987</v>
      </c>
      <c r="F194" s="1270">
        <f ca="1">IF(IFERROR(IF($C$145 = "Absolute", INDEX('Summary of Results'!I:I, MATCH($B194, 'Summary of Results'!$A:$A, 0)), (INDEX('Summary of Results'!I:I, MATCH($B194, 'Summary of Results'!$A:$A, 0))/INDEX('Summary of Results'!$G:$G, MATCH($B194, 'Summary of Results'!$A:$A, 0)) - 1)*100), NA()) = "", "", IFERROR(IF($C$145 = "Absolute", INDEX('Summary of Results'!I:I, MATCH($B194, 'Summary of Results'!$A:$A, 0)), (INDEX('Summary of Results'!I:I, MATCH($B194, 'Summary of Results'!$A:$A, 0))/INDEX('Summary of Results'!$G:$G, MATCH($B194, 'Summary of Results'!$A:$A, 0)) - 1)*100), NA()))</f>
        <v>3.0000000000000018</v>
      </c>
      <c r="G194" s="1270">
        <f ca="1">IF(IFERROR(IF($C$145 = "Absolute", INDEX('Summary of Results'!J:J, MATCH($B194, 'Summary of Results'!$A:$A, 0)), (INDEX('Summary of Results'!J:J, MATCH($B194, 'Summary of Results'!$A:$A, 0))/INDEX('Summary of Results'!$G:$G, MATCH($B194, 'Summary of Results'!$A:$A, 0)) - 1)*100), NA()) = "", "", IFERROR(IF($C$145 = "Absolute", INDEX('Summary of Results'!J:J, MATCH($B194, 'Summary of Results'!$A:$A, 0)), (INDEX('Summary of Results'!J:J, MATCH($B194, 'Summary of Results'!$A:$A, 0))/INDEX('Summary of Results'!$G:$G, MATCH($B194, 'Summary of Results'!$A:$A, 0)) - 1)*100), NA()))</f>
        <v>3.0000000000000031</v>
      </c>
      <c r="H194" s="1270">
        <f ca="1">IF(IFERROR(IF($C$145 = "Absolute", INDEX('Summary of Results'!K:K, MATCH($B194, 'Summary of Results'!$A:$A, 0)), (INDEX('Summary of Results'!K:K, MATCH($B194, 'Summary of Results'!$A:$A, 0))/INDEX('Summary of Results'!$G:$G, MATCH($B194, 'Summary of Results'!$A:$A, 0)) - 1)*100), NA()) = "", "", IFERROR(IF($C$145 = "Absolute", INDEX('Summary of Results'!K:K, MATCH($B194, 'Summary of Results'!$A:$A, 0)), (INDEX('Summary of Results'!K:K, MATCH($B194, 'Summary of Results'!$A:$A, 0))/INDEX('Summary of Results'!$G:$G, MATCH($B194, 'Summary of Results'!$A:$A, 0)) - 1)*100), NA()))</f>
        <v>2.9999999999999996</v>
      </c>
      <c r="I194" s="1270">
        <f ca="1">IF(IFERROR(IF($C$145 = "Absolute", INDEX('Summary of Results'!L:L, MATCH($B194, 'Summary of Results'!$A:$A, 0)), (INDEX('Summary of Results'!L:L, MATCH($B194, 'Summary of Results'!$A:$A, 0))/INDEX('Summary of Results'!$G:$G, MATCH($B194, 'Summary of Results'!$A:$A, 0)) - 1)*100), NA()) = "", "", IFERROR(IF($C$145 = "Absolute", INDEX('Summary of Results'!L:L, MATCH($B194, 'Summary of Results'!$A:$A, 0)), (INDEX('Summary of Results'!L:L, MATCH($B194, 'Summary of Results'!$A:$A, 0))/INDEX('Summary of Results'!$G:$G, MATCH($B194, 'Summary of Results'!$A:$A, 0)) - 1)*100), NA()))</f>
        <v>3.0000000000000018</v>
      </c>
      <c r="J194" s="1270">
        <f ca="1">IF(IFERROR(IF($C$145 = "Absolute", INDEX('Summary of Results'!M:M, MATCH($B194, 'Summary of Results'!$A:$A, 0)), (INDEX('Summary of Results'!M:M, MATCH($B194, 'Summary of Results'!$A:$A, 0))/INDEX('Summary of Results'!$G:$G, MATCH($B194, 'Summary of Results'!$A:$A, 0)) - 1)*100), NA()) = "", "", IFERROR(IF($C$145 = "Absolute", INDEX('Summary of Results'!M:M, MATCH($B194, 'Summary of Results'!$A:$A, 0)), (INDEX('Summary of Results'!M:M, MATCH($B194, 'Summary of Results'!$A:$A, 0))/INDEX('Summary of Results'!$G:$G, MATCH($B194, 'Summary of Results'!$A:$A, 0)) - 1)*100), NA()))</f>
        <v>2.9999999999999769</v>
      </c>
      <c r="K194"/>
      <c r="L194"/>
      <c r="M194"/>
      <c r="N194"/>
      <c r="O194"/>
      <c r="P194"/>
      <c r="Q194"/>
      <c r="R194"/>
      <c r="S194"/>
      <c r="T194"/>
      <c r="U194"/>
      <c r="V194" s="1355"/>
      <c r="W194" s="1355"/>
      <c r="X194" s="1355"/>
      <c r="Y194" s="1355"/>
      <c r="Z194" s="1355"/>
      <c r="AA194" s="1355"/>
      <c r="AB194" s="1355"/>
      <c r="AC194"/>
      <c r="AD194"/>
      <c r="AE194"/>
      <c r="AF194"/>
      <c r="AG194"/>
      <c r="AH194"/>
      <c r="AI194"/>
      <c r="AJ194"/>
      <c r="AK194"/>
      <c r="AL194"/>
      <c r="AM194"/>
      <c r="AN194"/>
      <c r="AO194"/>
    </row>
    <row r="195" spans="1:41" outlineLevel="2" x14ac:dyDescent="0.35">
      <c r="A195" s="353"/>
      <c r="B195" s="1192">
        <v>6</v>
      </c>
      <c r="C195" s="1193" t="str">
        <f>IFERROR(INDEX('Summary of Results'!$B:$B, MATCH(B195, 'Summary of Results'!$A:$A, 0)), NA())</f>
        <v>Pack energy density, Wh/L</v>
      </c>
      <c r="D195" s="1194">
        <f ca="1">IF(IFERROR(IF($C$145 = "Absolute", INDEX('Summary of Results'!G:G, MATCH($B195, 'Summary of Results'!$A:$A, 0)), (INDEX('Summary of Results'!G:G, MATCH($B195, 'Summary of Results'!$A:$A, 0))/INDEX('Summary of Results'!$G:$G, MATCH($B195, 'Summary of Results'!$A:$A, 0)) - 1)*100), NA()) = "", "", IFERROR(IF($C$145 = "Absolute", INDEX('Summary of Results'!G:G, MATCH($B195, 'Summary of Results'!$A:$A, 0)), (INDEX('Summary of Results'!G:G, MATCH($B195, 'Summary of Results'!$A:$A, 0))/INDEX('Summary of Results'!$G:$G, MATCH($B195, 'Summary of Results'!$A:$A, 0)) - 1)*100), NA()))</f>
        <v>339.91462942034417</v>
      </c>
      <c r="E195" s="1194">
        <f ca="1">IF(IFERROR(IF($C$145 = "Absolute", INDEX('Summary of Results'!H:H, MATCH($B195, 'Summary of Results'!$A:$A, 0)), (INDEX('Summary of Results'!H:H, MATCH($B195, 'Summary of Results'!$A:$A, 0))/INDEX('Summary of Results'!$G:$G, MATCH($B195, 'Summary of Results'!$A:$A, 0)) - 1)*100), NA()) = "", "", IFERROR(IF($C$145 = "Absolute", INDEX('Summary of Results'!H:H, MATCH($B195, 'Summary of Results'!$A:$A, 0)), (INDEX('Summary of Results'!H:H, MATCH($B195, 'Summary of Results'!$A:$A, 0))/INDEX('Summary of Results'!$G:$G, MATCH($B195, 'Summary of Results'!$A:$A, 0)) - 1)*100), NA()))</f>
        <v>339.91462942034417</v>
      </c>
      <c r="F195" s="1194">
        <f ca="1">IF(IFERROR(IF($C$145 = "Absolute", INDEX('Summary of Results'!I:I, MATCH($B195, 'Summary of Results'!$A:$A, 0)), (INDEX('Summary of Results'!I:I, MATCH($B195, 'Summary of Results'!$A:$A, 0))/INDEX('Summary of Results'!$G:$G, MATCH($B195, 'Summary of Results'!$A:$A, 0)) - 1)*100), NA()) = "", "", IFERROR(IF($C$145 = "Absolute", INDEX('Summary of Results'!I:I, MATCH($B195, 'Summary of Results'!$A:$A, 0)), (INDEX('Summary of Results'!I:I, MATCH($B195, 'Summary of Results'!$A:$A, 0))/INDEX('Summary of Results'!$G:$G, MATCH($B195, 'Summary of Results'!$A:$A, 0)) - 1)*100), NA()))</f>
        <v>338.58177032674911</v>
      </c>
      <c r="G195" s="1194">
        <f ca="1">IF(IFERROR(IF($C$145 = "Absolute", INDEX('Summary of Results'!J:J, MATCH($B195, 'Summary of Results'!$A:$A, 0)), (INDEX('Summary of Results'!J:J, MATCH($B195, 'Summary of Results'!$A:$A, 0))/INDEX('Summary of Results'!$G:$G, MATCH($B195, 'Summary of Results'!$A:$A, 0)) - 1)*100), NA()) = "", "", IFERROR(IF($C$145 = "Absolute", INDEX('Summary of Results'!J:J, MATCH($B195, 'Summary of Results'!$A:$A, 0)), (INDEX('Summary of Results'!J:J, MATCH($B195, 'Summary of Results'!$A:$A, 0))/INDEX('Summary of Results'!$G:$G, MATCH($B195, 'Summary of Results'!$A:$A, 0)) - 1)*100), NA()))</f>
        <v>334.7970678746326</v>
      </c>
      <c r="H195" s="1194">
        <f ca="1">IF(IFERROR(IF($C$145 = "Absolute", INDEX('Summary of Results'!K:K, MATCH($B195, 'Summary of Results'!$A:$A, 0)), (INDEX('Summary of Results'!K:K, MATCH($B195, 'Summary of Results'!$A:$A, 0))/INDEX('Summary of Results'!$G:$G, MATCH($B195, 'Summary of Results'!$A:$A, 0)) - 1)*100), NA()) = "", "", IFERROR(IF($C$145 = "Absolute", INDEX('Summary of Results'!K:K, MATCH($B195, 'Summary of Results'!$A:$A, 0)), (INDEX('Summary of Results'!K:K, MATCH($B195, 'Summary of Results'!$A:$A, 0))/INDEX('Summary of Results'!$G:$G, MATCH($B195, 'Summary of Results'!$A:$A, 0)) - 1)*100), NA()))</f>
        <v>331.61262350343435</v>
      </c>
      <c r="I195" s="1194">
        <f ca="1">IF(IFERROR(IF($C$145 = "Absolute", INDEX('Summary of Results'!L:L, MATCH($B195, 'Summary of Results'!$A:$A, 0)), (INDEX('Summary of Results'!L:L, MATCH($B195, 'Summary of Results'!$A:$A, 0))/INDEX('Summary of Results'!$G:$G, MATCH($B195, 'Summary of Results'!$A:$A, 0)) - 1)*100), NA()) = "", "", IFERROR(IF($C$145 = "Absolute", INDEX('Summary of Results'!L:L, MATCH($B195, 'Summary of Results'!$A:$A, 0)), (INDEX('Summary of Results'!L:L, MATCH($B195, 'Summary of Results'!$A:$A, 0))/INDEX('Summary of Results'!$G:$G, MATCH($B195, 'Summary of Results'!$A:$A, 0)) - 1)*100), NA()))</f>
        <v>321.70903028628567</v>
      </c>
      <c r="J195" s="1194">
        <f ca="1">IF(IFERROR(IF($C$145 = "Absolute", INDEX('Summary of Results'!M:M, MATCH($B195, 'Summary of Results'!$A:$A, 0)), (INDEX('Summary of Results'!M:M, MATCH($B195, 'Summary of Results'!$A:$A, 0))/INDEX('Summary of Results'!$G:$G, MATCH($B195, 'Summary of Results'!$A:$A, 0)) - 1)*100), NA()) = "", "", IFERROR(IF($C$145 = "Absolute", INDEX('Summary of Results'!M:M, MATCH($B195, 'Summary of Results'!$A:$A, 0)), (INDEX('Summary of Results'!M:M, MATCH($B195, 'Summary of Results'!$A:$A, 0))/INDEX('Summary of Results'!$G:$G, MATCH($B195, 'Summary of Results'!$A:$A, 0)) - 1)*100), NA()))</f>
        <v>294.53402236377542</v>
      </c>
      <c r="K195"/>
      <c r="L195"/>
      <c r="M195"/>
      <c r="N195"/>
      <c r="O195"/>
      <c r="P195"/>
      <c r="Q195"/>
      <c r="R195"/>
      <c r="S195"/>
      <c r="T195"/>
      <c r="U195"/>
      <c r="V195" s="1355"/>
      <c r="W195" s="1355"/>
      <c r="X195" s="1355"/>
      <c r="Y195" s="1355"/>
      <c r="Z195" s="1355"/>
      <c r="AA195" s="1355"/>
      <c r="AB195" s="1355"/>
      <c r="AC195"/>
      <c r="AD195"/>
      <c r="AE195"/>
      <c r="AF195"/>
      <c r="AG195"/>
      <c r="AH195"/>
      <c r="AI195"/>
      <c r="AJ195"/>
      <c r="AK195"/>
      <c r="AL195"/>
      <c r="AM195"/>
      <c r="AN195"/>
      <c r="AO195"/>
    </row>
    <row r="196" spans="1:41" outlineLevel="2" x14ac:dyDescent="0.35">
      <c r="A196" s="353"/>
      <c r="B196" s="1192">
        <v>7</v>
      </c>
      <c r="C196" s="1193" t="str">
        <f>IFERROR(INDEX('Summary of Results'!$B:$B, MATCH(B196, 'Summary of Results'!$A:$A, 0)), NA())</f>
        <v>Pack specific energy, Wh/kg</v>
      </c>
      <c r="D196" s="1194">
        <f ca="1">IF(IFERROR(IF($C$145 = "Absolute", INDEX('Summary of Results'!G:G, MATCH($B196, 'Summary of Results'!$A:$A, 0)), (INDEX('Summary of Results'!G:G, MATCH($B196, 'Summary of Results'!$A:$A, 0))/INDEX('Summary of Results'!$G:$G, MATCH($B196, 'Summary of Results'!$A:$A, 0)) - 1)*100), NA()) = "", "", IFERROR(IF($C$145 = "Absolute", INDEX('Summary of Results'!G:G, MATCH($B196, 'Summary of Results'!$A:$A, 0)), (INDEX('Summary of Results'!G:G, MATCH($B196, 'Summary of Results'!$A:$A, 0))/INDEX('Summary of Results'!$G:$G, MATCH($B196, 'Summary of Results'!$A:$A, 0)) - 1)*100), NA()))</f>
        <v>204.61347098052843</v>
      </c>
      <c r="E196" s="1194">
        <f ca="1">IF(IFERROR(IF($C$145 = "Absolute", INDEX('Summary of Results'!H:H, MATCH($B196, 'Summary of Results'!$A:$A, 0)), (INDEX('Summary of Results'!H:H, MATCH($B196, 'Summary of Results'!$A:$A, 0))/INDEX('Summary of Results'!$G:$G, MATCH($B196, 'Summary of Results'!$A:$A, 0)) - 1)*100), NA()) = "", "", IFERROR(IF($C$145 = "Absolute", INDEX('Summary of Results'!H:H, MATCH($B196, 'Summary of Results'!$A:$A, 0)), (INDEX('Summary of Results'!H:H, MATCH($B196, 'Summary of Results'!$A:$A, 0))/INDEX('Summary of Results'!$G:$G, MATCH($B196, 'Summary of Results'!$A:$A, 0)) - 1)*100), NA()))</f>
        <v>204.61347098052843</v>
      </c>
      <c r="F196" s="1194">
        <f ca="1">IF(IFERROR(IF($C$145 = "Absolute", INDEX('Summary of Results'!I:I, MATCH($B196, 'Summary of Results'!$A:$A, 0)), (INDEX('Summary of Results'!I:I, MATCH($B196, 'Summary of Results'!$A:$A, 0))/INDEX('Summary of Results'!$G:$G, MATCH($B196, 'Summary of Results'!$A:$A, 0)) - 1)*100), NA()) = "", "", IFERROR(IF($C$145 = "Absolute", INDEX('Summary of Results'!I:I, MATCH($B196, 'Summary of Results'!$A:$A, 0)), (INDEX('Summary of Results'!I:I, MATCH($B196, 'Summary of Results'!$A:$A, 0))/INDEX('Summary of Results'!$G:$G, MATCH($B196, 'Summary of Results'!$A:$A, 0)) - 1)*100), NA()))</f>
        <v>203.22740404943275</v>
      </c>
      <c r="G196" s="1194">
        <f ca="1">IF(IFERROR(IF($C$145 = "Absolute", INDEX('Summary of Results'!J:J, MATCH($B196, 'Summary of Results'!$A:$A, 0)), (INDEX('Summary of Results'!J:J, MATCH($B196, 'Summary of Results'!$A:$A, 0))/INDEX('Summary of Results'!$G:$G, MATCH($B196, 'Summary of Results'!$A:$A, 0)) - 1)*100), NA()) = "", "", IFERROR(IF($C$145 = "Absolute", INDEX('Summary of Results'!J:J, MATCH($B196, 'Summary of Results'!$A:$A, 0)), (INDEX('Summary of Results'!J:J, MATCH($B196, 'Summary of Results'!$A:$A, 0))/INDEX('Summary of Results'!$G:$G, MATCH($B196, 'Summary of Results'!$A:$A, 0)) - 1)*100), NA()))</f>
        <v>200.57941986185665</v>
      </c>
      <c r="H196" s="1194">
        <f ca="1">IF(IFERROR(IF($C$145 = "Absolute", INDEX('Summary of Results'!K:K, MATCH($B196, 'Summary of Results'!$A:$A, 0)), (INDEX('Summary of Results'!K:K, MATCH($B196, 'Summary of Results'!$A:$A, 0))/INDEX('Summary of Results'!$G:$G, MATCH($B196, 'Summary of Results'!$A:$A, 0)) - 1)*100), NA()) = "", "", IFERROR(IF($C$145 = "Absolute", INDEX('Summary of Results'!K:K, MATCH($B196, 'Summary of Results'!$A:$A, 0)), (INDEX('Summary of Results'!K:K, MATCH($B196, 'Summary of Results'!$A:$A, 0))/INDEX('Summary of Results'!$G:$G, MATCH($B196, 'Summary of Results'!$A:$A, 0)) - 1)*100), NA()))</f>
        <v>197.13725335146768</v>
      </c>
      <c r="I196" s="1194">
        <f ca="1">IF(IFERROR(IF($C$145 = "Absolute", INDEX('Summary of Results'!L:L, MATCH($B196, 'Summary of Results'!$A:$A, 0)), (INDEX('Summary of Results'!L:L, MATCH($B196, 'Summary of Results'!$A:$A, 0))/INDEX('Summary of Results'!$G:$G, MATCH($B196, 'Summary of Results'!$A:$A, 0)) - 1)*100), NA()) = "", "", IFERROR(IF($C$145 = "Absolute", INDEX('Summary of Results'!L:L, MATCH($B196, 'Summary of Results'!$A:$A, 0)), (INDEX('Summary of Results'!L:L, MATCH($B196, 'Summary of Results'!$A:$A, 0))/INDEX('Summary of Results'!$G:$G, MATCH($B196, 'Summary of Results'!$A:$A, 0)) - 1)*100), NA()))</f>
        <v>189.57969948932683</v>
      </c>
      <c r="J196" s="1194">
        <f ca="1">IF(IFERROR(IF($C$145 = "Absolute", INDEX('Summary of Results'!M:M, MATCH($B196, 'Summary of Results'!$A:$A, 0)), (INDEX('Summary of Results'!M:M, MATCH($B196, 'Summary of Results'!$A:$A, 0))/INDEX('Summary of Results'!$G:$G, MATCH($B196, 'Summary of Results'!$A:$A, 0)) - 1)*100), NA()) = "", "", IFERROR(IF($C$145 = "Absolute", INDEX('Summary of Results'!M:M, MATCH($B196, 'Summary of Results'!$A:$A, 0)), (INDEX('Summary of Results'!M:M, MATCH($B196, 'Summary of Results'!$A:$A, 0))/INDEX('Summary of Results'!$G:$G, MATCH($B196, 'Summary of Results'!$A:$A, 0)) - 1)*100), NA()))</f>
        <v>168.38712179595259</v>
      </c>
      <c r="K196"/>
      <c r="L196"/>
      <c r="M196"/>
      <c r="N196"/>
      <c r="O196"/>
      <c r="P196"/>
      <c r="Q196"/>
      <c r="R196"/>
      <c r="S196"/>
      <c r="T196"/>
      <c r="U196"/>
      <c r="V196" s="1355"/>
      <c r="W196" s="1355"/>
      <c r="X196" s="1355"/>
      <c r="Y196" s="1355"/>
      <c r="Z196" s="1355"/>
      <c r="AA196" s="1355"/>
      <c r="AB196" s="1355"/>
      <c r="AC196"/>
      <c r="AD196"/>
      <c r="AE196"/>
      <c r="AF196"/>
      <c r="AG196"/>
      <c r="AH196"/>
      <c r="AI196"/>
      <c r="AJ196"/>
      <c r="AK196"/>
      <c r="AL196"/>
      <c r="AM196"/>
      <c r="AN196"/>
      <c r="AO196"/>
    </row>
    <row r="197" spans="1:41" outlineLevel="2" x14ac:dyDescent="0.35">
      <c r="A197" s="353"/>
      <c r="B197" s="1192">
        <v>8</v>
      </c>
      <c r="C197" s="1193" t="str">
        <f>IFERROR(INDEX('Summary of Results'!$B:$B, MATCH(B197, 'Summary of Results'!$A:$A, 0)), NA())</f>
        <v>Number of modules per pack</v>
      </c>
      <c r="D197" s="1194">
        <f>IF(IFERROR(IF($C$145 = "Absolute", INDEX('Summary of Results'!G:G, MATCH($B197, 'Summary of Results'!$A:$A, 0)), (INDEX('Summary of Results'!G:G, MATCH($B197, 'Summary of Results'!$A:$A, 0))/INDEX('Summary of Results'!$G:$G, MATCH($B197, 'Summary of Results'!$A:$A, 0)) - 1)*100), NA()) = "", "", IFERROR(IF($C$145 = "Absolute", INDEX('Summary of Results'!G:G, MATCH($B197, 'Summary of Results'!$A:$A, 0)), (INDEX('Summary of Results'!G:G, MATCH($B197, 'Summary of Results'!$A:$A, 0))/INDEX('Summary of Results'!$G:$G, MATCH($B197, 'Summary of Results'!$A:$A, 0)) - 1)*100), NA()))</f>
        <v>20</v>
      </c>
      <c r="E197" s="1194">
        <f>IF(IFERROR(IF($C$145 = "Absolute", INDEX('Summary of Results'!H:H, MATCH($B197, 'Summary of Results'!$A:$A, 0)), (INDEX('Summary of Results'!H:H, MATCH($B197, 'Summary of Results'!$A:$A, 0))/INDEX('Summary of Results'!$G:$G, MATCH($B197, 'Summary of Results'!$A:$A, 0)) - 1)*100), NA()) = "", "", IFERROR(IF($C$145 = "Absolute", INDEX('Summary of Results'!H:H, MATCH($B197, 'Summary of Results'!$A:$A, 0)), (INDEX('Summary of Results'!H:H, MATCH($B197, 'Summary of Results'!$A:$A, 0))/INDEX('Summary of Results'!$G:$G, MATCH($B197, 'Summary of Results'!$A:$A, 0)) - 1)*100), NA()))</f>
        <v>20</v>
      </c>
      <c r="F197" s="1194">
        <f>IF(IFERROR(IF($C$145 = "Absolute", INDEX('Summary of Results'!I:I, MATCH($B197, 'Summary of Results'!$A:$A, 0)), (INDEX('Summary of Results'!I:I, MATCH($B197, 'Summary of Results'!$A:$A, 0))/INDEX('Summary of Results'!$G:$G, MATCH($B197, 'Summary of Results'!$A:$A, 0)) - 1)*100), NA()) = "", "", IFERROR(IF($C$145 = "Absolute", INDEX('Summary of Results'!I:I, MATCH($B197, 'Summary of Results'!$A:$A, 0)), (INDEX('Summary of Results'!I:I, MATCH($B197, 'Summary of Results'!$A:$A, 0))/INDEX('Summary of Results'!$G:$G, MATCH($B197, 'Summary of Results'!$A:$A, 0)) - 1)*100), NA()))</f>
        <v>20</v>
      </c>
      <c r="G197" s="1194">
        <f>IF(IFERROR(IF($C$145 = "Absolute", INDEX('Summary of Results'!J:J, MATCH($B197, 'Summary of Results'!$A:$A, 0)), (INDEX('Summary of Results'!J:J, MATCH($B197, 'Summary of Results'!$A:$A, 0))/INDEX('Summary of Results'!$G:$G, MATCH($B197, 'Summary of Results'!$A:$A, 0)) - 1)*100), NA()) = "", "", IFERROR(IF($C$145 = "Absolute", INDEX('Summary of Results'!J:J, MATCH($B197, 'Summary of Results'!$A:$A, 0)), (INDEX('Summary of Results'!J:J, MATCH($B197, 'Summary of Results'!$A:$A, 0))/INDEX('Summary of Results'!$G:$G, MATCH($B197, 'Summary of Results'!$A:$A, 0)) - 1)*100), NA()))</f>
        <v>20</v>
      </c>
      <c r="H197" s="1194">
        <f>IF(IFERROR(IF($C$145 = "Absolute", INDEX('Summary of Results'!K:K, MATCH($B197, 'Summary of Results'!$A:$A, 0)), (INDEX('Summary of Results'!K:K, MATCH($B197, 'Summary of Results'!$A:$A, 0))/INDEX('Summary of Results'!$G:$G, MATCH($B197, 'Summary of Results'!$A:$A, 0)) - 1)*100), NA()) = "", "", IFERROR(IF($C$145 = "Absolute", INDEX('Summary of Results'!K:K, MATCH($B197, 'Summary of Results'!$A:$A, 0)), (INDEX('Summary of Results'!K:K, MATCH($B197, 'Summary of Results'!$A:$A, 0))/INDEX('Summary of Results'!$G:$G, MATCH($B197, 'Summary of Results'!$A:$A, 0)) - 1)*100), NA()))</f>
        <v>20</v>
      </c>
      <c r="I197" s="1194">
        <f>IF(IFERROR(IF($C$145 = "Absolute", INDEX('Summary of Results'!L:L, MATCH($B197, 'Summary of Results'!$A:$A, 0)), (INDEX('Summary of Results'!L:L, MATCH($B197, 'Summary of Results'!$A:$A, 0))/INDEX('Summary of Results'!$G:$G, MATCH($B197, 'Summary of Results'!$A:$A, 0)) - 1)*100), NA()) = "", "", IFERROR(IF($C$145 = "Absolute", INDEX('Summary of Results'!L:L, MATCH($B197, 'Summary of Results'!$A:$A, 0)), (INDEX('Summary of Results'!L:L, MATCH($B197, 'Summary of Results'!$A:$A, 0))/INDEX('Summary of Results'!$G:$G, MATCH($B197, 'Summary of Results'!$A:$A, 0)) - 1)*100), NA()))</f>
        <v>20</v>
      </c>
      <c r="J197" s="1194">
        <f>IF(IFERROR(IF($C$145 = "Absolute", INDEX('Summary of Results'!M:M, MATCH($B197, 'Summary of Results'!$A:$A, 0)), (INDEX('Summary of Results'!M:M, MATCH($B197, 'Summary of Results'!$A:$A, 0))/INDEX('Summary of Results'!$G:$G, MATCH($B197, 'Summary of Results'!$A:$A, 0)) - 1)*100), NA()) = "", "", IFERROR(IF($C$145 = "Absolute", INDEX('Summary of Results'!M:M, MATCH($B197, 'Summary of Results'!$A:$A, 0)), (INDEX('Summary of Results'!M:M, MATCH($B197, 'Summary of Results'!$A:$A, 0))/INDEX('Summary of Results'!$G:$G, MATCH($B197, 'Summary of Results'!$A:$A, 0)) - 1)*100), NA()))</f>
        <v>20</v>
      </c>
      <c r="K197"/>
      <c r="L197"/>
      <c r="M197"/>
      <c r="N197"/>
      <c r="O197"/>
      <c r="P197"/>
      <c r="Q197"/>
      <c r="R197"/>
      <c r="S197"/>
      <c r="T197"/>
      <c r="U197"/>
      <c r="V197" s="1355"/>
      <c r="W197" s="1355"/>
      <c r="X197" s="1355"/>
      <c r="Y197" s="1355"/>
      <c r="Z197" s="1355"/>
      <c r="AA197" s="1355"/>
      <c r="AB197" s="1355"/>
      <c r="AC197"/>
      <c r="AD197"/>
      <c r="AE197"/>
      <c r="AF197"/>
      <c r="AG197"/>
      <c r="AH197"/>
      <c r="AI197"/>
      <c r="AJ197"/>
      <c r="AK197"/>
      <c r="AL197"/>
      <c r="AM197"/>
      <c r="AN197"/>
      <c r="AO197"/>
    </row>
    <row r="198" spans="1:41" outlineLevel="2" x14ac:dyDescent="0.35">
      <c r="A198" s="353"/>
      <c r="B198" s="1192">
        <v>9</v>
      </c>
      <c r="C198" s="1193" t="str">
        <f>IFERROR(INDEX('Summary of Results'!$B:$B, MATCH(B198, 'Summary of Results'!$A:$A, 0)), NA())</f>
        <v>Number of cells per pack</v>
      </c>
      <c r="D198" s="1194">
        <f>IF(IFERROR(IF($C$145 = "Absolute", INDEX('Summary of Results'!G:G, MATCH($B198, 'Summary of Results'!$A:$A, 0)), (INDEX('Summary of Results'!G:G, MATCH($B198, 'Summary of Results'!$A:$A, 0))/INDEX('Summary of Results'!$G:$G, MATCH($B198, 'Summary of Results'!$A:$A, 0)) - 1)*100), NA()) = "", "", IFERROR(IF($C$145 = "Absolute", INDEX('Summary of Results'!G:G, MATCH($B198, 'Summary of Results'!$A:$A, 0)), (INDEX('Summary of Results'!G:G, MATCH($B198, 'Summary of Results'!$A:$A, 0))/INDEX('Summary of Results'!$G:$G, MATCH($B198, 'Summary of Results'!$A:$A, 0)) - 1)*100), NA()))</f>
        <v>400</v>
      </c>
      <c r="E198" s="1194">
        <f>IF(IFERROR(IF($C$145 = "Absolute", INDEX('Summary of Results'!H:H, MATCH($B198, 'Summary of Results'!$A:$A, 0)), (INDEX('Summary of Results'!H:H, MATCH($B198, 'Summary of Results'!$A:$A, 0))/INDEX('Summary of Results'!$G:$G, MATCH($B198, 'Summary of Results'!$A:$A, 0)) - 1)*100), NA()) = "", "", IFERROR(IF($C$145 = "Absolute", INDEX('Summary of Results'!H:H, MATCH($B198, 'Summary of Results'!$A:$A, 0)), (INDEX('Summary of Results'!H:H, MATCH($B198, 'Summary of Results'!$A:$A, 0))/INDEX('Summary of Results'!$G:$G, MATCH($B198, 'Summary of Results'!$A:$A, 0)) - 1)*100), NA()))</f>
        <v>400</v>
      </c>
      <c r="F198" s="1194">
        <f>IF(IFERROR(IF($C$145 = "Absolute", INDEX('Summary of Results'!I:I, MATCH($B198, 'Summary of Results'!$A:$A, 0)), (INDEX('Summary of Results'!I:I, MATCH($B198, 'Summary of Results'!$A:$A, 0))/INDEX('Summary of Results'!$G:$G, MATCH($B198, 'Summary of Results'!$A:$A, 0)) - 1)*100), NA()) = "", "", IFERROR(IF($C$145 = "Absolute", INDEX('Summary of Results'!I:I, MATCH($B198, 'Summary of Results'!$A:$A, 0)), (INDEX('Summary of Results'!I:I, MATCH($B198, 'Summary of Results'!$A:$A, 0))/INDEX('Summary of Results'!$G:$G, MATCH($B198, 'Summary of Results'!$A:$A, 0)) - 1)*100), NA()))</f>
        <v>400</v>
      </c>
      <c r="G198" s="1194">
        <f>IF(IFERROR(IF($C$145 = "Absolute", INDEX('Summary of Results'!J:J, MATCH($B198, 'Summary of Results'!$A:$A, 0)), (INDEX('Summary of Results'!J:J, MATCH($B198, 'Summary of Results'!$A:$A, 0))/INDEX('Summary of Results'!$G:$G, MATCH($B198, 'Summary of Results'!$A:$A, 0)) - 1)*100), NA()) = "", "", IFERROR(IF($C$145 = "Absolute", INDEX('Summary of Results'!J:J, MATCH($B198, 'Summary of Results'!$A:$A, 0)), (INDEX('Summary of Results'!J:J, MATCH($B198, 'Summary of Results'!$A:$A, 0))/INDEX('Summary of Results'!$G:$G, MATCH($B198, 'Summary of Results'!$A:$A, 0)) - 1)*100), NA()))</f>
        <v>400</v>
      </c>
      <c r="H198" s="1194">
        <f>IF(IFERROR(IF($C$145 = "Absolute", INDEX('Summary of Results'!K:K, MATCH($B198, 'Summary of Results'!$A:$A, 0)), (INDEX('Summary of Results'!K:K, MATCH($B198, 'Summary of Results'!$A:$A, 0))/INDEX('Summary of Results'!$G:$G, MATCH($B198, 'Summary of Results'!$A:$A, 0)) - 1)*100), NA()) = "", "", IFERROR(IF($C$145 = "Absolute", INDEX('Summary of Results'!K:K, MATCH($B198, 'Summary of Results'!$A:$A, 0)), (INDEX('Summary of Results'!K:K, MATCH($B198, 'Summary of Results'!$A:$A, 0))/INDEX('Summary of Results'!$G:$G, MATCH($B198, 'Summary of Results'!$A:$A, 0)) - 1)*100), NA()))</f>
        <v>400</v>
      </c>
      <c r="I198" s="1194">
        <f>IF(IFERROR(IF($C$145 = "Absolute", INDEX('Summary of Results'!L:L, MATCH($B198, 'Summary of Results'!$A:$A, 0)), (INDEX('Summary of Results'!L:L, MATCH($B198, 'Summary of Results'!$A:$A, 0))/INDEX('Summary of Results'!$G:$G, MATCH($B198, 'Summary of Results'!$A:$A, 0)) - 1)*100), NA()) = "", "", IFERROR(IF($C$145 = "Absolute", INDEX('Summary of Results'!L:L, MATCH($B198, 'Summary of Results'!$A:$A, 0)), (INDEX('Summary of Results'!L:L, MATCH($B198, 'Summary of Results'!$A:$A, 0))/INDEX('Summary of Results'!$G:$G, MATCH($B198, 'Summary of Results'!$A:$A, 0)) - 1)*100), NA()))</f>
        <v>400</v>
      </c>
      <c r="J198" s="1194">
        <f>IF(IFERROR(IF($C$145 = "Absolute", INDEX('Summary of Results'!M:M, MATCH($B198, 'Summary of Results'!$A:$A, 0)), (INDEX('Summary of Results'!M:M, MATCH($B198, 'Summary of Results'!$A:$A, 0))/INDEX('Summary of Results'!$G:$G, MATCH($B198, 'Summary of Results'!$A:$A, 0)) - 1)*100), NA()) = "", "", IFERROR(IF($C$145 = "Absolute", INDEX('Summary of Results'!M:M, MATCH($B198, 'Summary of Results'!$A:$A, 0)), (INDEX('Summary of Results'!M:M, MATCH($B198, 'Summary of Results'!$A:$A, 0))/INDEX('Summary of Results'!$G:$G, MATCH($B198, 'Summary of Results'!$A:$A, 0)) - 1)*100), NA()))</f>
        <v>400</v>
      </c>
      <c r="K198"/>
      <c r="L198"/>
      <c r="M198"/>
      <c r="N198"/>
      <c r="O198"/>
      <c r="P198"/>
      <c r="Q198"/>
      <c r="R198"/>
      <c r="S198"/>
      <c r="T198"/>
      <c r="U198"/>
      <c r="V198" s="1355"/>
      <c r="W198" s="1355"/>
      <c r="X198" s="1355"/>
      <c r="Y198" s="1355"/>
      <c r="Z198" s="1355"/>
      <c r="AA198" s="1355"/>
      <c r="AB198" s="1355"/>
      <c r="AC198"/>
      <c r="AD198"/>
      <c r="AE198"/>
      <c r="AF198"/>
      <c r="AG198"/>
      <c r="AH198"/>
      <c r="AI198"/>
      <c r="AJ198"/>
      <c r="AK198"/>
      <c r="AL198"/>
      <c r="AM198"/>
      <c r="AN198"/>
      <c r="AO198"/>
    </row>
    <row r="199" spans="1:41" outlineLevel="2" x14ac:dyDescent="0.35">
      <c r="A199" s="353"/>
      <c r="B199" s="1192">
        <v>10</v>
      </c>
      <c r="C199" s="1193" t="str">
        <f>IFERROR(INDEX('Summary of Results'!$B:$B, MATCH(B199, 'Summary of Results'!$A:$A, 0)), NA())</f>
        <v>Pack volume, L</v>
      </c>
      <c r="D199" s="1194">
        <f ca="1">IF(IFERROR(IF($C$145 = "Absolute", INDEX('Summary of Results'!G:G, MATCH($B199, 'Summary of Results'!$A:$A, 0)), (INDEX('Summary of Results'!G:G, MATCH($B199, 'Summary of Results'!$A:$A, 0))/INDEX('Summary of Results'!$G:$G, MATCH($B199, 'Summary of Results'!$A:$A, 0)) - 1)*100), NA()) = "", "", IFERROR(IF($C$145 = "Absolute", INDEX('Summary of Results'!G:G, MATCH($B199, 'Summary of Results'!$A:$A, 0)), (INDEX('Summary of Results'!G:G, MATCH($B199, 'Summary of Results'!$A:$A, 0))/INDEX('Summary of Results'!$G:$G, MATCH($B199, 'Summary of Results'!$A:$A, 0)) - 1)*100), NA()))</f>
        <v>294.19151558886949</v>
      </c>
      <c r="E199" s="1194">
        <f ca="1">IF(IFERROR(IF($C$145 = "Absolute", INDEX('Summary of Results'!H:H, MATCH($B199, 'Summary of Results'!$A:$A, 0)), (INDEX('Summary of Results'!H:H, MATCH($B199, 'Summary of Results'!$A:$A, 0))/INDEX('Summary of Results'!$G:$G, MATCH($B199, 'Summary of Results'!$A:$A, 0)) - 1)*100), NA()) = "", "", IFERROR(IF($C$145 = "Absolute", INDEX('Summary of Results'!H:H, MATCH($B199, 'Summary of Results'!$A:$A, 0)), (INDEX('Summary of Results'!H:H, MATCH($B199, 'Summary of Results'!$A:$A, 0))/INDEX('Summary of Results'!$G:$G, MATCH($B199, 'Summary of Results'!$A:$A, 0)) - 1)*100), NA()))</f>
        <v>294.19151558886949</v>
      </c>
      <c r="F199" s="1194">
        <f ca="1">IF(IFERROR(IF($C$145 = "Absolute", INDEX('Summary of Results'!I:I, MATCH($B199, 'Summary of Results'!$A:$A, 0)), (INDEX('Summary of Results'!I:I, MATCH($B199, 'Summary of Results'!$A:$A, 0))/INDEX('Summary of Results'!$G:$G, MATCH($B199, 'Summary of Results'!$A:$A, 0)) - 1)*100), NA()) = "", "", IFERROR(IF($C$145 = "Absolute", INDEX('Summary of Results'!I:I, MATCH($B199, 'Summary of Results'!$A:$A, 0)), (INDEX('Summary of Results'!I:I, MATCH($B199, 'Summary of Results'!$A:$A, 0))/INDEX('Summary of Results'!$G:$G, MATCH($B199, 'Summary of Results'!$A:$A, 0)) - 1)*100), NA()))</f>
        <v>295.34962825522098</v>
      </c>
      <c r="G199" s="1194">
        <f ca="1">IF(IFERROR(IF($C$145 = "Absolute", INDEX('Summary of Results'!J:J, MATCH($B199, 'Summary of Results'!$A:$A, 0)), (INDEX('Summary of Results'!J:J, MATCH($B199, 'Summary of Results'!$A:$A, 0))/INDEX('Summary of Results'!$G:$G, MATCH($B199, 'Summary of Results'!$A:$A, 0)) - 1)*100), NA()) = "", "", IFERROR(IF($C$145 = "Absolute", INDEX('Summary of Results'!J:J, MATCH($B199, 'Summary of Results'!$A:$A, 0)), (INDEX('Summary of Results'!J:J, MATCH($B199, 'Summary of Results'!$A:$A, 0))/INDEX('Summary of Results'!$G:$G, MATCH($B199, 'Summary of Results'!$A:$A, 0)) - 1)*100), NA()))</f>
        <v>298.68839842243108</v>
      </c>
      <c r="H199" s="1194">
        <f ca="1">IF(IFERROR(IF($C$145 = "Absolute", INDEX('Summary of Results'!K:K, MATCH($B199, 'Summary of Results'!$A:$A, 0)), (INDEX('Summary of Results'!K:K, MATCH($B199, 'Summary of Results'!$A:$A, 0))/INDEX('Summary of Results'!$G:$G, MATCH($B199, 'Summary of Results'!$A:$A, 0)) - 1)*100), NA()) = "", "", IFERROR(IF($C$145 = "Absolute", INDEX('Summary of Results'!K:K, MATCH($B199, 'Summary of Results'!$A:$A, 0)), (INDEX('Summary of Results'!K:K, MATCH($B199, 'Summary of Results'!$A:$A, 0))/INDEX('Summary of Results'!$G:$G, MATCH($B199, 'Summary of Results'!$A:$A, 0)) - 1)*100), NA()))</f>
        <v>301.55667460278181</v>
      </c>
      <c r="I199" s="1194">
        <f ca="1">IF(IFERROR(IF($C$145 = "Absolute", INDEX('Summary of Results'!L:L, MATCH($B199, 'Summary of Results'!$A:$A, 0)), (INDEX('Summary of Results'!L:L, MATCH($B199, 'Summary of Results'!$A:$A, 0))/INDEX('Summary of Results'!$G:$G, MATCH($B199, 'Summary of Results'!$A:$A, 0)) - 1)*100), NA()) = "", "", IFERROR(IF($C$145 = "Absolute", INDEX('Summary of Results'!L:L, MATCH($B199, 'Summary of Results'!$A:$A, 0)), (INDEX('Summary of Results'!L:L, MATCH($B199, 'Summary of Results'!$A:$A, 0))/INDEX('Summary of Results'!$G:$G, MATCH($B199, 'Summary of Results'!$A:$A, 0)) - 1)*100), NA()))</f>
        <v>310.83989128626871</v>
      </c>
      <c r="J199" s="1194">
        <f ca="1">IF(IFERROR(IF($C$145 = "Absolute", INDEX('Summary of Results'!M:M, MATCH($B199, 'Summary of Results'!$A:$A, 0)), (INDEX('Summary of Results'!M:M, MATCH($B199, 'Summary of Results'!$A:$A, 0))/INDEX('Summary of Results'!$G:$G, MATCH($B199, 'Summary of Results'!$A:$A, 0)) - 1)*100), NA()) = "", "", IFERROR(IF($C$145 = "Absolute", INDEX('Summary of Results'!M:M, MATCH($B199, 'Summary of Results'!$A:$A, 0)), (INDEX('Summary of Results'!M:M, MATCH($B199, 'Summary of Results'!$A:$A, 0))/INDEX('Summary of Results'!$G:$G, MATCH($B199, 'Summary of Results'!$A:$A, 0)) - 1)*100), NA()))</f>
        <v>339.51935059132722</v>
      </c>
      <c r="K199"/>
      <c r="L199"/>
      <c r="M199"/>
      <c r="N199"/>
      <c r="O199"/>
      <c r="P199"/>
      <c r="Q199"/>
      <c r="R199"/>
      <c r="S199"/>
      <c r="T199"/>
      <c r="U199"/>
      <c r="V199" s="1355"/>
      <c r="W199" s="1355"/>
      <c r="X199" s="1355"/>
      <c r="Y199" s="1355"/>
      <c r="Z199" s="1355"/>
      <c r="AA199" s="1355"/>
      <c r="AB199" s="1355"/>
      <c r="AC199"/>
      <c r="AD199"/>
      <c r="AE199"/>
      <c r="AF199"/>
      <c r="AG199"/>
      <c r="AH199"/>
      <c r="AI199"/>
      <c r="AJ199"/>
      <c r="AK199"/>
      <c r="AL199"/>
      <c r="AM199"/>
      <c r="AN199"/>
      <c r="AO199"/>
    </row>
    <row r="200" spans="1:41" outlineLevel="2" x14ac:dyDescent="0.35">
      <c r="A200" s="353"/>
      <c r="B200" s="1192">
        <v>11</v>
      </c>
      <c r="C200" s="1193" t="str">
        <f>IFERROR(INDEX('Summary of Results'!$B:$B, MATCH(B200, 'Summary of Results'!$A:$A, 0)), NA())</f>
        <v>Pack total mass, kg</v>
      </c>
      <c r="D200" s="1270">
        <f ca="1">IF(IFERROR(IF($C$145 = "Absolute", INDEX('Summary of Results'!G:G, MATCH($B200, 'Summary of Results'!$A:$A, 0)), (INDEX('Summary of Results'!G:G, MATCH($B200, 'Summary of Results'!$A:$A, 0))/INDEX('Summary of Results'!$G:$G, MATCH($B200, 'Summary of Results'!$A:$A, 0)) - 1)*100), NA()) = "", "", IFERROR(IF($C$145 = "Absolute", INDEX('Summary of Results'!G:G, MATCH($B200, 'Summary of Results'!$A:$A, 0)), (INDEX('Summary of Results'!G:G, MATCH($B200, 'Summary of Results'!$A:$A, 0))/INDEX('Summary of Results'!$G:$G, MATCH($B200, 'Summary of Results'!$A:$A, 0)) - 1)*100), NA()))</f>
        <v>488.72637525178504</v>
      </c>
      <c r="E200" s="1270">
        <f ca="1">IF(IFERROR(IF($C$145 = "Absolute", INDEX('Summary of Results'!H:H, MATCH($B200, 'Summary of Results'!$A:$A, 0)), (INDEX('Summary of Results'!H:H, MATCH($B200, 'Summary of Results'!$A:$A, 0))/INDEX('Summary of Results'!$G:$G, MATCH($B200, 'Summary of Results'!$A:$A, 0)) - 1)*100), NA()) = "", "", IFERROR(IF($C$145 = "Absolute", INDEX('Summary of Results'!H:H, MATCH($B200, 'Summary of Results'!$A:$A, 0)), (INDEX('Summary of Results'!H:H, MATCH($B200, 'Summary of Results'!$A:$A, 0))/INDEX('Summary of Results'!$G:$G, MATCH($B200, 'Summary of Results'!$A:$A, 0)) - 1)*100), NA()))</f>
        <v>488.72637525178504</v>
      </c>
      <c r="F200" s="1270">
        <f ca="1">IF(IFERROR(IF($C$145 = "Absolute", INDEX('Summary of Results'!I:I, MATCH($B200, 'Summary of Results'!$A:$A, 0)), (INDEX('Summary of Results'!I:I, MATCH($B200, 'Summary of Results'!$A:$A, 0))/INDEX('Summary of Results'!$G:$G, MATCH($B200, 'Summary of Results'!$A:$A, 0)) - 1)*100), NA()) = "", "", IFERROR(IF($C$145 = "Absolute", INDEX('Summary of Results'!I:I, MATCH($B200, 'Summary of Results'!$A:$A, 0)), (INDEX('Summary of Results'!I:I, MATCH($B200, 'Summary of Results'!$A:$A, 0))/INDEX('Summary of Results'!$G:$G, MATCH($B200, 'Summary of Results'!$A:$A, 0)) - 1)*100), NA()))</f>
        <v>492.05962388653103</v>
      </c>
      <c r="G200" s="1270">
        <f ca="1">IF(IFERROR(IF($C$145 = "Absolute", INDEX('Summary of Results'!J:J, MATCH($B200, 'Summary of Results'!$A:$A, 0)), (INDEX('Summary of Results'!J:J, MATCH($B200, 'Summary of Results'!$A:$A, 0))/INDEX('Summary of Results'!$G:$G, MATCH($B200, 'Summary of Results'!$A:$A, 0)) - 1)*100), NA()) = "", "", IFERROR(IF($C$145 = "Absolute", INDEX('Summary of Results'!J:J, MATCH($B200, 'Summary of Results'!$A:$A, 0)), (INDEX('Summary of Results'!J:J, MATCH($B200, 'Summary of Results'!$A:$A, 0))/INDEX('Summary of Results'!$G:$G, MATCH($B200, 'Summary of Results'!$A:$A, 0)) - 1)*100), NA()))</f>
        <v>498.55563481473871</v>
      </c>
      <c r="H200" s="1270">
        <f ca="1">IF(IFERROR(IF($C$145 = "Absolute", INDEX('Summary of Results'!K:K, MATCH($B200, 'Summary of Results'!$A:$A, 0)), (INDEX('Summary of Results'!K:K, MATCH($B200, 'Summary of Results'!$A:$A, 0))/INDEX('Summary of Results'!$G:$G, MATCH($B200, 'Summary of Results'!$A:$A, 0)) - 1)*100), NA()) = "", "", IFERROR(IF($C$145 = "Absolute", INDEX('Summary of Results'!K:K, MATCH($B200, 'Summary of Results'!$A:$A, 0)), (INDEX('Summary of Results'!K:K, MATCH($B200, 'Summary of Results'!$A:$A, 0))/INDEX('Summary of Results'!$G:$G, MATCH($B200, 'Summary of Results'!$A:$A, 0)) - 1)*100), NA()))</f>
        <v>507.26079571431472</v>
      </c>
      <c r="I200" s="1270">
        <f ca="1">IF(IFERROR(IF($C$145 = "Absolute", INDEX('Summary of Results'!L:L, MATCH($B200, 'Summary of Results'!$A:$A, 0)), (INDEX('Summary of Results'!L:L, MATCH($B200, 'Summary of Results'!$A:$A, 0))/INDEX('Summary of Results'!$G:$G, MATCH($B200, 'Summary of Results'!$A:$A, 0)) - 1)*100), NA()) = "", "", IFERROR(IF($C$145 = "Absolute", INDEX('Summary of Results'!L:L, MATCH($B200, 'Summary of Results'!$A:$A, 0)), (INDEX('Summary of Results'!L:L, MATCH($B200, 'Summary of Results'!$A:$A, 0))/INDEX('Summary of Results'!$G:$G, MATCH($B200, 'Summary of Results'!$A:$A, 0)) - 1)*100), NA()))</f>
        <v>527.48263801119629</v>
      </c>
      <c r="J200" s="1270">
        <f ca="1">IF(IFERROR(IF($C$145 = "Absolute", INDEX('Summary of Results'!M:M, MATCH($B200, 'Summary of Results'!$A:$A, 0)), (INDEX('Summary of Results'!M:M, MATCH($B200, 'Summary of Results'!$A:$A, 0))/INDEX('Summary of Results'!$G:$G, MATCH($B200, 'Summary of Results'!$A:$A, 0)) - 1)*100), NA()) = "", "", IFERROR(IF($C$145 = "Absolute", INDEX('Summary of Results'!M:M, MATCH($B200, 'Summary of Results'!$A:$A, 0)), (INDEX('Summary of Results'!M:M, MATCH($B200, 'Summary of Results'!$A:$A, 0))/INDEX('Summary of Results'!$G:$G, MATCH($B200, 'Summary of Results'!$A:$A, 0)) - 1)*100), NA()))</f>
        <v>593.86964355372754</v>
      </c>
      <c r="K200"/>
      <c r="L200"/>
      <c r="M200"/>
      <c r="N200"/>
      <c r="O200"/>
      <c r="P200"/>
      <c r="Q200"/>
      <c r="R200"/>
      <c r="S200"/>
      <c r="T200"/>
      <c r="U200"/>
      <c r="V200" s="1355"/>
      <c r="W200" s="1355"/>
      <c r="X200" s="1355"/>
      <c r="Y200" s="1355"/>
      <c r="Z200" s="1355"/>
      <c r="AA200" s="1355"/>
      <c r="AB200" s="1355"/>
      <c r="AC200"/>
      <c r="AD200"/>
      <c r="AE200"/>
      <c r="AF200"/>
      <c r="AG200"/>
      <c r="AH200"/>
      <c r="AI200"/>
      <c r="AJ200"/>
      <c r="AK200"/>
      <c r="AL200"/>
      <c r="AM200"/>
      <c r="AN200"/>
      <c r="AO200"/>
    </row>
    <row r="201" spans="1:41" outlineLevel="2" x14ac:dyDescent="0.35">
      <c r="A201" s="353"/>
      <c r="B201" s="1192">
        <v>12</v>
      </c>
      <c r="C201" s="1193" t="str">
        <f>IFERROR(INDEX('Summary of Results'!$B:$B, MATCH(B201, 'Summary of Results'!$A:$A, 0)), NA())</f>
        <v>Cell capacity, Ah</v>
      </c>
      <c r="D201" s="1270">
        <f ca="1">IF(IFERROR(IF($C$145 = "Absolute", INDEX('Summary of Results'!G:G, MATCH($B201, 'Summary of Results'!$A:$A, 0)), (INDEX('Summary of Results'!G:G, MATCH($B201, 'Summary of Results'!$A:$A, 0))/INDEX('Summary of Results'!$G:$G, MATCH($B201, 'Summary of Results'!$A:$A, 0)) - 1)*100), NA()) = "", "", IFERROR(IF($C$145 = "Absolute", INDEX('Summary of Results'!G:G, MATCH($B201, 'Summary of Results'!$A:$A, 0)), (INDEX('Summary of Results'!G:G, MATCH($B201, 'Summary of Results'!$A:$A, 0))/INDEX('Summary of Results'!$G:$G, MATCH($B201, 'Summary of Results'!$A:$A, 0)) - 1)*100), NA()))</f>
        <v>68.179107463097623</v>
      </c>
      <c r="E201" s="1270">
        <f ca="1">IF(IFERROR(IF($C$145 = "Absolute", INDEX('Summary of Results'!H:H, MATCH($B201, 'Summary of Results'!$A:$A, 0)), (INDEX('Summary of Results'!H:H, MATCH($B201, 'Summary of Results'!$A:$A, 0))/INDEX('Summary of Results'!$G:$G, MATCH($B201, 'Summary of Results'!$A:$A, 0)) - 1)*100), NA()) = "", "", IFERROR(IF($C$145 = "Absolute", INDEX('Summary of Results'!H:H, MATCH($B201, 'Summary of Results'!$A:$A, 0)), (INDEX('Summary of Results'!H:H, MATCH($B201, 'Summary of Results'!$A:$A, 0))/INDEX('Summary of Results'!$G:$G, MATCH($B201, 'Summary of Results'!$A:$A, 0)) - 1)*100), NA()))</f>
        <v>68.179107463097623</v>
      </c>
      <c r="F201" s="1270">
        <f ca="1">IF(IFERROR(IF($C$145 = "Absolute", INDEX('Summary of Results'!I:I, MATCH($B201, 'Summary of Results'!$A:$A, 0)), (INDEX('Summary of Results'!I:I, MATCH($B201, 'Summary of Results'!$A:$A, 0))/INDEX('Summary of Results'!$G:$G, MATCH($B201, 'Summary of Results'!$A:$A, 0)) - 1)*100), NA()) = "", "", IFERROR(IF($C$145 = "Absolute", INDEX('Summary of Results'!I:I, MATCH($B201, 'Summary of Results'!$A:$A, 0)), (INDEX('Summary of Results'!I:I, MATCH($B201, 'Summary of Results'!$A:$A, 0))/INDEX('Summary of Results'!$G:$G, MATCH($B201, 'Summary of Results'!$A:$A, 0)) - 1)*100), NA()))</f>
        <v>68.097779848719952</v>
      </c>
      <c r="G201" s="1194">
        <f ca="1">IF(IFERROR(IF($C$145 = "Absolute", INDEX('Summary of Results'!J:J, MATCH($B201, 'Summary of Results'!$A:$A, 0)), (INDEX('Summary of Results'!J:J, MATCH($B201, 'Summary of Results'!$A:$A, 0))/INDEX('Summary of Results'!$G:$G, MATCH($B201, 'Summary of Results'!$A:$A, 0)) - 1)*100), NA()) = "", "", IFERROR(IF($C$145 = "Absolute", INDEX('Summary of Results'!J:J, MATCH($B201, 'Summary of Results'!$A:$A, 0)), (INDEX('Summary of Results'!J:J, MATCH($B201, 'Summary of Results'!$A:$A, 0))/INDEX('Summary of Results'!$G:$G, MATCH($B201, 'Summary of Results'!$A:$A, 0)) - 1)*100), NA()))</f>
        <v>67.997707324430706</v>
      </c>
      <c r="H201" s="1194">
        <f ca="1">IF(IFERROR(IF($C$145 = "Absolute", INDEX('Summary of Results'!K:K, MATCH($B201, 'Summary of Results'!$A:$A, 0)), (INDEX('Summary of Results'!K:K, MATCH($B201, 'Summary of Results'!$A:$A, 0))/INDEX('Summary of Results'!$G:$G, MATCH($B201, 'Summary of Results'!$A:$A, 0)) - 1)*100), NA()) = "", "", IFERROR(IF($C$145 = "Absolute", INDEX('Summary of Results'!K:K, MATCH($B201, 'Summary of Results'!$A:$A, 0)), (INDEX('Summary of Results'!K:K, MATCH($B201, 'Summary of Results'!$A:$A, 0))/INDEX('Summary of Results'!$G:$G, MATCH($B201, 'Summary of Results'!$A:$A, 0)) - 1)*100), NA()))</f>
        <v>67.882072882751757</v>
      </c>
      <c r="I201" s="1194">
        <f ca="1">IF(IFERROR(IF($C$145 = "Absolute", INDEX('Summary of Results'!L:L, MATCH($B201, 'Summary of Results'!$A:$A, 0)), (INDEX('Summary of Results'!L:L, MATCH($B201, 'Summary of Results'!$A:$A, 0))/INDEX('Summary of Results'!$G:$G, MATCH($B201, 'Summary of Results'!$A:$A, 0)) - 1)*100), NA()) = "", "", IFERROR(IF($C$145 = "Absolute", INDEX('Summary of Results'!L:L, MATCH($B201, 'Summary of Results'!$A:$A, 0)), (INDEX('Summary of Results'!L:L, MATCH($B201, 'Summary of Results'!$A:$A, 0))/INDEX('Summary of Results'!$G:$G, MATCH($B201, 'Summary of Results'!$A:$A, 0)) - 1)*100), NA()))</f>
        <v>67.743621748620214</v>
      </c>
      <c r="J201" s="1194">
        <f ca="1">IF(IFERROR(IF($C$145 = "Absolute", INDEX('Summary of Results'!M:M, MATCH($B201, 'Summary of Results'!$A:$A, 0)), (INDEX('Summary of Results'!M:M, MATCH($B201, 'Summary of Results'!$A:$A, 0))/INDEX('Summary of Results'!$G:$G, MATCH($B201, 'Summary of Results'!$A:$A, 0)) - 1)*100), NA()) = "", "", IFERROR(IF($C$145 = "Absolute", INDEX('Summary of Results'!M:M, MATCH($B201, 'Summary of Results'!$A:$A, 0)), (INDEX('Summary of Results'!M:M, MATCH($B201, 'Summary of Results'!$A:$A, 0))/INDEX('Summary of Results'!$G:$G, MATCH($B201, 'Summary of Results'!$A:$A, 0)) - 1)*100), NA()))</f>
        <v>67.561046766653277</v>
      </c>
      <c r="K201"/>
      <c r="L201"/>
      <c r="M201"/>
      <c r="N201"/>
      <c r="O201"/>
      <c r="P201"/>
      <c r="Q201"/>
      <c r="R201"/>
      <c r="S201"/>
      <c r="T201"/>
      <c r="U201"/>
      <c r="V201" s="1355"/>
      <c r="W201" s="1355"/>
      <c r="X201" s="1355"/>
      <c r="Y201" s="1355"/>
      <c r="Z201" s="1355"/>
      <c r="AA201" s="1355"/>
      <c r="AB201" s="1355"/>
      <c r="AC201"/>
      <c r="AD201"/>
      <c r="AE201"/>
      <c r="AF201"/>
      <c r="AG201"/>
      <c r="AH201"/>
      <c r="AI201"/>
      <c r="AJ201"/>
      <c r="AK201"/>
      <c r="AL201"/>
      <c r="AM201"/>
      <c r="AN201"/>
      <c r="AO201"/>
    </row>
    <row r="202" spans="1:41" outlineLevel="2" x14ac:dyDescent="0.35">
      <c r="A202" s="7"/>
      <c r="B202" s="1192">
        <v>13</v>
      </c>
      <c r="C202" s="1193" t="str">
        <f>IFERROR(INDEX('Summary of Results'!$B:$B, MATCH(B202, 'Summary of Results'!$A:$A, 0)), NA())</f>
        <v>Cell nominal operating voltage, V</v>
      </c>
      <c r="D202" s="1195">
        <f ca="1">IF(IFERROR(IF($C$145 = "Absolute", INDEX('Summary of Results'!G:G, MATCH($B202, 'Summary of Results'!$A:$A, 0)), (INDEX('Summary of Results'!G:G, MATCH($B202, 'Summary of Results'!$A:$A, 0))/INDEX('Summary of Results'!$G:$G, MATCH($B202, 'Summary of Results'!$A:$A, 0)) - 1)*100), NA()) = "", "", IFERROR(IF($C$145 = "Absolute", INDEX('Summary of Results'!G:G, MATCH($B202, 'Summary of Results'!$A:$A, 0)), (INDEX('Summary of Results'!G:G, MATCH($B202, 'Summary of Results'!$A:$A, 0))/INDEX('Summary of Results'!$G:$G, MATCH($B202, 'Summary of Results'!$A:$A, 0)) - 1)*100), NA()))</f>
        <v>3.6668124488915326</v>
      </c>
      <c r="E202" s="1195">
        <f ca="1">IF(IFERROR(IF($C$145 = "Absolute", INDEX('Summary of Results'!H:H, MATCH($B202, 'Summary of Results'!$A:$A, 0)), (INDEX('Summary of Results'!H:H, MATCH($B202, 'Summary of Results'!$A:$A, 0))/INDEX('Summary of Results'!$G:$G, MATCH($B202, 'Summary of Results'!$A:$A, 0)) - 1)*100), NA()) = "", "", IFERROR(IF($C$145 = "Absolute", INDEX('Summary of Results'!H:H, MATCH($B202, 'Summary of Results'!$A:$A, 0)), (INDEX('Summary of Results'!H:H, MATCH($B202, 'Summary of Results'!$A:$A, 0))/INDEX('Summary of Results'!$G:$G, MATCH($B202, 'Summary of Results'!$A:$A, 0)) - 1)*100), NA()))</f>
        <v>3.6668124488915326</v>
      </c>
      <c r="F202" s="1195">
        <f ca="1">IF(IFERROR(IF($C$145 = "Absolute", INDEX('Summary of Results'!I:I, MATCH($B202, 'Summary of Results'!$A:$A, 0)), (INDEX('Summary of Results'!I:I, MATCH($B202, 'Summary of Results'!$A:$A, 0))/INDEX('Summary of Results'!$G:$G, MATCH($B202, 'Summary of Results'!$A:$A, 0)) - 1)*100), NA()) = "", "", IFERROR(IF($C$145 = "Absolute", INDEX('Summary of Results'!I:I, MATCH($B202, 'Summary of Results'!$A:$A, 0)), (INDEX('Summary of Results'!I:I, MATCH($B202, 'Summary of Results'!$A:$A, 0))/INDEX('Summary of Results'!$G:$G, MATCH($B202, 'Summary of Results'!$A:$A, 0)) - 1)*100), NA()))</f>
        <v>3.6711916387785024</v>
      </c>
      <c r="G202" s="1195">
        <f ca="1">IF(IFERROR(IF($C$145 = "Absolute", INDEX('Summary of Results'!J:J, MATCH($B202, 'Summary of Results'!$A:$A, 0)), (INDEX('Summary of Results'!J:J, MATCH($B202, 'Summary of Results'!$A:$A, 0))/INDEX('Summary of Results'!$G:$G, MATCH($B202, 'Summary of Results'!$A:$A, 0)) - 1)*100), NA()) = "", "", IFERROR(IF($C$145 = "Absolute", INDEX('Summary of Results'!J:J, MATCH($B202, 'Summary of Results'!$A:$A, 0)), (INDEX('Summary of Results'!J:J, MATCH($B202, 'Summary of Results'!$A:$A, 0))/INDEX('Summary of Results'!$G:$G, MATCH($B202, 'Summary of Results'!$A:$A, 0)) - 1)*100), NA()))</f>
        <v>3.6765945476249628</v>
      </c>
      <c r="H202" s="1195">
        <f ca="1">IF(IFERROR(IF($C$145 = "Absolute", INDEX('Summary of Results'!K:K, MATCH($B202, 'Summary of Results'!$A:$A, 0)), (INDEX('Summary of Results'!K:K, MATCH($B202, 'Summary of Results'!$A:$A, 0))/INDEX('Summary of Results'!$G:$G, MATCH($B202, 'Summary of Results'!$A:$A, 0)) - 1)*100), NA()) = "", "", IFERROR(IF($C$145 = "Absolute", INDEX('Summary of Results'!K:K, MATCH($B202, 'Summary of Results'!$A:$A, 0)), (INDEX('Summary of Results'!K:K, MATCH($B202, 'Summary of Results'!$A:$A, 0))/INDEX('Summary of Results'!$G:$G, MATCH($B202, 'Summary of Results'!$A:$A, 0)) - 1)*100), NA()))</f>
        <v>3.6828574818539863</v>
      </c>
      <c r="I202" s="1195">
        <f ca="1">IF(IFERROR(IF($C$145 = "Absolute", INDEX('Summary of Results'!L:L, MATCH($B202, 'Summary of Results'!$A:$A, 0)), (INDEX('Summary of Results'!L:L, MATCH($B202, 'Summary of Results'!$A:$A, 0))/INDEX('Summary of Results'!$G:$G, MATCH($B202, 'Summary of Results'!$A:$A, 0)) - 1)*100), NA()) = "", "", IFERROR(IF($C$145 = "Absolute", INDEX('Summary of Results'!L:L, MATCH($B202, 'Summary of Results'!$A:$A, 0)), (INDEX('Summary of Results'!L:L, MATCH($B202, 'Summary of Results'!$A:$A, 0))/INDEX('Summary of Results'!$G:$G, MATCH($B202, 'Summary of Results'!$A:$A, 0)) - 1)*100), NA()))</f>
        <v>3.6903843276594799</v>
      </c>
      <c r="J202" s="1195">
        <f ca="1">IF(IFERROR(IF($C$145 = "Absolute", INDEX('Summary of Results'!M:M, MATCH($B202, 'Summary of Results'!$A:$A, 0)), (INDEX('Summary of Results'!M:M, MATCH($B202, 'Summary of Results'!$A:$A, 0))/INDEX('Summary of Results'!$G:$G, MATCH($B202, 'Summary of Results'!$A:$A, 0)) - 1)*100), NA()) = "", "", IFERROR(IF($C$145 = "Absolute", INDEX('Summary of Results'!M:M, MATCH($B202, 'Summary of Results'!$A:$A, 0)), (INDEX('Summary of Results'!M:M, MATCH($B202, 'Summary of Results'!$A:$A, 0))/INDEX('Summary of Results'!$G:$G, MATCH($B202, 'Summary of Results'!$A:$A, 0)) - 1)*100), NA()))</f>
        <v>3.7003571135223439</v>
      </c>
      <c r="K202"/>
      <c r="L202"/>
      <c r="M202"/>
      <c r="N202"/>
      <c r="O202"/>
      <c r="P202"/>
      <c r="Q202"/>
      <c r="R202"/>
      <c r="S202"/>
      <c r="T202"/>
      <c r="U202"/>
      <c r="V202" s="1355"/>
      <c r="W202" s="1355"/>
      <c r="X202" s="1355"/>
      <c r="Y202" s="1355"/>
      <c r="Z202" s="1355"/>
      <c r="AA202" s="1355"/>
      <c r="AB202" s="1355"/>
      <c r="AC202"/>
      <c r="AD202"/>
      <c r="AE202"/>
      <c r="AF202"/>
      <c r="AG202"/>
      <c r="AH202"/>
      <c r="AI202"/>
      <c r="AJ202"/>
      <c r="AK202"/>
      <c r="AL202"/>
      <c r="AM202"/>
      <c r="AN202"/>
      <c r="AO202"/>
    </row>
    <row r="203" spans="1:41" outlineLevel="2" x14ac:dyDescent="0.35">
      <c r="A203" s="7"/>
      <c r="B203" s="1192">
        <v>14</v>
      </c>
      <c r="C203" s="1193" t="str">
        <f>IFERROR(INDEX('Summary of Results'!$B:$B, MATCH(B203, 'Summary of Results'!$A:$A, 0)), NA())</f>
        <v>Positive electrode thickness, µm</v>
      </c>
      <c r="D203" s="1270">
        <f ca="1">IF(IFERROR(IF($C$145 = "Absolute", INDEX('Summary of Results'!G:G, MATCH($B203, 'Summary of Results'!$A:$A, 0)), (INDEX('Summary of Results'!G:G, MATCH($B203, 'Summary of Results'!$A:$A, 0))/INDEX('Summary of Results'!$G:$G, MATCH($B203, 'Summary of Results'!$A:$A, 0)) - 1)*100), NA()) = "", "", IFERROR(IF($C$145 = "Absolute", INDEX('Summary of Results'!G:G, MATCH($B203, 'Summary of Results'!$A:$A, 0)), (INDEX('Summary of Results'!G:G, MATCH($B203, 'Summary of Results'!$A:$A, 0))/INDEX('Summary of Results'!$G:$G, MATCH($B203, 'Summary of Results'!$A:$A, 0)) - 1)*100), NA()))</f>
        <v>120</v>
      </c>
      <c r="E203" s="1194">
        <f ca="1">IF(IFERROR(IF($C$145 = "Absolute", INDEX('Summary of Results'!H:H, MATCH($B203, 'Summary of Results'!$A:$A, 0)), (INDEX('Summary of Results'!H:H, MATCH($B203, 'Summary of Results'!$A:$A, 0))/INDEX('Summary of Results'!$G:$G, MATCH($B203, 'Summary of Results'!$A:$A, 0)) - 1)*100), NA()) = "", "", IFERROR(IF($C$145 = "Absolute", INDEX('Summary of Results'!H:H, MATCH($B203, 'Summary of Results'!$A:$A, 0)), (INDEX('Summary of Results'!H:H, MATCH($B203, 'Summary of Results'!$A:$A, 0))/INDEX('Summary of Results'!$G:$G, MATCH($B203, 'Summary of Results'!$A:$A, 0)) - 1)*100), NA()))</f>
        <v>120</v>
      </c>
      <c r="F203" s="1194">
        <f ca="1">IF(IFERROR(IF($C$145 = "Absolute", INDEX('Summary of Results'!I:I, MATCH($B203, 'Summary of Results'!$A:$A, 0)), (INDEX('Summary of Results'!I:I, MATCH($B203, 'Summary of Results'!$A:$A, 0))/INDEX('Summary of Results'!$G:$G, MATCH($B203, 'Summary of Results'!$A:$A, 0)) - 1)*100), NA()) = "", "", IFERROR(IF($C$145 = "Absolute", INDEX('Summary of Results'!I:I, MATCH($B203, 'Summary of Results'!$A:$A, 0)), (INDEX('Summary of Results'!I:I, MATCH($B203, 'Summary of Results'!$A:$A, 0))/INDEX('Summary of Results'!$G:$G, MATCH($B203, 'Summary of Results'!$A:$A, 0)) - 1)*100), NA()))</f>
        <v>108.28682636679949</v>
      </c>
      <c r="G203" s="1194">
        <f ca="1">IF(IFERROR(IF($C$145 = "Absolute", INDEX('Summary of Results'!J:J, MATCH($B203, 'Summary of Results'!$A:$A, 0)), (INDEX('Summary of Results'!J:J, MATCH($B203, 'Summary of Results'!$A:$A, 0))/INDEX('Summary of Results'!$G:$G, MATCH($B203, 'Summary of Results'!$A:$A, 0)) - 1)*100), NA()) = "", "", IFERROR(IF($C$145 = "Absolute", INDEX('Summary of Results'!J:J, MATCH($B203, 'Summary of Results'!$A:$A, 0)), (INDEX('Summary of Results'!J:J, MATCH($B203, 'Summary of Results'!$A:$A, 0))/INDEX('Summary of Results'!$G:$G, MATCH($B203, 'Summary of Results'!$A:$A, 0)) - 1)*100), NA()))</f>
        <v>93.859128158890144</v>
      </c>
      <c r="H203" s="1194">
        <f ca="1">IF(IFERROR(IF($C$145 = "Absolute", INDEX('Summary of Results'!K:K, MATCH($B203, 'Summary of Results'!$A:$A, 0)), (INDEX('Summary of Results'!K:K, MATCH($B203, 'Summary of Results'!$A:$A, 0))/INDEX('Summary of Results'!$G:$G, MATCH($B203, 'Summary of Results'!$A:$A, 0)) - 1)*100), NA()) = "", "", IFERROR(IF($C$145 = "Absolute", INDEX('Summary of Results'!K:K, MATCH($B203, 'Summary of Results'!$A:$A, 0)), (INDEX('Summary of Results'!K:K, MATCH($B203, 'Summary of Results'!$A:$A, 0))/INDEX('Summary of Results'!$G:$G, MATCH($B203, 'Summary of Results'!$A:$A, 0)) - 1)*100), NA()))</f>
        <v>77.09682591912636</v>
      </c>
      <c r="I203" s="1194">
        <f ca="1">IF(IFERROR(IF($C$145 = "Absolute", INDEX('Summary of Results'!L:L, MATCH($B203, 'Summary of Results'!$A:$A, 0)), (INDEX('Summary of Results'!L:L, MATCH($B203, 'Summary of Results'!$A:$A, 0))/INDEX('Summary of Results'!$G:$G, MATCH($B203, 'Summary of Results'!$A:$A, 0)) - 1)*100), NA()) = "", "", IFERROR(IF($C$145 = "Absolute", INDEX('Summary of Results'!L:L, MATCH($B203, 'Summary of Results'!$A:$A, 0)), (INDEX('Summary of Results'!L:L, MATCH($B203, 'Summary of Results'!$A:$A, 0))/INDEX('Summary of Results'!$G:$G, MATCH($B203, 'Summary of Results'!$A:$A, 0)) - 1)*100), NA()))</f>
        <v>56.979291521262034</v>
      </c>
      <c r="J203" s="1194">
        <f ca="1">IF(IFERROR(IF($C$145 = "Absolute", INDEX('Summary of Results'!M:M, MATCH($B203, 'Summary of Results'!$A:$A, 0)), (INDEX('Summary of Results'!M:M, MATCH($B203, 'Summary of Results'!$A:$A, 0))/INDEX('Summary of Results'!$G:$G, MATCH($B203, 'Summary of Results'!$A:$A, 0)) - 1)*100), NA()) = "", "", IFERROR(IF($C$145 = "Absolute", INDEX('Summary of Results'!M:M, MATCH($B203, 'Summary of Results'!$A:$A, 0)), (INDEX('Summary of Results'!M:M, MATCH($B203, 'Summary of Results'!$A:$A, 0))/INDEX('Summary of Results'!$G:$G, MATCH($B203, 'Summary of Results'!$A:$A, 0)) - 1)*100), NA()))</f>
        <v>30.309835647059309</v>
      </c>
      <c r="K203"/>
      <c r="L203"/>
      <c r="M203"/>
      <c r="N203"/>
      <c r="O203"/>
      <c r="P203"/>
      <c r="Q203"/>
      <c r="R203"/>
      <c r="S203"/>
      <c r="T203"/>
      <c r="U203"/>
      <c r="V203" s="1355"/>
      <c r="W203" s="1355"/>
      <c r="X203" s="1355"/>
      <c r="Y203" s="1355"/>
      <c r="Z203" s="1355"/>
      <c r="AA203" s="1355"/>
      <c r="AB203" s="1355"/>
      <c r="AC203"/>
      <c r="AD203"/>
      <c r="AE203"/>
      <c r="AF203"/>
      <c r="AG203"/>
      <c r="AH203"/>
      <c r="AI203"/>
      <c r="AJ203"/>
      <c r="AK203"/>
      <c r="AL203"/>
      <c r="AM203"/>
      <c r="AN203"/>
      <c r="AO203"/>
    </row>
    <row r="204" spans="1:41" outlineLevel="2" x14ac:dyDescent="0.35">
      <c r="A204" s="7"/>
      <c r="B204" s="1192">
        <v>15</v>
      </c>
      <c r="C204" s="1193" t="str">
        <f>IFERROR(INDEX('Summary of Results'!$B:$B, MATCH(B204, 'Summary of Results'!$A:$A, 0)), NA())</f>
        <v>Positive electode areal capacity, mAh/cm²</v>
      </c>
      <c r="D204" s="1270">
        <f ca="1">IF(IFERROR(IF($C$145 = "Absolute", INDEX('Summary of Results'!G:G, MATCH($B204, 'Summary of Results'!$A:$A, 0)), (INDEX('Summary of Results'!G:G, MATCH($B204, 'Summary of Results'!$A:$A, 0))/INDEX('Summary of Results'!$G:$G, MATCH($B204, 'Summary of Results'!$A:$A, 0)) - 1)*100), NA()) = "", "", IFERROR(IF($C$145 = "Absolute", INDEX('Summary of Results'!G:G, MATCH($B204, 'Summary of Results'!$A:$A, 0)), (INDEX('Summary of Results'!G:G, MATCH($B204, 'Summary of Results'!$A:$A, 0))/INDEX('Summary of Results'!$G:$G, MATCH($B204, 'Summary of Results'!$A:$A, 0)) - 1)*100), NA()))</f>
        <v>8.0691897467962015</v>
      </c>
      <c r="E204" s="1270">
        <f ca="1">IF(IFERROR(IF($C$145 = "Absolute", INDEX('Summary of Results'!H:H, MATCH($B204, 'Summary of Results'!$A:$A, 0)), (INDEX('Summary of Results'!H:H, MATCH($B204, 'Summary of Results'!$A:$A, 0))/INDEX('Summary of Results'!$G:$G, MATCH($B204, 'Summary of Results'!$A:$A, 0)) - 1)*100), NA()) = "", "", IFERROR(IF($C$145 = "Absolute", INDEX('Summary of Results'!H:H, MATCH($B204, 'Summary of Results'!$A:$A, 0)), (INDEX('Summary of Results'!H:H, MATCH($B204, 'Summary of Results'!$A:$A, 0))/INDEX('Summary of Results'!$G:$G, MATCH($B204, 'Summary of Results'!$A:$A, 0)) - 1)*100), NA()))</f>
        <v>8.0691897467962015</v>
      </c>
      <c r="F204" s="1270">
        <f ca="1">IF(IFERROR(IF($C$145 = "Absolute", INDEX('Summary of Results'!I:I, MATCH($B204, 'Summary of Results'!$A:$A, 0)), (INDEX('Summary of Results'!I:I, MATCH($B204, 'Summary of Results'!$A:$A, 0))/INDEX('Summary of Results'!$G:$G, MATCH($B204, 'Summary of Results'!$A:$A, 0)) - 1)*100), NA()) = "", "", IFERROR(IF($C$145 = "Absolute", INDEX('Summary of Results'!I:I, MATCH($B204, 'Summary of Results'!$A:$A, 0)), (INDEX('Summary of Results'!I:I, MATCH($B204, 'Summary of Results'!$A:$A, 0))/INDEX('Summary of Results'!$G:$G, MATCH($B204, 'Summary of Results'!$A:$A, 0)) - 1)*100), NA()))</f>
        <v>7.281557908600659</v>
      </c>
      <c r="G204" s="1270">
        <f ca="1">IF(IFERROR(IF($C$145 = "Absolute", INDEX('Summary of Results'!J:J, MATCH($B204, 'Summary of Results'!$A:$A, 0)), (INDEX('Summary of Results'!J:J, MATCH($B204, 'Summary of Results'!$A:$A, 0))/INDEX('Summary of Results'!$G:$G, MATCH($B204, 'Summary of Results'!$A:$A, 0)) - 1)*100), NA()) = "", "", IFERROR(IF($C$145 = "Absolute", INDEX('Summary of Results'!J:J, MATCH($B204, 'Summary of Results'!$A:$A, 0)), (INDEX('Summary of Results'!J:J, MATCH($B204, 'Summary of Results'!$A:$A, 0))/INDEX('Summary of Results'!$G:$G, MATCH($B204, 'Summary of Results'!$A:$A, 0)) - 1)*100), NA()))</f>
        <v>6.3113926215245577</v>
      </c>
      <c r="H204" s="1270">
        <f ca="1">IF(IFERROR(IF($C$145 = "Absolute", INDEX('Summary of Results'!K:K, MATCH($B204, 'Summary of Results'!$A:$A, 0)), (INDEX('Summary of Results'!K:K, MATCH($B204, 'Summary of Results'!$A:$A, 0))/INDEX('Summary of Results'!$G:$G, MATCH($B204, 'Summary of Results'!$A:$A, 0)) - 1)*100), NA()) = "", "", IFERROR(IF($C$145 = "Absolute", INDEX('Summary of Results'!K:K, MATCH($B204, 'Summary of Results'!$A:$A, 0)), (INDEX('Summary of Results'!K:K, MATCH($B204, 'Summary of Results'!$A:$A, 0))/INDEX('Summary of Results'!$G:$G, MATCH($B204, 'Summary of Results'!$A:$A, 0)) - 1)*100), NA()))</f>
        <v>5.1842409768095497</v>
      </c>
      <c r="I204" s="1270">
        <f ca="1">IF(IFERROR(IF($C$145 = "Absolute", INDEX('Summary of Results'!L:L, MATCH($B204, 'Summary of Results'!$A:$A, 0)), (INDEX('Summary of Results'!L:L, MATCH($B204, 'Summary of Results'!$A:$A, 0))/INDEX('Summary of Results'!$G:$G, MATCH($B204, 'Summary of Results'!$A:$A, 0)) - 1)*100), NA()) = "", "", IFERROR(IF($C$145 = "Absolute", INDEX('Summary of Results'!L:L, MATCH($B204, 'Summary of Results'!$A:$A, 0)), (INDEX('Summary of Results'!L:L, MATCH($B204, 'Summary of Results'!$A:$A, 0))/INDEX('Summary of Results'!$G:$G, MATCH($B204, 'Summary of Results'!$A:$A, 0)) - 1)*100), NA()))</f>
        <v>3.8314726243589945</v>
      </c>
      <c r="J204" s="1270">
        <f ca="1">IF(IFERROR(IF($C$145 = "Absolute", INDEX('Summary of Results'!M:M, MATCH($B204, 'Summary of Results'!$A:$A, 0)), (INDEX('Summary of Results'!M:M, MATCH($B204, 'Summary of Results'!$A:$A, 0))/INDEX('Summary of Results'!$G:$G, MATCH($B204, 'Summary of Results'!$A:$A, 0)) - 1)*100), NA()) = "", "", IFERROR(IF($C$145 = "Absolute", INDEX('Summary of Results'!M:M, MATCH($B204, 'Summary of Results'!$A:$A, 0)), (INDEX('Summary of Results'!M:M, MATCH($B204, 'Summary of Results'!$A:$A, 0))/INDEX('Summary of Results'!$G:$G, MATCH($B204, 'Summary of Results'!$A:$A, 0)) - 1)*100), NA()))</f>
        <v>2.0381317919194082</v>
      </c>
      <c r="K204"/>
      <c r="L204"/>
      <c r="M204"/>
      <c r="N204"/>
      <c r="O204"/>
      <c r="P204"/>
      <c r="Q204"/>
      <c r="R204"/>
      <c r="S204"/>
      <c r="T204"/>
      <c r="U204"/>
      <c r="V204" s="1355"/>
      <c r="W204" s="1355"/>
      <c r="X204" s="1355"/>
      <c r="Y204" s="1355"/>
      <c r="Z204" s="1355"/>
      <c r="AA204" s="1355"/>
      <c r="AB204" s="1355"/>
      <c r="AC204"/>
      <c r="AD204"/>
      <c r="AE204"/>
      <c r="AF204"/>
      <c r="AG204"/>
      <c r="AH204"/>
      <c r="AI204"/>
      <c r="AJ204"/>
      <c r="AK204"/>
      <c r="AL204"/>
      <c r="AM204"/>
      <c r="AN204"/>
      <c r="AO204"/>
    </row>
    <row r="205" spans="1:41" outlineLevel="2" x14ac:dyDescent="0.35">
      <c r="A205" s="7"/>
      <c r="B205" s="1192">
        <v>16</v>
      </c>
      <c r="C205" s="1193" t="str">
        <f>IFERROR(INDEX('Summary of Results'!$B:$B, MATCH(B205, 'Summary of Results'!$A:$A, 0)), NA())</f>
        <v>Negative electrode thickness, µm</v>
      </c>
      <c r="D205" s="1194">
        <f ca="1">IF(IFERROR(IF($C$145 = "Absolute", INDEX('Summary of Results'!G:G, MATCH($B205, 'Summary of Results'!$A:$A, 0)), (INDEX('Summary of Results'!G:G, MATCH($B205, 'Summary of Results'!$A:$A, 0))/INDEX('Summary of Results'!$G:$G, MATCH($B205, 'Summary of Results'!$A:$A, 0)) - 1)*100), NA()) = "", "", IFERROR(IF($C$145 = "Absolute", INDEX('Summary of Results'!G:G, MATCH($B205, 'Summary of Results'!$A:$A, 0)), (INDEX('Summary of Results'!G:G, MATCH($B205, 'Summary of Results'!$A:$A, 0))/INDEX('Summary of Results'!$G:$G, MATCH($B205, 'Summary of Results'!$A:$A, 0)) - 1)*100), NA()))</f>
        <v>152.69056152957771</v>
      </c>
      <c r="E205" s="1194">
        <f ca="1">IF(IFERROR(IF($C$145 = "Absolute", INDEX('Summary of Results'!H:H, MATCH($B205, 'Summary of Results'!$A:$A, 0)), (INDEX('Summary of Results'!H:H, MATCH($B205, 'Summary of Results'!$A:$A, 0))/INDEX('Summary of Results'!$G:$G, MATCH($B205, 'Summary of Results'!$A:$A, 0)) - 1)*100), NA()) = "", "", IFERROR(IF($C$145 = "Absolute", INDEX('Summary of Results'!H:H, MATCH($B205, 'Summary of Results'!$A:$A, 0)), (INDEX('Summary of Results'!H:H, MATCH($B205, 'Summary of Results'!$A:$A, 0))/INDEX('Summary of Results'!$G:$G, MATCH($B205, 'Summary of Results'!$A:$A, 0)) - 1)*100), NA()))</f>
        <v>152.69056152957771</v>
      </c>
      <c r="F205" s="1194">
        <f ca="1">IF(IFERROR(IF($C$145 = "Absolute", INDEX('Summary of Results'!I:I, MATCH($B205, 'Summary of Results'!$A:$A, 0)), (INDEX('Summary of Results'!I:I, MATCH($B205, 'Summary of Results'!$A:$A, 0))/INDEX('Summary of Results'!$G:$G, MATCH($B205, 'Summary of Results'!$A:$A, 0)) - 1)*100), NA()) = "", "", IFERROR(IF($C$145 = "Absolute", INDEX('Summary of Results'!I:I, MATCH($B205, 'Summary of Results'!$A:$A, 0)), (INDEX('Summary of Results'!I:I, MATCH($B205, 'Summary of Results'!$A:$A, 0))/INDEX('Summary of Results'!$G:$G, MATCH($B205, 'Summary of Results'!$A:$A, 0)) - 1)*100), NA()))</f>
        <v>137.78646936835412</v>
      </c>
      <c r="G205" s="1194">
        <f ca="1">IF(IFERROR(IF($C$145 = "Absolute", INDEX('Summary of Results'!J:J, MATCH($B205, 'Summary of Results'!$A:$A, 0)), (INDEX('Summary of Results'!J:J, MATCH($B205, 'Summary of Results'!$A:$A, 0))/INDEX('Summary of Results'!$G:$G, MATCH($B205, 'Summary of Results'!$A:$A, 0)) - 1)*100), NA()) = "", "", IFERROR(IF($C$145 = "Absolute", INDEX('Summary of Results'!J:J, MATCH($B205, 'Summary of Results'!$A:$A, 0)), (INDEX('Summary of Results'!J:J, MATCH($B205, 'Summary of Results'!$A:$A, 0))/INDEX('Summary of Results'!$G:$G, MATCH($B205, 'Summary of Results'!$A:$A, 0)) - 1)*100), NA()))</f>
        <v>119.42835819381278</v>
      </c>
      <c r="H205" s="1194">
        <f ca="1">IF(IFERROR(IF($C$145 = "Absolute", INDEX('Summary of Results'!K:K, MATCH($B205, 'Summary of Results'!$A:$A, 0)), (INDEX('Summary of Results'!K:K, MATCH($B205, 'Summary of Results'!$A:$A, 0))/INDEX('Summary of Results'!$G:$G, MATCH($B205, 'Summary of Results'!$A:$A, 0)) - 1)*100), NA()) = "", "", IFERROR(IF($C$145 = "Absolute", INDEX('Summary of Results'!K:K, MATCH($B205, 'Summary of Results'!$A:$A, 0)), (INDEX('Summary of Results'!K:K, MATCH($B205, 'Summary of Results'!$A:$A, 0))/INDEX('Summary of Results'!$G:$G, MATCH($B205, 'Summary of Results'!$A:$A, 0)) - 1)*100), NA()))</f>
        <v>98.099647014495872</v>
      </c>
      <c r="I205" s="1194">
        <f ca="1">IF(IFERROR(IF($C$145 = "Absolute", INDEX('Summary of Results'!L:L, MATCH($B205, 'Summary of Results'!$A:$A, 0)), (INDEX('Summary of Results'!L:L, MATCH($B205, 'Summary of Results'!$A:$A, 0))/INDEX('Summary of Results'!$G:$G, MATCH($B205, 'Summary of Results'!$A:$A, 0)) - 1)*100), NA()) = "", "", IFERROR(IF($C$145 = "Absolute", INDEX('Summary of Results'!L:L, MATCH($B205, 'Summary of Results'!$A:$A, 0)), (INDEX('Summary of Results'!L:L, MATCH($B205, 'Summary of Results'!$A:$A, 0))/INDEX('Summary of Results'!$G:$G, MATCH($B205, 'Summary of Results'!$A:$A, 0)) - 1)*100), NA()))</f>
        <v>72.501666816158377</v>
      </c>
      <c r="J205" s="1194">
        <f ca="1">IF(IFERROR(IF($C$145 = "Absolute", INDEX('Summary of Results'!M:M, MATCH($B205, 'Summary of Results'!$A:$A, 0)), (INDEX('Summary of Results'!M:M, MATCH($B205, 'Summary of Results'!$A:$A, 0))/INDEX('Summary of Results'!$G:$G, MATCH($B205, 'Summary of Results'!$A:$A, 0)) - 1)*100), NA()) = "", "", IFERROR(IF($C$145 = "Absolute", INDEX('Summary of Results'!M:M, MATCH($B205, 'Summary of Results'!$A:$A, 0)), (INDEX('Summary of Results'!M:M, MATCH($B205, 'Summary of Results'!$A:$A, 0))/INDEX('Summary of Results'!$G:$G, MATCH($B205, 'Summary of Results'!$A:$A, 0)) - 1)*100), NA()))</f>
        <v>38.566881873489137</v>
      </c>
      <c r="K205"/>
      <c r="L205"/>
      <c r="M205"/>
      <c r="N205"/>
      <c r="O205"/>
      <c r="P205"/>
      <c r="Q205"/>
      <c r="R205"/>
      <c r="S205"/>
      <c r="T205"/>
      <c r="U205"/>
      <c r="V205" s="1355"/>
      <c r="W205" s="1355"/>
      <c r="X205" s="1355"/>
      <c r="Y205" s="1355"/>
      <c r="Z205" s="1355"/>
      <c r="AA205" s="1355"/>
      <c r="AB205" s="1355"/>
      <c r="AC205"/>
      <c r="AD205"/>
      <c r="AE205"/>
      <c r="AF205"/>
      <c r="AG205"/>
      <c r="AH205"/>
      <c r="AI205"/>
      <c r="AJ205"/>
      <c r="AK205"/>
      <c r="AL205"/>
      <c r="AM205"/>
      <c r="AN205"/>
      <c r="AO205"/>
    </row>
    <row r="206" spans="1:41" outlineLevel="2" x14ac:dyDescent="0.35">
      <c r="A206" s="7"/>
      <c r="B206" s="1192">
        <v>17</v>
      </c>
      <c r="C206" s="1193" t="str">
        <f>IFERROR(INDEX('Summary of Results'!$B:$B, MATCH(B206, 'Summary of Results'!$A:$A, 0)), NA())</f>
        <v>Negative electrode areal capacity, mAh/cm²</v>
      </c>
      <c r="D206" s="1270">
        <f ca="1">IF(IFERROR(IF($C$145 = "Absolute", INDEX('Summary of Results'!G:G, MATCH($B206, 'Summary of Results'!$A:$A, 0)), (INDEX('Summary of Results'!G:G, MATCH($B206, 'Summary of Results'!$A:$A, 0))/INDEX('Summary of Results'!$G:$G, MATCH($B206, 'Summary of Results'!$A:$A, 0)) - 1)*100), NA()) = "", "", IFERROR(IF($C$145 = "Absolute", INDEX('Summary of Results'!G:G, MATCH($B206, 'Summary of Results'!$A:$A, 0)), (INDEX('Summary of Results'!G:G, MATCH($B206, 'Summary of Results'!$A:$A, 0))/INDEX('Summary of Results'!$G:$G, MATCH($B206, 'Summary of Results'!$A:$A, 0)) - 1)*100), NA()))</f>
        <v>8.8761087214758234</v>
      </c>
      <c r="E206" s="1270">
        <f ca="1">IF(IFERROR(IF($C$145 = "Absolute", INDEX('Summary of Results'!H:H, MATCH($B206, 'Summary of Results'!$A:$A, 0)), (INDEX('Summary of Results'!H:H, MATCH($B206, 'Summary of Results'!$A:$A, 0))/INDEX('Summary of Results'!$G:$G, MATCH($B206, 'Summary of Results'!$A:$A, 0)) - 1)*100), NA()) = "", "", IFERROR(IF($C$145 = "Absolute", INDEX('Summary of Results'!H:H, MATCH($B206, 'Summary of Results'!$A:$A, 0)), (INDEX('Summary of Results'!H:H, MATCH($B206, 'Summary of Results'!$A:$A, 0))/INDEX('Summary of Results'!$G:$G, MATCH($B206, 'Summary of Results'!$A:$A, 0)) - 1)*100), NA()))</f>
        <v>8.8761087214758234</v>
      </c>
      <c r="F206" s="1270">
        <f ca="1">IF(IFERROR(IF($C$145 = "Absolute", INDEX('Summary of Results'!I:I, MATCH($B206, 'Summary of Results'!$A:$A, 0)), (INDEX('Summary of Results'!I:I, MATCH($B206, 'Summary of Results'!$A:$A, 0))/INDEX('Summary of Results'!$G:$G, MATCH($B206, 'Summary of Results'!$A:$A, 0)) - 1)*100), NA()) = "", "", IFERROR(IF($C$145 = "Absolute", INDEX('Summary of Results'!I:I, MATCH($B206, 'Summary of Results'!$A:$A, 0)), (INDEX('Summary of Results'!I:I, MATCH($B206, 'Summary of Results'!$A:$A, 0))/INDEX('Summary of Results'!$G:$G, MATCH($B206, 'Summary of Results'!$A:$A, 0)) - 1)*100), NA()))</f>
        <v>8.0097136994607254</v>
      </c>
      <c r="G206" s="1270">
        <f ca="1">IF(IFERROR(IF($C$145 = "Absolute", INDEX('Summary of Results'!J:J, MATCH($B206, 'Summary of Results'!$A:$A, 0)), (INDEX('Summary of Results'!J:J, MATCH($B206, 'Summary of Results'!$A:$A, 0))/INDEX('Summary of Results'!$G:$G, MATCH($B206, 'Summary of Results'!$A:$A, 0)) - 1)*100), NA()) = "", "", IFERROR(IF($C$145 = "Absolute", INDEX('Summary of Results'!J:J, MATCH($B206, 'Summary of Results'!$A:$A, 0)), (INDEX('Summary of Results'!J:J, MATCH($B206, 'Summary of Results'!$A:$A, 0))/INDEX('Summary of Results'!$G:$G, MATCH($B206, 'Summary of Results'!$A:$A, 0)) - 1)*100), NA()))</f>
        <v>6.942531883677014</v>
      </c>
      <c r="H206" s="1270">
        <f ca="1">IF(IFERROR(IF($C$145 = "Absolute", INDEX('Summary of Results'!K:K, MATCH($B206, 'Summary of Results'!$A:$A, 0)), (INDEX('Summary of Results'!K:K, MATCH($B206, 'Summary of Results'!$A:$A, 0))/INDEX('Summary of Results'!$G:$G, MATCH($B206, 'Summary of Results'!$A:$A, 0)) - 1)*100), NA()) = "", "", IFERROR(IF($C$145 = "Absolute", INDEX('Summary of Results'!K:K, MATCH($B206, 'Summary of Results'!$A:$A, 0)), (INDEX('Summary of Results'!K:K, MATCH($B206, 'Summary of Results'!$A:$A, 0))/INDEX('Summary of Results'!$G:$G, MATCH($B206, 'Summary of Results'!$A:$A, 0)) - 1)*100), NA()))</f>
        <v>5.7026650744905059</v>
      </c>
      <c r="I206" s="1270">
        <f ca="1">IF(IFERROR(IF($C$145 = "Absolute", INDEX('Summary of Results'!L:L, MATCH($B206, 'Summary of Results'!$A:$A, 0)), (INDEX('Summary of Results'!L:L, MATCH($B206, 'Summary of Results'!$A:$A, 0))/INDEX('Summary of Results'!$G:$G, MATCH($B206, 'Summary of Results'!$A:$A, 0)) - 1)*100), NA()) = "", "", IFERROR(IF($C$145 = "Absolute", INDEX('Summary of Results'!L:L, MATCH($B206, 'Summary of Results'!$A:$A, 0)), (INDEX('Summary of Results'!L:L, MATCH($B206, 'Summary of Results'!$A:$A, 0))/INDEX('Summary of Results'!$G:$G, MATCH($B206, 'Summary of Results'!$A:$A, 0)) - 1)*100), NA()))</f>
        <v>4.2146198867948934</v>
      </c>
      <c r="J206" s="1270">
        <f ca="1">IF(IFERROR(IF($C$145 = "Absolute", INDEX('Summary of Results'!M:M, MATCH($B206, 'Summary of Results'!$A:$A, 0)), (INDEX('Summary of Results'!M:M, MATCH($B206, 'Summary of Results'!$A:$A, 0))/INDEX('Summary of Results'!$G:$G, MATCH($B206, 'Summary of Results'!$A:$A, 0)) - 1)*100), NA()) = "", "", IFERROR(IF($C$145 = "Absolute", INDEX('Summary of Results'!M:M, MATCH($B206, 'Summary of Results'!$A:$A, 0)), (INDEX('Summary of Results'!M:M, MATCH($B206, 'Summary of Results'!$A:$A, 0))/INDEX('Summary of Results'!$G:$G, MATCH($B206, 'Summary of Results'!$A:$A, 0)) - 1)*100), NA()))</f>
        <v>2.2419449711113488</v>
      </c>
      <c r="K206"/>
      <c r="L206"/>
      <c r="M206"/>
      <c r="N206"/>
      <c r="O206"/>
      <c r="P206"/>
      <c r="Q206"/>
      <c r="R206"/>
      <c r="S206"/>
      <c r="T206"/>
      <c r="U206"/>
      <c r="V206" s="1355"/>
      <c r="W206" s="1355"/>
      <c r="X206" s="1355"/>
      <c r="Y206" s="1355"/>
      <c r="Z206" s="1355"/>
      <c r="AA206" s="1355"/>
      <c r="AB206" s="1355"/>
      <c r="AC206"/>
      <c r="AD206"/>
      <c r="AE206"/>
      <c r="AF206"/>
      <c r="AG206"/>
      <c r="AH206"/>
      <c r="AI206"/>
      <c r="AJ206"/>
      <c r="AK206"/>
      <c r="AL206"/>
      <c r="AM206"/>
      <c r="AN206"/>
      <c r="AO206"/>
    </row>
    <row r="207" spans="1:41" outlineLevel="2" x14ac:dyDescent="0.35">
      <c r="A207" s="7"/>
      <c r="B207" s="1192">
        <v>18</v>
      </c>
      <c r="C207" s="1193" t="str">
        <f>IFERROR(INDEX('Summary of Results'!$B:$B, MATCH(B207, 'Summary of Results'!$A:$A, 0)), NA())</f>
        <v>Cell energy density, Wh/L</v>
      </c>
      <c r="D207" s="1194">
        <f ca="1">IF(IFERROR(IF($C$145 = "Absolute", INDEX('Summary of Results'!G:G, MATCH($B207, 'Summary of Results'!$A:$A, 0)), (INDEX('Summary of Results'!G:G, MATCH($B207, 'Summary of Results'!$A:$A, 0))/INDEX('Summary of Results'!$G:$G, MATCH($B207, 'Summary of Results'!$A:$A, 0)) - 1)*100), NA()) = "", "", IFERROR(IF($C$145 = "Absolute", INDEX('Summary of Results'!G:G, MATCH($B207, 'Summary of Results'!$A:$A, 0)), (INDEX('Summary of Results'!G:G, MATCH($B207, 'Summary of Results'!$A:$A, 0))/INDEX('Summary of Results'!$G:$G, MATCH($B207, 'Summary of Results'!$A:$A, 0)) - 1)*100), NA()))</f>
        <v>646.56698675064843</v>
      </c>
      <c r="E207" s="1194">
        <f ca="1">IF(IFERROR(IF($C$145 = "Absolute", INDEX('Summary of Results'!H:H, MATCH($B207, 'Summary of Results'!$A:$A, 0)), (INDEX('Summary of Results'!H:H, MATCH($B207, 'Summary of Results'!$A:$A, 0))/INDEX('Summary of Results'!$G:$G, MATCH($B207, 'Summary of Results'!$A:$A, 0)) - 1)*100), NA()) = "", "", IFERROR(IF($C$145 = "Absolute", INDEX('Summary of Results'!H:H, MATCH($B207, 'Summary of Results'!$A:$A, 0)), (INDEX('Summary of Results'!H:H, MATCH($B207, 'Summary of Results'!$A:$A, 0))/INDEX('Summary of Results'!$G:$G, MATCH($B207, 'Summary of Results'!$A:$A, 0)) - 1)*100), NA()))</f>
        <v>646.56698675064843</v>
      </c>
      <c r="F207" s="1194">
        <f ca="1">IF(IFERROR(IF($C$145 = "Absolute", INDEX('Summary of Results'!I:I, MATCH($B207, 'Summary of Results'!$A:$A, 0)), (INDEX('Summary of Results'!I:I, MATCH($B207, 'Summary of Results'!$A:$A, 0))/INDEX('Summary of Results'!$G:$G, MATCH($B207, 'Summary of Results'!$A:$A, 0)) - 1)*100), NA()) = "", "", IFERROR(IF($C$145 = "Absolute", INDEX('Summary of Results'!I:I, MATCH($B207, 'Summary of Results'!$A:$A, 0)), (INDEX('Summary of Results'!I:I, MATCH($B207, 'Summary of Results'!$A:$A, 0))/INDEX('Summary of Results'!$G:$G, MATCH($B207, 'Summary of Results'!$A:$A, 0)) - 1)*100), NA()))</f>
        <v>642.56739692825863</v>
      </c>
      <c r="G207" s="1194">
        <f ca="1">IF(IFERROR(IF($C$145 = "Absolute", INDEX('Summary of Results'!J:J, MATCH($B207, 'Summary of Results'!$A:$A, 0)), (INDEX('Summary of Results'!J:J, MATCH($B207, 'Summary of Results'!$A:$A, 0))/INDEX('Summary of Results'!$G:$G, MATCH($B207, 'Summary of Results'!$A:$A, 0)) - 1)*100), NA()) = "", "", IFERROR(IF($C$145 = "Absolute", INDEX('Summary of Results'!J:J, MATCH($B207, 'Summary of Results'!$A:$A, 0)), (INDEX('Summary of Results'!J:J, MATCH($B207, 'Summary of Results'!$A:$A, 0))/INDEX('Summary of Results'!$G:$G, MATCH($B207, 'Summary of Results'!$A:$A, 0)) - 1)*100), NA()))</f>
        <v>633.94572463411885</v>
      </c>
      <c r="H207" s="1194">
        <f ca="1">IF(IFERROR(IF($C$145 = "Absolute", INDEX('Summary of Results'!K:K, MATCH($B207, 'Summary of Results'!$A:$A, 0)), (INDEX('Summary of Results'!K:K, MATCH($B207, 'Summary of Results'!$A:$A, 0))/INDEX('Summary of Results'!$G:$G, MATCH($B207, 'Summary of Results'!$A:$A, 0)) - 1)*100), NA()) = "", "", IFERROR(IF($C$145 = "Absolute", INDEX('Summary of Results'!K:K, MATCH($B207, 'Summary of Results'!$A:$A, 0)), (INDEX('Summary of Results'!K:K, MATCH($B207, 'Summary of Results'!$A:$A, 0))/INDEX('Summary of Results'!$G:$G, MATCH($B207, 'Summary of Results'!$A:$A, 0)) - 1)*100), NA()))</f>
        <v>624.03475884484931</v>
      </c>
      <c r="I207" s="1194">
        <f ca="1">IF(IFERROR(IF($C$145 = "Absolute", INDEX('Summary of Results'!L:L, MATCH($B207, 'Summary of Results'!$A:$A, 0)), (INDEX('Summary of Results'!L:L, MATCH($B207, 'Summary of Results'!$A:$A, 0))/INDEX('Summary of Results'!$G:$G, MATCH($B207, 'Summary of Results'!$A:$A, 0)) - 1)*100), NA()) = "", "", IFERROR(IF($C$145 = "Absolute", INDEX('Summary of Results'!L:L, MATCH($B207, 'Summary of Results'!$A:$A, 0)), (INDEX('Summary of Results'!L:L, MATCH($B207, 'Summary of Results'!$A:$A, 0))/INDEX('Summary of Results'!$G:$G, MATCH($B207, 'Summary of Results'!$A:$A, 0)) - 1)*100), NA()))</f>
        <v>600.02825910864919</v>
      </c>
      <c r="J207" s="1194">
        <f ca="1">IF(IFERROR(IF($C$145 = "Absolute", INDEX('Summary of Results'!M:M, MATCH($B207, 'Summary of Results'!$A:$A, 0)), (INDEX('Summary of Results'!M:M, MATCH($B207, 'Summary of Results'!$A:$A, 0))/INDEX('Summary of Results'!$G:$G, MATCH($B207, 'Summary of Results'!$A:$A, 0)) - 1)*100), NA()) = "", "", IFERROR(IF($C$145 = "Absolute", INDEX('Summary of Results'!M:M, MATCH($B207, 'Summary of Results'!$A:$A, 0)), (INDEX('Summary of Results'!M:M, MATCH($B207, 'Summary of Results'!$A:$A, 0))/INDEX('Summary of Results'!$G:$G, MATCH($B207, 'Summary of Results'!$A:$A, 0)) - 1)*100), NA()))</f>
        <v>533.29626990271379</v>
      </c>
      <c r="K207"/>
      <c r="L207"/>
      <c r="M207"/>
      <c r="N207"/>
      <c r="O207"/>
      <c r="P207"/>
      <c r="Q207"/>
      <c r="R207"/>
      <c r="S207"/>
      <c r="T207"/>
      <c r="U207"/>
      <c r="V207" s="1355"/>
      <c r="W207" s="1355"/>
      <c r="X207" s="1355"/>
      <c r="Y207" s="1355"/>
      <c r="Z207" s="1355"/>
      <c r="AA207" s="1355"/>
      <c r="AB207" s="1355"/>
      <c r="AC207"/>
      <c r="AD207"/>
      <c r="AE207"/>
      <c r="AF207"/>
      <c r="AG207"/>
      <c r="AH207"/>
      <c r="AI207"/>
      <c r="AJ207"/>
      <c r="AK207"/>
      <c r="AL207"/>
      <c r="AM207"/>
      <c r="AN207"/>
      <c r="AO207"/>
    </row>
    <row r="208" spans="1:41" outlineLevel="2" x14ac:dyDescent="0.35">
      <c r="A208" s="7"/>
      <c r="B208" s="1192">
        <v>19</v>
      </c>
      <c r="C208" s="1193" t="str">
        <f>IFERROR(INDEX('Summary of Results'!$B:$B, MATCH(B208, 'Summary of Results'!$A:$A, 0)), NA())</f>
        <v>Cell specific energy, Wh/kg</v>
      </c>
      <c r="D208" s="1194">
        <f ca="1">IF(IFERROR(IF($C$145 = "Absolute", INDEX('Summary of Results'!G:G, MATCH($B208, 'Summary of Results'!$A:$A, 0)), (INDEX('Summary of Results'!G:G, MATCH($B208, 'Summary of Results'!$A:$A, 0))/INDEX('Summary of Results'!$G:$G, MATCH($B208, 'Summary of Results'!$A:$A, 0)) - 1)*100), NA()) = "", "", IFERROR(IF($C$145 = "Absolute", INDEX('Summary of Results'!G:G, MATCH($B208, 'Summary of Results'!$A:$A, 0)), (INDEX('Summary of Results'!G:G, MATCH($B208, 'Summary of Results'!$A:$A, 0))/INDEX('Summary of Results'!$G:$G, MATCH($B208, 'Summary of Results'!$A:$A, 0)) - 1)*100), NA()))</f>
        <v>335.9654916262873</v>
      </c>
      <c r="E208" s="1194">
        <f ca="1">IF(IFERROR(IF($C$145 = "Absolute", INDEX('Summary of Results'!H:H, MATCH($B208, 'Summary of Results'!$A:$A, 0)), (INDEX('Summary of Results'!H:H, MATCH($B208, 'Summary of Results'!$A:$A, 0))/INDEX('Summary of Results'!$G:$G, MATCH($B208, 'Summary of Results'!$A:$A, 0)) - 1)*100), NA()) = "", "", IFERROR(IF($C$145 = "Absolute", INDEX('Summary of Results'!H:H, MATCH($B208, 'Summary of Results'!$A:$A, 0)), (INDEX('Summary of Results'!H:H, MATCH($B208, 'Summary of Results'!$A:$A, 0))/INDEX('Summary of Results'!$G:$G, MATCH($B208, 'Summary of Results'!$A:$A, 0)) - 1)*100), NA()))</f>
        <v>335.9654916262873</v>
      </c>
      <c r="F208" s="1194">
        <f ca="1">IF(IFERROR(IF($C$145 = "Absolute", INDEX('Summary of Results'!I:I, MATCH($B208, 'Summary of Results'!$A:$A, 0)), (INDEX('Summary of Results'!I:I, MATCH($B208, 'Summary of Results'!$A:$A, 0))/INDEX('Summary of Results'!$G:$G, MATCH($B208, 'Summary of Results'!$A:$A, 0)) - 1)*100), NA()) = "", "", IFERROR(IF($C$145 = "Absolute", INDEX('Summary of Results'!I:I, MATCH($B208, 'Summary of Results'!$A:$A, 0)), (INDEX('Summary of Results'!I:I, MATCH($B208, 'Summary of Results'!$A:$A, 0))/INDEX('Summary of Results'!$G:$G, MATCH($B208, 'Summary of Results'!$A:$A, 0)) - 1)*100), NA()))</f>
        <v>332.56385845215283</v>
      </c>
      <c r="G208" s="1194">
        <f ca="1">IF(IFERROR(IF($C$145 = "Absolute", INDEX('Summary of Results'!J:J, MATCH($B208, 'Summary of Results'!$A:$A, 0)), (INDEX('Summary of Results'!J:J, MATCH($B208, 'Summary of Results'!$A:$A, 0))/INDEX('Summary of Results'!$G:$G, MATCH($B208, 'Summary of Results'!$A:$A, 0)) - 1)*100), NA()) = "", "", IFERROR(IF($C$145 = "Absolute", INDEX('Summary of Results'!J:J, MATCH($B208, 'Summary of Results'!$A:$A, 0)), (INDEX('Summary of Results'!J:J, MATCH($B208, 'Summary of Results'!$A:$A, 0))/INDEX('Summary of Results'!$G:$G, MATCH($B208, 'Summary of Results'!$A:$A, 0)) - 1)*100), NA()))</f>
        <v>327.15259015727594</v>
      </c>
      <c r="H208" s="1194">
        <f ca="1">IF(IFERROR(IF($C$145 = "Absolute", INDEX('Summary of Results'!K:K, MATCH($B208, 'Summary of Results'!$A:$A, 0)), (INDEX('Summary of Results'!K:K, MATCH($B208, 'Summary of Results'!$A:$A, 0))/INDEX('Summary of Results'!$G:$G, MATCH($B208, 'Summary of Results'!$A:$A, 0)) - 1)*100), NA()) = "", "", IFERROR(IF($C$145 = "Absolute", INDEX('Summary of Results'!K:K, MATCH($B208, 'Summary of Results'!$A:$A, 0)), (INDEX('Summary of Results'!K:K, MATCH($B208, 'Summary of Results'!$A:$A, 0))/INDEX('Summary of Results'!$G:$G, MATCH($B208, 'Summary of Results'!$A:$A, 0)) - 1)*100), NA()))</f>
        <v>318.68969473138986</v>
      </c>
      <c r="I208" s="1194">
        <f ca="1">IF(IFERROR(IF($C$145 = "Absolute", INDEX('Summary of Results'!L:L, MATCH($B208, 'Summary of Results'!$A:$A, 0)), (INDEX('Summary of Results'!L:L, MATCH($B208, 'Summary of Results'!$A:$A, 0))/INDEX('Summary of Results'!$G:$G, MATCH($B208, 'Summary of Results'!$A:$A, 0)) - 1)*100), NA()) = "", "", IFERROR(IF($C$145 = "Absolute", INDEX('Summary of Results'!L:L, MATCH($B208, 'Summary of Results'!$A:$A, 0)), (INDEX('Summary of Results'!L:L, MATCH($B208, 'Summary of Results'!$A:$A, 0))/INDEX('Summary of Results'!$G:$G, MATCH($B208, 'Summary of Results'!$A:$A, 0)) - 1)*100), NA()))</f>
        <v>302.72590338677946</v>
      </c>
      <c r="J208" s="1194">
        <f ca="1">IF(IFERROR(IF($C$145 = "Absolute", INDEX('Summary of Results'!M:M, MATCH($B208, 'Summary of Results'!$A:$A, 0)), (INDEX('Summary of Results'!M:M, MATCH($B208, 'Summary of Results'!$A:$A, 0))/INDEX('Summary of Results'!$G:$G, MATCH($B208, 'Summary of Results'!$A:$A, 0)) - 1)*100), NA()) = "", "", IFERROR(IF($C$145 = "Absolute", INDEX('Summary of Results'!M:M, MATCH($B208, 'Summary of Results'!$A:$A, 0)), (INDEX('Summary of Results'!M:M, MATCH($B208, 'Summary of Results'!$A:$A, 0))/INDEX('Summary of Results'!$G:$G, MATCH($B208, 'Summary of Results'!$A:$A, 0)) - 1)*100), NA()))</f>
        <v>258.73564658155294</v>
      </c>
      <c r="K208"/>
      <c r="L208"/>
      <c r="M208"/>
      <c r="N208"/>
      <c r="O208"/>
      <c r="P208"/>
      <c r="Q208"/>
      <c r="R208"/>
      <c r="S208"/>
      <c r="T208"/>
      <c r="U208"/>
      <c r="V208" s="1355"/>
      <c r="W208" s="1355"/>
      <c r="X208" s="1355"/>
      <c r="Y208" s="1355"/>
      <c r="Z208" s="1355"/>
      <c r="AA208" s="1355"/>
      <c r="AB208" s="1355"/>
      <c r="AC208"/>
      <c r="AD208"/>
      <c r="AE208"/>
      <c r="AF208"/>
      <c r="AG208"/>
      <c r="AH208"/>
      <c r="AI208"/>
      <c r="AJ208"/>
      <c r="AK208"/>
      <c r="AL208"/>
      <c r="AM208"/>
      <c r="AN208"/>
      <c r="AO208"/>
    </row>
    <row r="209" spans="1:41" outlineLevel="2" x14ac:dyDescent="0.35">
      <c r="A209" s="7"/>
      <c r="B209" s="1192">
        <v>20</v>
      </c>
      <c r="C209" s="1193" t="str">
        <f>IFERROR(INDEX('Summary of Results'!$B:$B, MATCH(B209, 'Summary of Results'!$A:$A, 0)), NA())</f>
        <v>Pack cost, $/pack</v>
      </c>
      <c r="D209" s="1194">
        <f ca="1">IF(IFERROR(IF($C$145 = "Absolute", INDEX('Summary of Results'!G:G, MATCH($B209, 'Summary of Results'!$A:$A, 0)), (INDEX('Summary of Results'!G:G, MATCH($B209, 'Summary of Results'!$A:$A, 0))/INDEX('Summary of Results'!$G:$G, MATCH($B209, 'Summary of Results'!$A:$A, 0)) - 1)*100), NA()) = "", "", IFERROR(IF($C$145 = "Absolute", INDEX('Summary of Results'!G:G, MATCH($B209, 'Summary of Results'!$A:$A, 0)), (INDEX('Summary of Results'!G:G, MATCH($B209, 'Summary of Results'!$A:$A, 0))/INDEX('Summary of Results'!$G:$G, MATCH($B209, 'Summary of Results'!$A:$A, 0)) - 1)*100), NA()))</f>
        <v>11009.0575007933</v>
      </c>
      <c r="E209" s="1194">
        <f ca="1">IF(IFERROR(IF($C$145 = "Absolute", INDEX('Summary of Results'!H:H, MATCH($B209, 'Summary of Results'!$A:$A, 0)), (INDEX('Summary of Results'!H:H, MATCH($B209, 'Summary of Results'!$A:$A, 0))/INDEX('Summary of Results'!$G:$G, MATCH($B209, 'Summary of Results'!$A:$A, 0)) - 1)*100), NA()) = "", "", IFERROR(IF($C$145 = "Absolute", INDEX('Summary of Results'!H:H, MATCH($B209, 'Summary of Results'!$A:$A, 0)), (INDEX('Summary of Results'!H:H, MATCH($B209, 'Summary of Results'!$A:$A, 0))/INDEX('Summary of Results'!$G:$G, MATCH($B209, 'Summary of Results'!$A:$A, 0)) - 1)*100), NA()))</f>
        <v>11009.0575007933</v>
      </c>
      <c r="F209" s="1194">
        <f ca="1">IF(IFERROR(IF($C$145 = "Absolute", INDEX('Summary of Results'!I:I, MATCH($B209, 'Summary of Results'!$A:$A, 0)), (INDEX('Summary of Results'!I:I, MATCH($B209, 'Summary of Results'!$A:$A, 0))/INDEX('Summary of Results'!$G:$G, MATCH($B209, 'Summary of Results'!$A:$A, 0)) - 1)*100), NA()) = "", "", IFERROR(IF($C$145 = "Absolute", INDEX('Summary of Results'!I:I, MATCH($B209, 'Summary of Results'!$A:$A, 0)), (INDEX('Summary of Results'!I:I, MATCH($B209, 'Summary of Results'!$A:$A, 0))/INDEX('Summary of Results'!$G:$G, MATCH($B209, 'Summary of Results'!$A:$A, 0)) - 1)*100), NA()))</f>
        <v>11098.998998697507</v>
      </c>
      <c r="G209" s="1194">
        <f ca="1">IF(IFERROR(IF($C$145 = "Absolute", INDEX('Summary of Results'!J:J, MATCH($B209, 'Summary of Results'!$A:$A, 0)), (INDEX('Summary of Results'!J:J, MATCH($B209, 'Summary of Results'!$A:$A, 0))/INDEX('Summary of Results'!$G:$G, MATCH($B209, 'Summary of Results'!$A:$A, 0)) - 1)*100), NA()) = "", "", IFERROR(IF($C$145 = "Absolute", INDEX('Summary of Results'!J:J, MATCH($B209, 'Summary of Results'!$A:$A, 0)), (INDEX('Summary of Results'!J:J, MATCH($B209, 'Summary of Results'!$A:$A, 0))/INDEX('Summary of Results'!$G:$G, MATCH($B209, 'Summary of Results'!$A:$A, 0)) - 1)*100), NA()))</f>
        <v>11246.009696136083</v>
      </c>
      <c r="H209" s="1194">
        <f ca="1">IF(IFERROR(IF($C$145 = "Absolute", INDEX('Summary of Results'!K:K, MATCH($B209, 'Summary of Results'!$A:$A, 0)), (INDEX('Summary of Results'!K:K, MATCH($B209, 'Summary of Results'!$A:$A, 0))/INDEX('Summary of Results'!$G:$G, MATCH($B209, 'Summary of Results'!$A:$A, 0)) - 1)*100), NA()) = "", "", IFERROR(IF($C$145 = "Absolute", INDEX('Summary of Results'!K:K, MATCH($B209, 'Summary of Results'!$A:$A, 0)), (INDEX('Summary of Results'!K:K, MATCH($B209, 'Summary of Results'!$A:$A, 0))/INDEX('Summary of Results'!$G:$G, MATCH($B209, 'Summary of Results'!$A:$A, 0)) - 1)*100), NA()))</f>
        <v>11481.926159031185</v>
      </c>
      <c r="I209" s="1194">
        <f ca="1">IF(IFERROR(IF($C$145 = "Absolute", INDEX('Summary of Results'!L:L, MATCH($B209, 'Summary of Results'!$A:$A, 0)), (INDEX('Summary of Results'!L:L, MATCH($B209, 'Summary of Results'!$A:$A, 0))/INDEX('Summary of Results'!$G:$G, MATCH($B209, 'Summary of Results'!$A:$A, 0)) - 1)*100), NA()) = "", "", IFERROR(IF($C$145 = "Absolute", INDEX('Summary of Results'!L:L, MATCH($B209, 'Summary of Results'!$A:$A, 0)), (INDEX('Summary of Results'!L:L, MATCH($B209, 'Summary of Results'!$A:$A, 0))/INDEX('Summary of Results'!$G:$G, MATCH($B209, 'Summary of Results'!$A:$A, 0)) - 1)*100), NA()))</f>
        <v>11973.429473784283</v>
      </c>
      <c r="J209" s="1194">
        <f ca="1">IF(IFERROR(IF($C$145 = "Absolute", INDEX('Summary of Results'!M:M, MATCH($B209, 'Summary of Results'!$A:$A, 0)), (INDEX('Summary of Results'!M:M, MATCH($B209, 'Summary of Results'!$A:$A, 0))/INDEX('Summary of Results'!$G:$G, MATCH($B209, 'Summary of Results'!$A:$A, 0)) - 1)*100), NA()) = "", "", IFERROR(IF($C$145 = "Absolute", INDEX('Summary of Results'!M:M, MATCH($B209, 'Summary of Results'!$A:$A, 0)), (INDEX('Summary of Results'!M:M, MATCH($B209, 'Summary of Results'!$A:$A, 0))/INDEX('Summary of Results'!$G:$G, MATCH($B209, 'Summary of Results'!$A:$A, 0)) - 1)*100), NA()))</f>
        <v>13631.350772872518</v>
      </c>
      <c r="K209"/>
      <c r="L209" s="75"/>
      <c r="M209"/>
      <c r="N209"/>
      <c r="O209"/>
      <c r="P209"/>
      <c r="Q209"/>
      <c r="R209"/>
      <c r="S209"/>
      <c r="T209"/>
      <c r="U209"/>
      <c r="V209" s="1355"/>
      <c r="W209" s="1355"/>
      <c r="X209" s="1355"/>
      <c r="Y209" s="1355"/>
      <c r="Z209" s="1355"/>
      <c r="AA209" s="1355"/>
      <c r="AB209" s="1355"/>
      <c r="AC209"/>
      <c r="AD209"/>
      <c r="AE209"/>
      <c r="AF209"/>
      <c r="AG209"/>
      <c r="AH209"/>
      <c r="AI209"/>
      <c r="AJ209"/>
      <c r="AK209"/>
      <c r="AL209"/>
      <c r="AM209"/>
      <c r="AN209"/>
      <c r="AO209"/>
    </row>
    <row r="210" spans="1:41" outlineLevel="2" x14ac:dyDescent="0.35">
      <c r="A210" s="7"/>
      <c r="B210" s="1192">
        <v>21</v>
      </c>
      <c r="C210" s="1193" t="str">
        <f>IFERROR(INDEX('Summary of Results'!$B:$B, MATCH(B210, 'Summary of Results'!$A:$A, 0)), NA())</f>
        <v>Pack cost, $/kWh</v>
      </c>
      <c r="D210" s="1270">
        <f ca="1">IF(IFERROR(IF($C$145 = "Absolute", INDEX('Summary of Results'!G:G, MATCH($B210, 'Summary of Results'!$A:$A, 0)), (INDEX('Summary of Results'!G:G, MATCH($B210, 'Summary of Results'!$A:$A, 0))/INDEX('Summary of Results'!$G:$G, MATCH($B210, 'Summary of Results'!$A:$A, 0)) - 1)*100), NA()) = "", "", IFERROR(IF($C$145 = "Absolute", INDEX('Summary of Results'!G:G, MATCH($B210, 'Summary of Results'!$A:$A, 0)), (INDEX('Summary of Results'!G:G, MATCH($B210, 'Summary of Results'!$A:$A, 0))/INDEX('Summary of Results'!$G:$G, MATCH($B210, 'Summary of Results'!$A:$A, 0)) - 1)*100), NA()))</f>
        <v>110.09057500793304</v>
      </c>
      <c r="E210" s="1270">
        <f ca="1">IF(IFERROR(IF($C$145 = "Absolute", INDEX('Summary of Results'!H:H, MATCH($B210, 'Summary of Results'!$A:$A, 0)), (INDEX('Summary of Results'!H:H, MATCH($B210, 'Summary of Results'!$A:$A, 0))/INDEX('Summary of Results'!$G:$G, MATCH($B210, 'Summary of Results'!$A:$A, 0)) - 1)*100), NA()) = "", "", IFERROR(IF($C$145 = "Absolute", INDEX('Summary of Results'!H:H, MATCH($B210, 'Summary of Results'!$A:$A, 0)), (INDEX('Summary of Results'!H:H, MATCH($B210, 'Summary of Results'!$A:$A, 0))/INDEX('Summary of Results'!$G:$G, MATCH($B210, 'Summary of Results'!$A:$A, 0)) - 1)*100), NA()))</f>
        <v>110.09057500793304</v>
      </c>
      <c r="F210" s="1270">
        <f ca="1">IF(IFERROR(IF($C$145 = "Absolute", INDEX('Summary of Results'!I:I, MATCH($B210, 'Summary of Results'!$A:$A, 0)), (INDEX('Summary of Results'!I:I, MATCH($B210, 'Summary of Results'!$A:$A, 0))/INDEX('Summary of Results'!$G:$G, MATCH($B210, 'Summary of Results'!$A:$A, 0)) - 1)*100), NA()) = "", "", IFERROR(IF($C$145 = "Absolute", INDEX('Summary of Results'!I:I, MATCH($B210, 'Summary of Results'!$A:$A, 0)), (INDEX('Summary of Results'!I:I, MATCH($B210, 'Summary of Results'!$A:$A, 0))/INDEX('Summary of Results'!$G:$G, MATCH($B210, 'Summary of Results'!$A:$A, 0)) - 1)*100), NA()))</f>
        <v>110.98998998697512</v>
      </c>
      <c r="G210" s="1270">
        <f ca="1">IF(IFERROR(IF($C$145 = "Absolute", INDEX('Summary of Results'!J:J, MATCH($B210, 'Summary of Results'!$A:$A, 0)), (INDEX('Summary of Results'!J:J, MATCH($B210, 'Summary of Results'!$A:$A, 0))/INDEX('Summary of Results'!$G:$G, MATCH($B210, 'Summary of Results'!$A:$A, 0)) - 1)*100), NA()) = "", "", IFERROR(IF($C$145 = "Absolute", INDEX('Summary of Results'!J:J, MATCH($B210, 'Summary of Results'!$A:$A, 0)), (INDEX('Summary of Results'!J:J, MATCH($B210, 'Summary of Results'!$A:$A, 0))/INDEX('Summary of Results'!$G:$G, MATCH($B210, 'Summary of Results'!$A:$A, 0)) - 1)*100), NA()))</f>
        <v>112.46009696136088</v>
      </c>
      <c r="H210" s="1270">
        <f ca="1">IF(IFERROR(IF($C$145 = "Absolute", INDEX('Summary of Results'!K:K, MATCH($B210, 'Summary of Results'!$A:$A, 0)), (INDEX('Summary of Results'!K:K, MATCH($B210, 'Summary of Results'!$A:$A, 0))/INDEX('Summary of Results'!$G:$G, MATCH($B210, 'Summary of Results'!$A:$A, 0)) - 1)*100), NA()) = "", "", IFERROR(IF($C$145 = "Absolute", INDEX('Summary of Results'!K:K, MATCH($B210, 'Summary of Results'!$A:$A, 0)), (INDEX('Summary of Results'!K:K, MATCH($B210, 'Summary of Results'!$A:$A, 0))/INDEX('Summary of Results'!$G:$G, MATCH($B210, 'Summary of Results'!$A:$A, 0)) - 1)*100), NA()))</f>
        <v>114.8192615903119</v>
      </c>
      <c r="I210" s="1270">
        <f ca="1">IF(IFERROR(IF($C$145 = "Absolute", INDEX('Summary of Results'!L:L, MATCH($B210, 'Summary of Results'!$A:$A, 0)), (INDEX('Summary of Results'!L:L, MATCH($B210, 'Summary of Results'!$A:$A, 0))/INDEX('Summary of Results'!$G:$G, MATCH($B210, 'Summary of Results'!$A:$A, 0)) - 1)*100), NA()) = "", "", IFERROR(IF($C$145 = "Absolute", INDEX('Summary of Results'!L:L, MATCH($B210, 'Summary of Results'!$A:$A, 0)), (INDEX('Summary of Results'!L:L, MATCH($B210, 'Summary of Results'!$A:$A, 0))/INDEX('Summary of Results'!$G:$G, MATCH($B210, 'Summary of Results'!$A:$A, 0)) - 1)*100), NA()))</f>
        <v>119.73429473784287</v>
      </c>
      <c r="J210" s="1270">
        <f ca="1">IF(IFERROR(IF($C$145 = "Absolute", INDEX('Summary of Results'!M:M, MATCH($B210, 'Summary of Results'!$A:$A, 0)), (INDEX('Summary of Results'!M:M, MATCH($B210, 'Summary of Results'!$A:$A, 0))/INDEX('Summary of Results'!$G:$G, MATCH($B210, 'Summary of Results'!$A:$A, 0)) - 1)*100), NA()) = "", "", IFERROR(IF($C$145 = "Absolute", INDEX('Summary of Results'!M:M, MATCH($B210, 'Summary of Results'!$A:$A, 0)), (INDEX('Summary of Results'!M:M, MATCH($B210, 'Summary of Results'!$A:$A, 0))/INDEX('Summary of Results'!$G:$G, MATCH($B210, 'Summary of Results'!$A:$A, 0)) - 1)*100), NA()))</f>
        <v>136.31350772872452</v>
      </c>
      <c r="K210"/>
      <c r="L210"/>
      <c r="M210"/>
      <c r="N210"/>
      <c r="O210"/>
      <c r="P210"/>
      <c r="Q210"/>
      <c r="R210"/>
      <c r="S210"/>
      <c r="T210"/>
      <c r="U210"/>
      <c r="V210" s="1355"/>
      <c r="W210" s="1355"/>
      <c r="X210" s="1355"/>
      <c r="Y210" s="1355"/>
      <c r="Z210" s="1355"/>
      <c r="AA210" s="1355"/>
      <c r="AB210" s="1355"/>
      <c r="AC210"/>
      <c r="AD210"/>
      <c r="AE210"/>
      <c r="AF210"/>
      <c r="AG210"/>
      <c r="AH210"/>
      <c r="AI210"/>
      <c r="AJ210"/>
      <c r="AK210"/>
      <c r="AL210"/>
      <c r="AM210"/>
      <c r="AN210"/>
      <c r="AO210"/>
    </row>
    <row r="211" spans="1:41" outlineLevel="2" x14ac:dyDescent="0.35">
      <c r="A211"/>
      <c r="B211" s="1192">
        <v>22</v>
      </c>
      <c r="C211" s="1193" t="str">
        <f>IFERROR(INDEX('Summary of Results'!$B:$B, MATCH(B211, 'Summary of Results'!$A:$A, 0)), NA())</f>
        <v>Pack cost, $/kWh(Useable)</v>
      </c>
      <c r="D211" s="1194">
        <f ca="1">IF(IFERROR(IF($C$145 = "Absolute", INDEX('Summary of Results'!G:G, MATCH($B211, 'Summary of Results'!$A:$A, 0)), (INDEX('Summary of Results'!G:G, MATCH($B211, 'Summary of Results'!$A:$A, 0))/INDEX('Summary of Results'!$G:$G, MATCH($B211, 'Summary of Results'!$A:$A, 0)) - 1)*100), NA()) = "", "", IFERROR(IF($C$145 = "Absolute", INDEX('Summary of Results'!G:G, MATCH($B211, 'Summary of Results'!$A:$A, 0)), (INDEX('Summary of Results'!G:G, MATCH($B211, 'Summary of Results'!$A:$A, 0))/INDEX('Summary of Results'!$G:$G, MATCH($B211, 'Summary of Results'!$A:$A, 0)) - 1)*100), NA()))</f>
        <v>129.51832353874477</v>
      </c>
      <c r="E211" s="1194">
        <f ca="1">IF(IFERROR(IF($C$145 = "Absolute", INDEX('Summary of Results'!H:H, MATCH($B211, 'Summary of Results'!$A:$A, 0)), (INDEX('Summary of Results'!H:H, MATCH($B211, 'Summary of Results'!$A:$A, 0))/INDEX('Summary of Results'!$G:$G, MATCH($B211, 'Summary of Results'!$A:$A, 0)) - 1)*100), NA()) = "", "", IFERROR(IF($C$145 = "Absolute", INDEX('Summary of Results'!H:H, MATCH($B211, 'Summary of Results'!$A:$A, 0)), (INDEX('Summary of Results'!H:H, MATCH($B211, 'Summary of Results'!$A:$A, 0))/INDEX('Summary of Results'!$G:$G, MATCH($B211, 'Summary of Results'!$A:$A, 0)) - 1)*100), NA()))</f>
        <v>129.51832353874477</v>
      </c>
      <c r="F211" s="1194">
        <f ca="1">IF(IFERROR(IF($C$145 = "Absolute", INDEX('Summary of Results'!I:I, MATCH($B211, 'Summary of Results'!$A:$A, 0)), (INDEX('Summary of Results'!I:I, MATCH($B211, 'Summary of Results'!$A:$A, 0))/INDEX('Summary of Results'!$G:$G, MATCH($B211, 'Summary of Results'!$A:$A, 0)) - 1)*100), NA()) = "", "", IFERROR(IF($C$145 = "Absolute", INDEX('Summary of Results'!I:I, MATCH($B211, 'Summary of Results'!$A:$A, 0)), (INDEX('Summary of Results'!I:I, MATCH($B211, 'Summary of Results'!$A:$A, 0))/INDEX('Summary of Results'!$G:$G, MATCH($B211, 'Summary of Results'!$A:$A, 0)) - 1)*100), NA()))</f>
        <v>130.57645880820604</v>
      </c>
      <c r="G211" s="1194">
        <f ca="1">IF(IFERROR(IF($C$145 = "Absolute", INDEX('Summary of Results'!J:J, MATCH($B211, 'Summary of Results'!$A:$A, 0)), (INDEX('Summary of Results'!J:J, MATCH($B211, 'Summary of Results'!$A:$A, 0))/INDEX('Summary of Results'!$G:$G, MATCH($B211, 'Summary of Results'!$A:$A, 0)) - 1)*100), NA()) = "", "", IFERROR(IF($C$145 = "Absolute", INDEX('Summary of Results'!J:J, MATCH($B211, 'Summary of Results'!$A:$A, 0)), (INDEX('Summary of Results'!J:J, MATCH($B211, 'Summary of Results'!$A:$A, 0))/INDEX('Summary of Results'!$G:$G, MATCH($B211, 'Summary of Results'!$A:$A, 0)) - 1)*100), NA()))</f>
        <v>132.30599642513045</v>
      </c>
      <c r="H211" s="1194">
        <f ca="1">IF(IFERROR(IF($C$145 = "Absolute", INDEX('Summary of Results'!K:K, MATCH($B211, 'Summary of Results'!$A:$A, 0)), (INDEX('Summary of Results'!K:K, MATCH($B211, 'Summary of Results'!$A:$A, 0))/INDEX('Summary of Results'!$G:$G, MATCH($B211, 'Summary of Results'!$A:$A, 0)) - 1)*100), NA()) = "", "", IFERROR(IF($C$145 = "Absolute", INDEX('Summary of Results'!K:K, MATCH($B211, 'Summary of Results'!$A:$A, 0)), (INDEX('Summary of Results'!K:K, MATCH($B211, 'Summary of Results'!$A:$A, 0))/INDEX('Summary of Results'!$G:$G, MATCH($B211, 'Summary of Results'!$A:$A, 0)) - 1)*100), NA()))</f>
        <v>135.08148422389635</v>
      </c>
      <c r="I211" s="1194">
        <f ca="1">IF(IFERROR(IF($C$145 = "Absolute", INDEX('Summary of Results'!L:L, MATCH($B211, 'Summary of Results'!$A:$A, 0)), (INDEX('Summary of Results'!L:L, MATCH($B211, 'Summary of Results'!$A:$A, 0))/INDEX('Summary of Results'!$G:$G, MATCH($B211, 'Summary of Results'!$A:$A, 0)) - 1)*100), NA()) = "", "", IFERROR(IF($C$145 = "Absolute", INDEX('Summary of Results'!L:L, MATCH($B211, 'Summary of Results'!$A:$A, 0)), (INDEX('Summary of Results'!L:L, MATCH($B211, 'Summary of Results'!$A:$A, 0))/INDEX('Summary of Results'!$G:$G, MATCH($B211, 'Summary of Results'!$A:$A, 0)) - 1)*100), NA()))</f>
        <v>140.86387616216811</v>
      </c>
      <c r="J211" s="1194">
        <f ca="1">IF(IFERROR(IF($C$145 = "Absolute", INDEX('Summary of Results'!M:M, MATCH($B211, 'Summary of Results'!$A:$A, 0)), (INDEX('Summary of Results'!M:M, MATCH($B211, 'Summary of Results'!$A:$A, 0))/INDEX('Summary of Results'!$G:$G, MATCH($B211, 'Summary of Results'!$A:$A, 0)) - 1)*100), NA()) = "", "", IFERROR(IF($C$145 = "Absolute", INDEX('Summary of Results'!M:M, MATCH($B211, 'Summary of Results'!$A:$A, 0)), (INDEX('Summary of Results'!M:M, MATCH($B211, 'Summary of Results'!$A:$A, 0))/INDEX('Summary of Results'!$G:$G, MATCH($B211, 'Summary of Results'!$A:$A, 0)) - 1)*100), NA()))</f>
        <v>160.36883262202883</v>
      </c>
      <c r="K211"/>
      <c r="L211"/>
      <c r="M211"/>
      <c r="N211"/>
      <c r="O211"/>
      <c r="P211"/>
      <c r="Q211"/>
      <c r="R211"/>
      <c r="S211"/>
      <c r="T211"/>
      <c r="U211"/>
      <c r="V211" s="1355"/>
      <c r="W211" s="1355"/>
      <c r="X211" s="1355"/>
      <c r="Y211" s="1355"/>
      <c r="Z211" s="1355"/>
      <c r="AA211" s="1355"/>
      <c r="AB211" s="1355"/>
      <c r="AC211"/>
      <c r="AD211"/>
      <c r="AE211"/>
      <c r="AF211"/>
      <c r="AG211"/>
      <c r="AH211"/>
      <c r="AI211"/>
      <c r="AJ211"/>
      <c r="AK211"/>
      <c r="AL211"/>
      <c r="AM211"/>
      <c r="AN211"/>
      <c r="AO211"/>
    </row>
    <row r="212" spans="1:41" outlineLevel="2" x14ac:dyDescent="0.35">
      <c r="A212"/>
      <c r="B212" s="1192">
        <v>23</v>
      </c>
      <c r="C212" s="1193" t="str">
        <f>IFERROR(INDEX('Summary of Results'!$B:$B, MATCH(B212, 'Summary of Results'!$A:$A, 0)), NA())</f>
        <v>Cell cost, $/kWh</v>
      </c>
      <c r="D212" s="1270">
        <f ca="1">IF(IFERROR(IF($C$145 = "Absolute", INDEX('Summary of Results'!G:G, MATCH($B212, 'Summary of Results'!$A:$A, 0)), (INDEX('Summary of Results'!G:G, MATCH($B212, 'Summary of Results'!$A:$A, 0))/INDEX('Summary of Results'!$G:$G, MATCH($B212, 'Summary of Results'!$A:$A, 0)) - 1)*100), NA()) = "", "", IFERROR(IF($C$145 = "Absolute", INDEX('Summary of Results'!G:G, MATCH($B212, 'Summary of Results'!$A:$A, 0)), (INDEX('Summary of Results'!G:G, MATCH($B212, 'Summary of Results'!$A:$A, 0))/INDEX('Summary of Results'!$G:$G, MATCH($B212, 'Summary of Results'!$A:$A, 0)) - 1)*100), NA()))</f>
        <v>79.019206028106339</v>
      </c>
      <c r="E212" s="1270">
        <f ca="1">IF(IFERROR(IF($C$145 = "Absolute", INDEX('Summary of Results'!H:H, MATCH($B212, 'Summary of Results'!$A:$A, 0)), (INDEX('Summary of Results'!H:H, MATCH($B212, 'Summary of Results'!$A:$A, 0))/INDEX('Summary of Results'!$G:$G, MATCH($B212, 'Summary of Results'!$A:$A, 0)) - 1)*100), NA()) = "", "", IFERROR(IF($C$145 = "Absolute", INDEX('Summary of Results'!H:H, MATCH($B212, 'Summary of Results'!$A:$A, 0)), (INDEX('Summary of Results'!H:H, MATCH($B212, 'Summary of Results'!$A:$A, 0))/INDEX('Summary of Results'!$G:$G, MATCH($B212, 'Summary of Results'!$A:$A, 0)) - 1)*100), NA()))</f>
        <v>79.019206028106339</v>
      </c>
      <c r="F212" s="1270">
        <f ca="1">IF(IFERROR(IF($C$145 = "Absolute", INDEX('Summary of Results'!I:I, MATCH($B212, 'Summary of Results'!$A:$A, 0)), (INDEX('Summary of Results'!I:I, MATCH($B212, 'Summary of Results'!$A:$A, 0))/INDEX('Summary of Results'!$G:$G, MATCH($B212, 'Summary of Results'!$A:$A, 0)) - 1)*100), NA()) = "", "", IFERROR(IF($C$145 = "Absolute", INDEX('Summary of Results'!I:I, MATCH($B212, 'Summary of Results'!$A:$A, 0)), (INDEX('Summary of Results'!I:I, MATCH($B212, 'Summary of Results'!$A:$A, 0))/INDEX('Summary of Results'!$G:$G, MATCH($B212, 'Summary of Results'!$A:$A, 0)) - 1)*100), NA()))</f>
        <v>79.84681680321539</v>
      </c>
      <c r="G212" s="1270">
        <f ca="1">IF(IFERROR(IF($C$145 = "Absolute", INDEX('Summary of Results'!J:J, MATCH($B212, 'Summary of Results'!$A:$A, 0)), (INDEX('Summary of Results'!J:J, MATCH($B212, 'Summary of Results'!$A:$A, 0))/INDEX('Summary of Results'!$G:$G, MATCH($B212, 'Summary of Results'!$A:$A, 0)) - 1)*100), NA()) = "", "", IFERROR(IF($C$145 = "Absolute", INDEX('Summary of Results'!J:J, MATCH($B212, 'Summary of Results'!$A:$A, 0)), (INDEX('Summary of Results'!J:J, MATCH($B212, 'Summary of Results'!$A:$A, 0))/INDEX('Summary of Results'!$G:$G, MATCH($B212, 'Summary of Results'!$A:$A, 0)) - 1)*100), NA()))</f>
        <v>81.178555098647692</v>
      </c>
      <c r="H212" s="1270">
        <f ca="1">IF(IFERROR(IF($C$145 = "Absolute", INDEX('Summary of Results'!K:K, MATCH($B212, 'Summary of Results'!$A:$A, 0)), (INDEX('Summary of Results'!K:K, MATCH($B212, 'Summary of Results'!$A:$A, 0))/INDEX('Summary of Results'!$G:$G, MATCH($B212, 'Summary of Results'!$A:$A, 0)) - 1)*100), NA()) = "", "", IFERROR(IF($C$145 = "Absolute", INDEX('Summary of Results'!K:K, MATCH($B212, 'Summary of Results'!$A:$A, 0)), (INDEX('Summary of Results'!K:K, MATCH($B212, 'Summary of Results'!$A:$A, 0))/INDEX('Summary of Results'!$G:$G, MATCH($B212, 'Summary of Results'!$A:$A, 0)) - 1)*100), NA()))</f>
        <v>83.3513627330384</v>
      </c>
      <c r="I212" s="1270">
        <f ca="1">IF(IFERROR(IF($C$145 = "Absolute", INDEX('Summary of Results'!L:L, MATCH($B212, 'Summary of Results'!$A:$A, 0)), (INDEX('Summary of Results'!L:L, MATCH($B212, 'Summary of Results'!$A:$A, 0))/INDEX('Summary of Results'!$G:$G, MATCH($B212, 'Summary of Results'!$A:$A, 0)) - 1)*100), NA()) = "", "", IFERROR(IF($C$145 = "Absolute", INDEX('Summary of Results'!L:L, MATCH($B212, 'Summary of Results'!$A:$A, 0)), (INDEX('Summary of Results'!L:L, MATCH($B212, 'Summary of Results'!$A:$A, 0))/INDEX('Summary of Results'!$G:$G, MATCH($B212, 'Summary of Results'!$A:$A, 0)) - 1)*100), NA()))</f>
        <v>87.840108728018407</v>
      </c>
      <c r="J212" s="1270">
        <f ca="1">IF(IFERROR(IF($C$145 = "Absolute", INDEX('Summary of Results'!M:M, MATCH($B212, 'Summary of Results'!$A:$A, 0)), (INDEX('Summary of Results'!M:M, MATCH($B212, 'Summary of Results'!$A:$A, 0))/INDEX('Summary of Results'!$G:$G, MATCH($B212, 'Summary of Results'!$A:$A, 0)) - 1)*100), NA()) = "", "", IFERROR(IF($C$145 = "Absolute", INDEX('Summary of Results'!M:M, MATCH($B212, 'Summary of Results'!$A:$A, 0)), (INDEX('Summary of Results'!M:M, MATCH($B212, 'Summary of Results'!$A:$A, 0))/INDEX('Summary of Results'!$G:$G, MATCH($B212, 'Summary of Results'!$A:$A, 0)) - 1)*100), NA()))</f>
        <v>102.92481124890611</v>
      </c>
      <c r="K212"/>
      <c r="L212"/>
      <c r="M212"/>
      <c r="N212"/>
      <c r="O212"/>
      <c r="P212"/>
      <c r="Q212"/>
      <c r="R212"/>
      <c r="S212"/>
      <c r="T212"/>
      <c r="U212"/>
      <c r="V212" s="1355"/>
      <c r="W212" s="1355"/>
      <c r="X212" s="1355"/>
      <c r="Y212" s="1355"/>
      <c r="Z212" s="1355"/>
      <c r="AA212" s="1355"/>
      <c r="AB212" s="1355"/>
      <c r="AC212"/>
      <c r="AD212"/>
      <c r="AE212"/>
      <c r="AF212"/>
      <c r="AG212"/>
      <c r="AH212"/>
      <c r="AI212"/>
      <c r="AJ212"/>
      <c r="AK212"/>
      <c r="AL212"/>
      <c r="AM212"/>
      <c r="AN212"/>
      <c r="AO212"/>
    </row>
    <row r="213" spans="1:41" outlineLevel="2" x14ac:dyDescent="0.35">
      <c r="A213"/>
      <c r="B213" s="1192">
        <v>24</v>
      </c>
      <c r="C213" s="1193" t="str">
        <f>IFERROR(INDEX('Summary of Results'!$B:$B, MATCH(B213, 'Summary of Results'!$A:$A, 0)), NA())</f>
        <v>Plant Size, GWh</v>
      </c>
      <c r="D213" s="1270">
        <f ca="1">IF(IFERROR(IF($C$145 = "Absolute", INDEX('Summary of Results'!G:G, MATCH($B213, 'Summary of Results'!$A:$A, 0)), (INDEX('Summary of Results'!G:G, MATCH($B213, 'Summary of Results'!$A:$A, 0))/INDEX('Summary of Results'!$G:$G, MATCH($B213, 'Summary of Results'!$A:$A, 0)) - 1)*100), NA()) = "", "", IFERROR(IF($C$145 = "Absolute", INDEX('Summary of Results'!G:G, MATCH($B213, 'Summary of Results'!$A:$A, 0)), (INDEX('Summary of Results'!G:G, MATCH($B213, 'Summary of Results'!$A:$A, 0))/INDEX('Summary of Results'!$G:$G, MATCH($B213, 'Summary of Results'!$A:$A, 0)) - 1)*100), NA()))</f>
        <v>49.999999999999986</v>
      </c>
      <c r="E213" s="1270">
        <f ca="1">IF(IFERROR(IF($C$145 = "Absolute", INDEX('Summary of Results'!H:H, MATCH($B213, 'Summary of Results'!$A:$A, 0)), (INDEX('Summary of Results'!H:H, MATCH($B213, 'Summary of Results'!$A:$A, 0))/INDEX('Summary of Results'!$G:$G, MATCH($B213, 'Summary of Results'!$A:$A, 0)) - 1)*100), NA()) = "", "", IFERROR(IF($C$145 = "Absolute", INDEX('Summary of Results'!H:H, MATCH($B213, 'Summary of Results'!$A:$A, 0)), (INDEX('Summary of Results'!H:H, MATCH($B213, 'Summary of Results'!$A:$A, 0))/INDEX('Summary of Results'!$G:$G, MATCH($B213, 'Summary of Results'!$A:$A, 0)) - 1)*100), NA()))</f>
        <v>49.999999999999986</v>
      </c>
      <c r="F213" s="1270">
        <f ca="1">IF(IFERROR(IF($C$145 = "Absolute", INDEX('Summary of Results'!I:I, MATCH($B213, 'Summary of Results'!$A:$A, 0)), (INDEX('Summary of Results'!I:I, MATCH($B213, 'Summary of Results'!$A:$A, 0))/INDEX('Summary of Results'!$G:$G, MATCH($B213, 'Summary of Results'!$A:$A, 0)) - 1)*100), NA()) = "", "", IFERROR(IF($C$145 = "Absolute", INDEX('Summary of Results'!I:I, MATCH($B213, 'Summary of Results'!$A:$A, 0)), (INDEX('Summary of Results'!I:I, MATCH($B213, 'Summary of Results'!$A:$A, 0))/INDEX('Summary of Results'!$G:$G, MATCH($B213, 'Summary of Results'!$A:$A, 0)) - 1)*100), NA()))</f>
        <v>49.999999999999979</v>
      </c>
      <c r="G213" s="1270">
        <f ca="1">IF(IFERROR(IF($C$145 = "Absolute", INDEX('Summary of Results'!J:J, MATCH($B213, 'Summary of Results'!$A:$A, 0)), (INDEX('Summary of Results'!J:J, MATCH($B213, 'Summary of Results'!$A:$A, 0))/INDEX('Summary of Results'!$G:$G, MATCH($B213, 'Summary of Results'!$A:$A, 0)) - 1)*100), NA()) = "", "", IFERROR(IF($C$145 = "Absolute", INDEX('Summary of Results'!J:J, MATCH($B213, 'Summary of Results'!$A:$A, 0)), (INDEX('Summary of Results'!J:J, MATCH($B213, 'Summary of Results'!$A:$A, 0))/INDEX('Summary of Results'!$G:$G, MATCH($B213, 'Summary of Results'!$A:$A, 0)) - 1)*100), NA()))</f>
        <v>49.999999999999979</v>
      </c>
      <c r="H213" s="1270">
        <f ca="1">IF(IFERROR(IF($C$145 = "Absolute", INDEX('Summary of Results'!K:K, MATCH($B213, 'Summary of Results'!$A:$A, 0)), (INDEX('Summary of Results'!K:K, MATCH($B213, 'Summary of Results'!$A:$A, 0))/INDEX('Summary of Results'!$G:$G, MATCH($B213, 'Summary of Results'!$A:$A, 0)) - 1)*100), NA()) = "", "", IFERROR(IF($C$145 = "Absolute", INDEX('Summary of Results'!K:K, MATCH($B213, 'Summary of Results'!$A:$A, 0)), (INDEX('Summary of Results'!K:K, MATCH($B213, 'Summary of Results'!$A:$A, 0))/INDEX('Summary of Results'!$G:$G, MATCH($B213, 'Summary of Results'!$A:$A, 0)) - 1)*100), NA()))</f>
        <v>49.999999999999979</v>
      </c>
      <c r="I213" s="1270">
        <f ca="1">IF(IFERROR(IF($C$145 = "Absolute", INDEX('Summary of Results'!L:L, MATCH($B213, 'Summary of Results'!$A:$A, 0)), (INDEX('Summary of Results'!L:L, MATCH($B213, 'Summary of Results'!$A:$A, 0))/INDEX('Summary of Results'!$G:$G, MATCH($B213, 'Summary of Results'!$A:$A, 0)) - 1)*100), NA()) = "", "", IFERROR(IF($C$145 = "Absolute", INDEX('Summary of Results'!L:L, MATCH($B213, 'Summary of Results'!$A:$A, 0)), (INDEX('Summary of Results'!L:L, MATCH($B213, 'Summary of Results'!$A:$A, 0))/INDEX('Summary of Results'!$G:$G, MATCH($B213, 'Summary of Results'!$A:$A, 0)) - 1)*100), NA()))</f>
        <v>49.999999999999979</v>
      </c>
      <c r="J213" s="1270">
        <f ca="1">IF(IFERROR(IF($C$145 = "Absolute", INDEX('Summary of Results'!M:M, MATCH($B213, 'Summary of Results'!$A:$A, 0)), (INDEX('Summary of Results'!M:M, MATCH($B213, 'Summary of Results'!$A:$A, 0))/INDEX('Summary of Results'!$G:$G, MATCH($B213, 'Summary of Results'!$A:$A, 0)) - 1)*100), NA()) = "", "", IFERROR(IF($C$145 = "Absolute", INDEX('Summary of Results'!M:M, MATCH($B213, 'Summary of Results'!$A:$A, 0)), (INDEX('Summary of Results'!M:M, MATCH($B213, 'Summary of Results'!$A:$A, 0))/INDEX('Summary of Results'!$G:$G, MATCH($B213, 'Summary of Results'!$A:$A, 0)) - 1)*100), NA()))</f>
        <v>50.000000000000242</v>
      </c>
      <c r="K213"/>
      <c r="L213"/>
      <c r="M213"/>
      <c r="N213"/>
      <c r="O213"/>
      <c r="P213"/>
      <c r="Q213"/>
      <c r="R213"/>
      <c r="S213"/>
      <c r="T213"/>
      <c r="U213"/>
      <c r="V213" s="1355"/>
      <c r="W213" s="1355"/>
      <c r="X213" s="1355"/>
      <c r="Y213" s="1355"/>
      <c r="Z213" s="1355"/>
      <c r="AA213" s="1355"/>
      <c r="AB213" s="1355"/>
      <c r="AC213"/>
      <c r="AD213"/>
      <c r="AE213"/>
      <c r="AF213"/>
      <c r="AG213"/>
      <c r="AH213"/>
      <c r="AI213"/>
      <c r="AJ213"/>
      <c r="AK213"/>
      <c r="AL213"/>
      <c r="AM213"/>
      <c r="AN213"/>
      <c r="AO213"/>
    </row>
    <row r="214" spans="1:41" outlineLevel="2" x14ac:dyDescent="0.35">
      <c r="A214"/>
      <c r="B214" s="1192">
        <v>25</v>
      </c>
      <c r="C214" s="1193" t="str">
        <f>IFERROR(INDEX('Summary of Results'!$B:$B, MATCH(B214, 'Summary of Results'!$A:$A, 0)), NA())</f>
        <v>Packs manufactured per year (packs/year)</v>
      </c>
      <c r="D214" s="1194">
        <f>IF(IFERROR(IF($C$145 = "Absolute", INDEX('Summary of Results'!G:G, MATCH($B214, 'Summary of Results'!$A:$A, 0)), (INDEX('Summary of Results'!G:G, MATCH($B214, 'Summary of Results'!$A:$A, 0))/INDEX('Summary of Results'!$G:$G, MATCH($B214, 'Summary of Results'!$A:$A, 0)) - 1)*100), NA()) = "", "", IFERROR(IF($C$145 = "Absolute", INDEX('Summary of Results'!G:G, MATCH($B214, 'Summary of Results'!$A:$A, 0)), (INDEX('Summary of Results'!G:G, MATCH($B214, 'Summary of Results'!$A:$A, 0))/INDEX('Summary of Results'!$G:$G, MATCH($B214, 'Summary of Results'!$A:$A, 0)) - 1)*100), NA()))</f>
        <v>500000</v>
      </c>
      <c r="E214" s="1194">
        <f>IF(IFERROR(IF($C$145 = "Absolute", INDEX('Summary of Results'!H:H, MATCH($B214, 'Summary of Results'!$A:$A, 0)), (INDEX('Summary of Results'!H:H, MATCH($B214, 'Summary of Results'!$A:$A, 0))/INDEX('Summary of Results'!$G:$G, MATCH($B214, 'Summary of Results'!$A:$A, 0)) - 1)*100), NA()) = "", "", IFERROR(IF($C$145 = "Absolute", INDEX('Summary of Results'!H:H, MATCH($B214, 'Summary of Results'!$A:$A, 0)), (INDEX('Summary of Results'!H:H, MATCH($B214, 'Summary of Results'!$A:$A, 0))/INDEX('Summary of Results'!$G:$G, MATCH($B214, 'Summary of Results'!$A:$A, 0)) - 1)*100), NA()))</f>
        <v>500000</v>
      </c>
      <c r="F214" s="1194">
        <f>IF(IFERROR(IF($C$145 = "Absolute", INDEX('Summary of Results'!I:I, MATCH($B214, 'Summary of Results'!$A:$A, 0)), (INDEX('Summary of Results'!I:I, MATCH($B214, 'Summary of Results'!$A:$A, 0))/INDEX('Summary of Results'!$G:$G, MATCH($B214, 'Summary of Results'!$A:$A, 0)) - 1)*100), NA()) = "", "", IFERROR(IF($C$145 = "Absolute", INDEX('Summary of Results'!I:I, MATCH($B214, 'Summary of Results'!$A:$A, 0)), (INDEX('Summary of Results'!I:I, MATCH($B214, 'Summary of Results'!$A:$A, 0))/INDEX('Summary of Results'!$G:$G, MATCH($B214, 'Summary of Results'!$A:$A, 0)) - 1)*100), NA()))</f>
        <v>500000</v>
      </c>
      <c r="G214" s="1194">
        <f>IF(IFERROR(IF($C$145 = "Absolute", INDEX('Summary of Results'!J:J, MATCH($B214, 'Summary of Results'!$A:$A, 0)), (INDEX('Summary of Results'!J:J, MATCH($B214, 'Summary of Results'!$A:$A, 0))/INDEX('Summary of Results'!$G:$G, MATCH($B214, 'Summary of Results'!$A:$A, 0)) - 1)*100), NA()) = "", "", IFERROR(IF($C$145 = "Absolute", INDEX('Summary of Results'!J:J, MATCH($B214, 'Summary of Results'!$A:$A, 0)), (INDEX('Summary of Results'!J:J, MATCH($B214, 'Summary of Results'!$A:$A, 0))/INDEX('Summary of Results'!$G:$G, MATCH($B214, 'Summary of Results'!$A:$A, 0)) - 1)*100), NA()))</f>
        <v>500000</v>
      </c>
      <c r="H214" s="1194">
        <f>IF(IFERROR(IF($C$145 = "Absolute", INDEX('Summary of Results'!K:K, MATCH($B214, 'Summary of Results'!$A:$A, 0)), (INDEX('Summary of Results'!K:K, MATCH($B214, 'Summary of Results'!$A:$A, 0))/INDEX('Summary of Results'!$G:$G, MATCH($B214, 'Summary of Results'!$A:$A, 0)) - 1)*100), NA()) = "", "", IFERROR(IF($C$145 = "Absolute", INDEX('Summary of Results'!K:K, MATCH($B214, 'Summary of Results'!$A:$A, 0)), (INDEX('Summary of Results'!K:K, MATCH($B214, 'Summary of Results'!$A:$A, 0))/INDEX('Summary of Results'!$G:$G, MATCH($B214, 'Summary of Results'!$A:$A, 0)) - 1)*100), NA()))</f>
        <v>500000</v>
      </c>
      <c r="I214" s="1194">
        <f>IF(IFERROR(IF($C$145 = "Absolute", INDEX('Summary of Results'!L:L, MATCH($B214, 'Summary of Results'!$A:$A, 0)), (INDEX('Summary of Results'!L:L, MATCH($B214, 'Summary of Results'!$A:$A, 0))/INDEX('Summary of Results'!$G:$G, MATCH($B214, 'Summary of Results'!$A:$A, 0)) - 1)*100), NA()) = "", "", IFERROR(IF($C$145 = "Absolute", INDEX('Summary of Results'!L:L, MATCH($B214, 'Summary of Results'!$A:$A, 0)), (INDEX('Summary of Results'!L:L, MATCH($B214, 'Summary of Results'!$A:$A, 0))/INDEX('Summary of Results'!$G:$G, MATCH($B214, 'Summary of Results'!$A:$A, 0)) - 1)*100), NA()))</f>
        <v>500000</v>
      </c>
      <c r="J214" s="1194">
        <f>IF(IFERROR(IF($C$145 = "Absolute", INDEX('Summary of Results'!M:M, MATCH($B214, 'Summary of Results'!$A:$A, 0)), (INDEX('Summary of Results'!M:M, MATCH($B214, 'Summary of Results'!$A:$A, 0))/INDEX('Summary of Results'!$G:$G, MATCH($B214, 'Summary of Results'!$A:$A, 0)) - 1)*100), NA()) = "", "", IFERROR(IF($C$145 = "Absolute", INDEX('Summary of Results'!M:M, MATCH($B214, 'Summary of Results'!$A:$A, 0)), (INDEX('Summary of Results'!M:M, MATCH($B214, 'Summary of Results'!$A:$A, 0))/INDEX('Summary of Results'!$G:$G, MATCH($B214, 'Summary of Results'!$A:$A, 0)) - 1)*100), NA()))</f>
        <v>500000</v>
      </c>
      <c r="K214"/>
      <c r="L214"/>
      <c r="M214"/>
      <c r="N214"/>
      <c r="O214"/>
      <c r="P214"/>
      <c r="Q214"/>
      <c r="R214"/>
      <c r="S214"/>
      <c r="T214"/>
      <c r="U214"/>
      <c r="V214" s="1355"/>
      <c r="W214" s="1355"/>
      <c r="X214" s="1355"/>
      <c r="Y214" s="1355"/>
      <c r="Z214" s="1355"/>
      <c r="AA214" s="1355"/>
      <c r="AB214" s="1355"/>
      <c r="AC214"/>
      <c r="AD214"/>
      <c r="AE214"/>
      <c r="AF214"/>
      <c r="AG214"/>
      <c r="AH214"/>
      <c r="AI214"/>
      <c r="AJ214"/>
      <c r="AK214"/>
      <c r="AL214"/>
      <c r="AM214"/>
      <c r="AN214"/>
      <c r="AO214"/>
    </row>
    <row r="215" spans="1:41" outlineLevel="2" x14ac:dyDescent="0.35">
      <c r="A215"/>
      <c r="B215" s="1192">
        <v>26</v>
      </c>
      <c r="C215" s="1193" t="e">
        <f>IFERROR(INDEX('Summary of Results'!$B:$B, MATCH(B215, 'Summary of Results'!$A:$A, 0)), NA())</f>
        <v>#N/A</v>
      </c>
      <c r="D215" s="1194" t="e">
        <f>IF(IFERROR(IF($C$145 = "Absolute", INDEX('Summary of Results'!G:G, MATCH($B215, 'Summary of Results'!$A:$A, 0)), (INDEX('Summary of Results'!G:G, MATCH($B215, 'Summary of Results'!$A:$A, 0))/INDEX('Summary of Results'!$G:$G, MATCH($B215, 'Summary of Results'!$A:$A, 0)) - 1)*100), NA()) = "", "", IFERROR(IF($C$145 = "Absolute", INDEX('Summary of Results'!G:G, MATCH($B215, 'Summary of Results'!$A:$A, 0)), (INDEX('Summary of Results'!G:G, MATCH($B215, 'Summary of Results'!$A:$A, 0))/INDEX('Summary of Results'!$G:$G, MATCH($B215, 'Summary of Results'!$A:$A, 0)) - 1)*100), NA()))</f>
        <v>#N/A</v>
      </c>
      <c r="E215" s="1194" t="e">
        <f>IF(IFERROR(IF($C$145 = "Absolute", INDEX('Summary of Results'!H:H, MATCH($B215, 'Summary of Results'!$A:$A, 0)), (INDEX('Summary of Results'!H:H, MATCH($B215, 'Summary of Results'!$A:$A, 0))/INDEX('Summary of Results'!$G:$G, MATCH($B215, 'Summary of Results'!$A:$A, 0)) - 1)*100), NA()) = "", "", IFERROR(IF($C$145 = "Absolute", INDEX('Summary of Results'!H:H, MATCH($B215, 'Summary of Results'!$A:$A, 0)), (INDEX('Summary of Results'!H:H, MATCH($B215, 'Summary of Results'!$A:$A, 0))/INDEX('Summary of Results'!$G:$G, MATCH($B215, 'Summary of Results'!$A:$A, 0)) - 1)*100), NA()))</f>
        <v>#N/A</v>
      </c>
      <c r="F215" s="1194" t="e">
        <f>IF(IFERROR(IF($C$145 = "Absolute", INDEX('Summary of Results'!I:I, MATCH($B215, 'Summary of Results'!$A:$A, 0)), (INDEX('Summary of Results'!I:I, MATCH($B215, 'Summary of Results'!$A:$A, 0))/INDEX('Summary of Results'!$G:$G, MATCH($B215, 'Summary of Results'!$A:$A, 0)) - 1)*100), NA()) = "", "", IFERROR(IF($C$145 = "Absolute", INDEX('Summary of Results'!I:I, MATCH($B215, 'Summary of Results'!$A:$A, 0)), (INDEX('Summary of Results'!I:I, MATCH($B215, 'Summary of Results'!$A:$A, 0))/INDEX('Summary of Results'!$G:$G, MATCH($B215, 'Summary of Results'!$A:$A, 0)) - 1)*100), NA()))</f>
        <v>#N/A</v>
      </c>
      <c r="G215" s="1194" t="e">
        <f>IF(IFERROR(IF($C$145 = "Absolute", INDEX('Summary of Results'!J:J, MATCH($B215, 'Summary of Results'!$A:$A, 0)), (INDEX('Summary of Results'!J:J, MATCH($B215, 'Summary of Results'!$A:$A, 0))/INDEX('Summary of Results'!$G:$G, MATCH($B215, 'Summary of Results'!$A:$A, 0)) - 1)*100), NA()) = "", "", IFERROR(IF($C$145 = "Absolute", INDEX('Summary of Results'!J:J, MATCH($B215, 'Summary of Results'!$A:$A, 0)), (INDEX('Summary of Results'!J:J, MATCH($B215, 'Summary of Results'!$A:$A, 0))/INDEX('Summary of Results'!$G:$G, MATCH($B215, 'Summary of Results'!$A:$A, 0)) - 1)*100), NA()))</f>
        <v>#N/A</v>
      </c>
      <c r="H215" s="1194" t="e">
        <f>IF(IFERROR(IF($C$145 = "Absolute", INDEX('Summary of Results'!K:K, MATCH($B215, 'Summary of Results'!$A:$A, 0)), (INDEX('Summary of Results'!K:K, MATCH($B215, 'Summary of Results'!$A:$A, 0))/INDEX('Summary of Results'!$G:$G, MATCH($B215, 'Summary of Results'!$A:$A, 0)) - 1)*100), NA()) = "", "", IFERROR(IF($C$145 = "Absolute", INDEX('Summary of Results'!K:K, MATCH($B215, 'Summary of Results'!$A:$A, 0)), (INDEX('Summary of Results'!K:K, MATCH($B215, 'Summary of Results'!$A:$A, 0))/INDEX('Summary of Results'!$G:$G, MATCH($B215, 'Summary of Results'!$A:$A, 0)) - 1)*100), NA()))</f>
        <v>#N/A</v>
      </c>
      <c r="I215" s="1194" t="e">
        <f>IF(IFERROR(IF($C$145 = "Absolute", INDEX('Summary of Results'!L:L, MATCH($B215, 'Summary of Results'!$A:$A, 0)), (INDEX('Summary of Results'!L:L, MATCH($B215, 'Summary of Results'!$A:$A, 0))/INDEX('Summary of Results'!$G:$G, MATCH($B215, 'Summary of Results'!$A:$A, 0)) - 1)*100), NA()) = "", "", IFERROR(IF($C$145 = "Absolute", INDEX('Summary of Results'!L:L, MATCH($B215, 'Summary of Results'!$A:$A, 0)), (INDEX('Summary of Results'!L:L, MATCH($B215, 'Summary of Results'!$A:$A, 0))/INDEX('Summary of Results'!$G:$G, MATCH($B215, 'Summary of Results'!$A:$A, 0)) - 1)*100), NA()))</f>
        <v>#N/A</v>
      </c>
      <c r="J215" s="1194" t="e">
        <f>IF(IFERROR(IF($C$145 = "Absolute", INDEX('Summary of Results'!M:M, MATCH($B215, 'Summary of Results'!$A:$A, 0)), (INDEX('Summary of Results'!M:M, MATCH($B215, 'Summary of Results'!$A:$A, 0))/INDEX('Summary of Results'!$G:$G, MATCH($B215, 'Summary of Results'!$A:$A, 0)) - 1)*100), NA()) = "", "", IFERROR(IF($C$145 = "Absolute", INDEX('Summary of Results'!M:M, MATCH($B215, 'Summary of Results'!$A:$A, 0)), (INDEX('Summary of Results'!M:M, MATCH($B215, 'Summary of Results'!$A:$A, 0))/INDEX('Summary of Results'!$G:$G, MATCH($B215, 'Summary of Results'!$A:$A, 0)) - 1)*100), NA()))</f>
        <v>#N/A</v>
      </c>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outlineLevel="2" x14ac:dyDescent="0.35">
      <c r="A216"/>
      <c r="B216" s="1192">
        <v>27</v>
      </c>
      <c r="C216" s="1193" t="e">
        <f>IFERROR(INDEX('Summary of Results'!$B:$B, MATCH(B216, 'Summary of Results'!$A:$A, 0)), NA())</f>
        <v>#N/A</v>
      </c>
      <c r="D216" s="1194" t="e">
        <f>IF(IFERROR(IF($C$145 = "Absolute", INDEX('Summary of Results'!G:G, MATCH($B216, 'Summary of Results'!$A:$A, 0)), (INDEX('Summary of Results'!G:G, MATCH($B216, 'Summary of Results'!$A:$A, 0))/INDEX('Summary of Results'!$G:$G, MATCH($B216, 'Summary of Results'!$A:$A, 0)) - 1)*100), NA()) = "", "", IFERROR(IF($C$145 = "Absolute", INDEX('Summary of Results'!G:G, MATCH($B216, 'Summary of Results'!$A:$A, 0)), (INDEX('Summary of Results'!G:G, MATCH($B216, 'Summary of Results'!$A:$A, 0))/INDEX('Summary of Results'!$G:$G, MATCH($B216, 'Summary of Results'!$A:$A, 0)) - 1)*100), NA()))</f>
        <v>#N/A</v>
      </c>
      <c r="E216" s="1194" t="e">
        <f>IF(IFERROR(IF($C$145 = "Absolute", INDEX('Summary of Results'!H:H, MATCH($B216, 'Summary of Results'!$A:$A, 0)), (INDEX('Summary of Results'!H:H, MATCH($B216, 'Summary of Results'!$A:$A, 0))/INDEX('Summary of Results'!$G:$G, MATCH($B216, 'Summary of Results'!$A:$A, 0)) - 1)*100), NA()) = "", "", IFERROR(IF($C$145 = "Absolute", INDEX('Summary of Results'!H:H, MATCH($B216, 'Summary of Results'!$A:$A, 0)), (INDEX('Summary of Results'!H:H, MATCH($B216, 'Summary of Results'!$A:$A, 0))/INDEX('Summary of Results'!$G:$G, MATCH($B216, 'Summary of Results'!$A:$A, 0)) - 1)*100), NA()))</f>
        <v>#N/A</v>
      </c>
      <c r="F216" s="1194" t="e">
        <f>IF(IFERROR(IF($C$145 = "Absolute", INDEX('Summary of Results'!I:I, MATCH($B216, 'Summary of Results'!$A:$A, 0)), (INDEX('Summary of Results'!I:I, MATCH($B216, 'Summary of Results'!$A:$A, 0))/INDEX('Summary of Results'!$G:$G, MATCH($B216, 'Summary of Results'!$A:$A, 0)) - 1)*100), NA()) = "", "", IFERROR(IF($C$145 = "Absolute", INDEX('Summary of Results'!I:I, MATCH($B216, 'Summary of Results'!$A:$A, 0)), (INDEX('Summary of Results'!I:I, MATCH($B216, 'Summary of Results'!$A:$A, 0))/INDEX('Summary of Results'!$G:$G, MATCH($B216, 'Summary of Results'!$A:$A, 0)) - 1)*100), NA()))</f>
        <v>#N/A</v>
      </c>
      <c r="G216" s="1194" t="e">
        <f>IF(IFERROR(IF($C$145 = "Absolute", INDEX('Summary of Results'!J:J, MATCH($B216, 'Summary of Results'!$A:$A, 0)), (INDEX('Summary of Results'!J:J, MATCH($B216, 'Summary of Results'!$A:$A, 0))/INDEX('Summary of Results'!$G:$G, MATCH($B216, 'Summary of Results'!$A:$A, 0)) - 1)*100), NA()) = "", "", IFERROR(IF($C$145 = "Absolute", INDEX('Summary of Results'!J:J, MATCH($B216, 'Summary of Results'!$A:$A, 0)), (INDEX('Summary of Results'!J:J, MATCH($B216, 'Summary of Results'!$A:$A, 0))/INDEX('Summary of Results'!$G:$G, MATCH($B216, 'Summary of Results'!$A:$A, 0)) - 1)*100), NA()))</f>
        <v>#N/A</v>
      </c>
      <c r="H216" s="1194" t="e">
        <f>IF(IFERROR(IF($C$145 = "Absolute", INDEX('Summary of Results'!K:K, MATCH($B216, 'Summary of Results'!$A:$A, 0)), (INDEX('Summary of Results'!K:K, MATCH($B216, 'Summary of Results'!$A:$A, 0))/INDEX('Summary of Results'!$G:$G, MATCH($B216, 'Summary of Results'!$A:$A, 0)) - 1)*100), NA()) = "", "", IFERROR(IF($C$145 = "Absolute", INDEX('Summary of Results'!K:K, MATCH($B216, 'Summary of Results'!$A:$A, 0)), (INDEX('Summary of Results'!K:K, MATCH($B216, 'Summary of Results'!$A:$A, 0))/INDEX('Summary of Results'!$G:$G, MATCH($B216, 'Summary of Results'!$A:$A, 0)) - 1)*100), NA()))</f>
        <v>#N/A</v>
      </c>
      <c r="I216" s="1194" t="e">
        <f>IF(IFERROR(IF($C$145 = "Absolute", INDEX('Summary of Results'!L:L, MATCH($B216, 'Summary of Results'!$A:$A, 0)), (INDEX('Summary of Results'!L:L, MATCH($B216, 'Summary of Results'!$A:$A, 0))/INDEX('Summary of Results'!$G:$G, MATCH($B216, 'Summary of Results'!$A:$A, 0)) - 1)*100), NA()) = "", "", IFERROR(IF($C$145 = "Absolute", INDEX('Summary of Results'!L:L, MATCH($B216, 'Summary of Results'!$A:$A, 0)), (INDEX('Summary of Results'!L:L, MATCH($B216, 'Summary of Results'!$A:$A, 0))/INDEX('Summary of Results'!$G:$G, MATCH($B216, 'Summary of Results'!$A:$A, 0)) - 1)*100), NA()))</f>
        <v>#N/A</v>
      </c>
      <c r="J216" s="1194" t="e">
        <f>IF(IFERROR(IF($C$145 = "Absolute", INDEX('Summary of Results'!M:M, MATCH($B216, 'Summary of Results'!$A:$A, 0)), (INDEX('Summary of Results'!M:M, MATCH($B216, 'Summary of Results'!$A:$A, 0))/INDEX('Summary of Results'!$G:$G, MATCH($B216, 'Summary of Results'!$A:$A, 0)) - 1)*100), NA()) = "", "", IFERROR(IF($C$145 = "Absolute", INDEX('Summary of Results'!M:M, MATCH($B216, 'Summary of Results'!$A:$A, 0)), (INDEX('Summary of Results'!M:M, MATCH($B216, 'Summary of Results'!$A:$A, 0))/INDEX('Summary of Results'!$G:$G, MATCH($B216, 'Summary of Results'!$A:$A, 0)) - 1)*100), NA()))</f>
        <v>#N/A</v>
      </c>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outlineLevel="2" x14ac:dyDescent="0.35">
      <c r="A217"/>
      <c r="B217" s="1092">
        <v>28</v>
      </c>
      <c r="C217" s="1142" t="e">
        <f>IFERROR(INDEX('Summary of Results'!$B:$B, MATCH(B217, 'Summary of Results'!$A:$A, 0)), NA())</f>
        <v>#N/A</v>
      </c>
      <c r="D217" s="1143" t="e">
        <f>IF(IFERROR(IF($C$145 = "Absolute", INDEX('Summary of Results'!G:G, MATCH($B217, 'Summary of Results'!$A:$A, 0)), (INDEX('Summary of Results'!G:G, MATCH($B217, 'Summary of Results'!$A:$A, 0))/INDEX('Summary of Results'!$G:$G, MATCH($B217, 'Summary of Results'!$A:$A, 0)) - 1)*100), NA()) = "", "", IFERROR(IF($C$145 = "Absolute", INDEX('Summary of Results'!G:G, MATCH($B217, 'Summary of Results'!$A:$A, 0)), (INDEX('Summary of Results'!G:G, MATCH($B217, 'Summary of Results'!$A:$A, 0))/INDEX('Summary of Results'!$G:$G, MATCH($B217, 'Summary of Results'!$A:$A, 0)) - 1)*100), NA()))</f>
        <v>#N/A</v>
      </c>
      <c r="E217" s="1143" t="e">
        <f>IF(IFERROR(IF($C$145 = "Absolute", INDEX('Summary of Results'!H:H, MATCH($B217, 'Summary of Results'!$A:$A, 0)), (INDEX('Summary of Results'!H:H, MATCH($B217, 'Summary of Results'!$A:$A, 0))/INDEX('Summary of Results'!$G:$G, MATCH($B217, 'Summary of Results'!$A:$A, 0)) - 1)*100), NA()) = "", "", IFERROR(IF($C$145 = "Absolute", INDEX('Summary of Results'!H:H, MATCH($B217, 'Summary of Results'!$A:$A, 0)), (INDEX('Summary of Results'!H:H, MATCH($B217, 'Summary of Results'!$A:$A, 0))/INDEX('Summary of Results'!$G:$G, MATCH($B217, 'Summary of Results'!$A:$A, 0)) - 1)*100), NA()))</f>
        <v>#N/A</v>
      </c>
      <c r="F217" s="1143" t="e">
        <f>IF(IFERROR(IF($C$145 = "Absolute", INDEX('Summary of Results'!I:I, MATCH($B217, 'Summary of Results'!$A:$A, 0)), (INDEX('Summary of Results'!I:I, MATCH($B217, 'Summary of Results'!$A:$A, 0))/INDEX('Summary of Results'!$G:$G, MATCH($B217, 'Summary of Results'!$A:$A, 0)) - 1)*100), NA()) = "", "", IFERROR(IF($C$145 = "Absolute", INDEX('Summary of Results'!I:I, MATCH($B217, 'Summary of Results'!$A:$A, 0)), (INDEX('Summary of Results'!I:I, MATCH($B217, 'Summary of Results'!$A:$A, 0))/INDEX('Summary of Results'!$G:$G, MATCH($B217, 'Summary of Results'!$A:$A, 0)) - 1)*100), NA()))</f>
        <v>#N/A</v>
      </c>
      <c r="G217" s="1143" t="e">
        <f>IF(IFERROR(IF($C$145 = "Absolute", INDEX('Summary of Results'!J:J, MATCH($B217, 'Summary of Results'!$A:$A, 0)), (INDEX('Summary of Results'!J:J, MATCH($B217, 'Summary of Results'!$A:$A, 0))/INDEX('Summary of Results'!$G:$G, MATCH($B217, 'Summary of Results'!$A:$A, 0)) - 1)*100), NA()) = "", "", IFERROR(IF($C$145 = "Absolute", INDEX('Summary of Results'!J:J, MATCH($B217, 'Summary of Results'!$A:$A, 0)), (INDEX('Summary of Results'!J:J, MATCH($B217, 'Summary of Results'!$A:$A, 0))/INDEX('Summary of Results'!$G:$G, MATCH($B217, 'Summary of Results'!$A:$A, 0)) - 1)*100), NA()))</f>
        <v>#N/A</v>
      </c>
      <c r="H217" s="1143" t="e">
        <f>IF(IFERROR(IF($C$145 = "Absolute", INDEX('Summary of Results'!K:K, MATCH($B217, 'Summary of Results'!$A:$A, 0)), (INDEX('Summary of Results'!K:K, MATCH($B217, 'Summary of Results'!$A:$A, 0))/INDEX('Summary of Results'!$G:$G, MATCH($B217, 'Summary of Results'!$A:$A, 0)) - 1)*100), NA()) = "", "", IFERROR(IF($C$145 = "Absolute", INDEX('Summary of Results'!K:K, MATCH($B217, 'Summary of Results'!$A:$A, 0)), (INDEX('Summary of Results'!K:K, MATCH($B217, 'Summary of Results'!$A:$A, 0))/INDEX('Summary of Results'!$G:$G, MATCH($B217, 'Summary of Results'!$A:$A, 0)) - 1)*100), NA()))</f>
        <v>#N/A</v>
      </c>
      <c r="I217" s="1143" t="e">
        <f>IF(IFERROR(IF($C$145 = "Absolute", INDEX('Summary of Results'!L:L, MATCH($B217, 'Summary of Results'!$A:$A, 0)), (INDEX('Summary of Results'!L:L, MATCH($B217, 'Summary of Results'!$A:$A, 0))/INDEX('Summary of Results'!$G:$G, MATCH($B217, 'Summary of Results'!$A:$A, 0)) - 1)*100), NA()) = "", "", IFERROR(IF($C$145 = "Absolute", INDEX('Summary of Results'!L:L, MATCH($B217, 'Summary of Results'!$A:$A, 0)), (INDEX('Summary of Results'!L:L, MATCH($B217, 'Summary of Results'!$A:$A, 0))/INDEX('Summary of Results'!$G:$G, MATCH($B217, 'Summary of Results'!$A:$A, 0)) - 1)*100), NA()))</f>
        <v>#N/A</v>
      </c>
      <c r="J217" s="1143" t="e">
        <f>IF(IFERROR(IF($C$145 = "Absolute", INDEX('Summary of Results'!M:M, MATCH($B217, 'Summary of Results'!$A:$A, 0)), (INDEX('Summary of Results'!M:M, MATCH($B217, 'Summary of Results'!$A:$A, 0))/INDEX('Summary of Results'!$G:$G, MATCH($B217, 'Summary of Results'!$A:$A, 0)) - 1)*100), NA()) = "", "", IFERROR(IF($C$145 = "Absolute", INDEX('Summary of Results'!M:M, MATCH($B217, 'Summary of Results'!$A:$A, 0)), (INDEX('Summary of Results'!M:M, MATCH($B217, 'Summary of Results'!$A:$A, 0))/INDEX('Summary of Results'!$G:$G, MATCH($B217, 'Summary of Results'!$A:$A, 0)) - 1)*100), NA()))</f>
        <v>#N/A</v>
      </c>
      <c r="K217"/>
      <c r="L217"/>
      <c r="M217"/>
      <c r="N217"/>
      <c r="O217"/>
      <c r="P217"/>
      <c r="Q217"/>
      <c r="R217" s="353"/>
      <c r="S217"/>
      <c r="T217"/>
      <c r="U217"/>
      <c r="V217"/>
      <c r="W217"/>
      <c r="X217"/>
      <c r="Y217"/>
      <c r="Z217"/>
      <c r="AA217"/>
      <c r="AB217"/>
      <c r="AC217"/>
      <c r="AD217"/>
      <c r="AE217"/>
      <c r="AF217"/>
      <c r="AG217"/>
      <c r="AH217"/>
      <c r="AI217"/>
      <c r="AJ217"/>
      <c r="AK217"/>
      <c r="AL217"/>
      <c r="AM217"/>
      <c r="AN217"/>
      <c r="AO217"/>
    </row>
    <row r="218" spans="1:41" collapsed="1" x14ac:dyDescent="0.35">
      <c r="A218"/>
      <c r="B218" s="1092">
        <v>29</v>
      </c>
      <c r="C218" s="1142" t="e">
        <f>IFERROR(INDEX('Summary of Results'!$B:$B, MATCH(B218, 'Summary of Results'!$A:$A, 0)), NA())</f>
        <v>#N/A</v>
      </c>
      <c r="D218" s="1143" t="e">
        <f>IF(IFERROR(IF($C$145 = "Absolute", INDEX('Summary of Results'!G:G, MATCH($B218, 'Summary of Results'!$A:$A, 0)), (INDEX('Summary of Results'!G:G, MATCH($B218, 'Summary of Results'!$A:$A, 0))/INDEX('Summary of Results'!$G:$G, MATCH($B218, 'Summary of Results'!$A:$A, 0)) - 1)*100), NA()) = "", "", IFERROR(IF($C$145 = "Absolute", INDEX('Summary of Results'!G:G, MATCH($B218, 'Summary of Results'!$A:$A, 0)), (INDEX('Summary of Results'!G:G, MATCH($B218, 'Summary of Results'!$A:$A, 0))/INDEX('Summary of Results'!$G:$G, MATCH($B218, 'Summary of Results'!$A:$A, 0)) - 1)*100), NA()))</f>
        <v>#N/A</v>
      </c>
      <c r="E218" s="1143" t="e">
        <f>IF(IFERROR(IF($C$145 = "Absolute", INDEX('Summary of Results'!H:H, MATCH($B218, 'Summary of Results'!$A:$A, 0)), (INDEX('Summary of Results'!H:H, MATCH($B218, 'Summary of Results'!$A:$A, 0))/INDEX('Summary of Results'!$G:$G, MATCH($B218, 'Summary of Results'!$A:$A, 0)) - 1)*100), NA()) = "", "", IFERROR(IF($C$145 = "Absolute", INDEX('Summary of Results'!H:H, MATCH($B218, 'Summary of Results'!$A:$A, 0)), (INDEX('Summary of Results'!H:H, MATCH($B218, 'Summary of Results'!$A:$A, 0))/INDEX('Summary of Results'!$G:$G, MATCH($B218, 'Summary of Results'!$A:$A, 0)) - 1)*100), NA()))</f>
        <v>#N/A</v>
      </c>
      <c r="F218" s="1143" t="e">
        <f>IF(IFERROR(IF($C$145 = "Absolute", INDEX('Summary of Results'!I:I, MATCH($B218, 'Summary of Results'!$A:$A, 0)), (INDEX('Summary of Results'!I:I, MATCH($B218, 'Summary of Results'!$A:$A, 0))/INDEX('Summary of Results'!$G:$G, MATCH($B218, 'Summary of Results'!$A:$A, 0)) - 1)*100), NA()) = "", "", IFERROR(IF($C$145 = "Absolute", INDEX('Summary of Results'!I:I, MATCH($B218, 'Summary of Results'!$A:$A, 0)), (INDEX('Summary of Results'!I:I, MATCH($B218, 'Summary of Results'!$A:$A, 0))/INDEX('Summary of Results'!$G:$G, MATCH($B218, 'Summary of Results'!$A:$A, 0)) - 1)*100), NA()))</f>
        <v>#N/A</v>
      </c>
      <c r="G218" s="1143" t="e">
        <f>IF(IFERROR(IF($C$145 = "Absolute", INDEX('Summary of Results'!J:J, MATCH($B218, 'Summary of Results'!$A:$A, 0)), (INDEX('Summary of Results'!J:J, MATCH($B218, 'Summary of Results'!$A:$A, 0))/INDEX('Summary of Results'!$G:$G, MATCH($B218, 'Summary of Results'!$A:$A, 0)) - 1)*100), NA()) = "", "", IFERROR(IF($C$145 = "Absolute", INDEX('Summary of Results'!J:J, MATCH($B218, 'Summary of Results'!$A:$A, 0)), (INDEX('Summary of Results'!J:J, MATCH($B218, 'Summary of Results'!$A:$A, 0))/INDEX('Summary of Results'!$G:$G, MATCH($B218, 'Summary of Results'!$A:$A, 0)) - 1)*100), NA()))</f>
        <v>#N/A</v>
      </c>
      <c r="H218" s="1143" t="e">
        <f>IF(IFERROR(IF($C$145 = "Absolute", INDEX('Summary of Results'!K:K, MATCH($B218, 'Summary of Results'!$A:$A, 0)), (INDEX('Summary of Results'!K:K, MATCH($B218, 'Summary of Results'!$A:$A, 0))/INDEX('Summary of Results'!$G:$G, MATCH($B218, 'Summary of Results'!$A:$A, 0)) - 1)*100), NA()) = "", "", IFERROR(IF($C$145 = "Absolute", INDEX('Summary of Results'!K:K, MATCH($B218, 'Summary of Results'!$A:$A, 0)), (INDEX('Summary of Results'!K:K, MATCH($B218, 'Summary of Results'!$A:$A, 0))/INDEX('Summary of Results'!$G:$G, MATCH($B218, 'Summary of Results'!$A:$A, 0)) - 1)*100), NA()))</f>
        <v>#N/A</v>
      </c>
      <c r="I218" s="1143" t="e">
        <f>IF(IFERROR(IF($C$145 = "Absolute", INDEX('Summary of Results'!L:L, MATCH($B218, 'Summary of Results'!$A:$A, 0)), (INDEX('Summary of Results'!L:L, MATCH($B218, 'Summary of Results'!$A:$A, 0))/INDEX('Summary of Results'!$G:$G, MATCH($B218, 'Summary of Results'!$A:$A, 0)) - 1)*100), NA()) = "", "", IFERROR(IF($C$145 = "Absolute", INDEX('Summary of Results'!L:L, MATCH($B218, 'Summary of Results'!$A:$A, 0)), (INDEX('Summary of Results'!L:L, MATCH($B218, 'Summary of Results'!$A:$A, 0))/INDEX('Summary of Results'!$G:$G, MATCH($B218, 'Summary of Results'!$A:$A, 0)) - 1)*100), NA()))</f>
        <v>#N/A</v>
      </c>
      <c r="J218" s="1143" t="e">
        <f>IF(IFERROR(IF($C$145 = "Absolute", INDEX('Summary of Results'!M:M, MATCH($B218, 'Summary of Results'!$A:$A, 0)), (INDEX('Summary of Results'!M:M, MATCH($B218, 'Summary of Results'!$A:$A, 0))/INDEX('Summary of Results'!$G:$G, MATCH($B218, 'Summary of Results'!$A:$A, 0)) - 1)*100), NA()) = "", "", IFERROR(IF($C$145 = "Absolute", INDEX('Summary of Results'!M:M, MATCH($B218, 'Summary of Results'!$A:$A, 0)), (INDEX('Summary of Results'!M:M, MATCH($B218, 'Summary of Results'!$A:$A, 0))/INDEX('Summary of Results'!$G:$G, MATCH($B218, 'Summary of Results'!$A:$A, 0)) - 1)*100), NA()))</f>
        <v>#N/A</v>
      </c>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35">
      <c r="A219"/>
      <c r="B219" s="1092">
        <v>30</v>
      </c>
      <c r="C219" s="1142" t="e">
        <f>IFERROR(INDEX('Summary of Results'!$B:$B, MATCH(B219, 'Summary of Results'!$A:$A, 0)), NA())</f>
        <v>#N/A</v>
      </c>
      <c r="D219" s="1143" t="e">
        <f>IF(IFERROR(IF($C$145 = "Absolute", INDEX('Summary of Results'!G:G, MATCH($B219, 'Summary of Results'!$A:$A, 0)), (INDEX('Summary of Results'!G:G, MATCH($B219, 'Summary of Results'!$A:$A, 0))/INDEX('Summary of Results'!$G:$G, MATCH($B219, 'Summary of Results'!$A:$A, 0)) - 1)*100), NA()) = "", "", IFERROR(IF($C$145 = "Absolute", INDEX('Summary of Results'!G:G, MATCH($B219, 'Summary of Results'!$A:$A, 0)), (INDEX('Summary of Results'!G:G, MATCH($B219, 'Summary of Results'!$A:$A, 0))/INDEX('Summary of Results'!$G:$G, MATCH($B219, 'Summary of Results'!$A:$A, 0)) - 1)*100), NA()))</f>
        <v>#N/A</v>
      </c>
      <c r="E219" s="1143" t="e">
        <f>IF(IFERROR(IF($C$145 = "Absolute", INDEX('Summary of Results'!H:H, MATCH($B219, 'Summary of Results'!$A:$A, 0)), (INDEX('Summary of Results'!H:H, MATCH($B219, 'Summary of Results'!$A:$A, 0))/INDEX('Summary of Results'!$G:$G, MATCH($B219, 'Summary of Results'!$A:$A, 0)) - 1)*100), NA()) = "", "", IFERROR(IF($C$145 = "Absolute", INDEX('Summary of Results'!H:H, MATCH($B219, 'Summary of Results'!$A:$A, 0)), (INDEX('Summary of Results'!H:H, MATCH($B219, 'Summary of Results'!$A:$A, 0))/INDEX('Summary of Results'!$G:$G, MATCH($B219, 'Summary of Results'!$A:$A, 0)) - 1)*100), NA()))</f>
        <v>#N/A</v>
      </c>
      <c r="F219" s="1143" t="e">
        <f>IF(IFERROR(IF($C$145 = "Absolute", INDEX('Summary of Results'!I:I, MATCH($B219, 'Summary of Results'!$A:$A, 0)), (INDEX('Summary of Results'!I:I, MATCH($B219, 'Summary of Results'!$A:$A, 0))/INDEX('Summary of Results'!$G:$G, MATCH($B219, 'Summary of Results'!$A:$A, 0)) - 1)*100), NA()) = "", "", IFERROR(IF($C$145 = "Absolute", INDEX('Summary of Results'!I:I, MATCH($B219, 'Summary of Results'!$A:$A, 0)), (INDEX('Summary of Results'!I:I, MATCH($B219, 'Summary of Results'!$A:$A, 0))/INDEX('Summary of Results'!$G:$G, MATCH($B219, 'Summary of Results'!$A:$A, 0)) - 1)*100), NA()))</f>
        <v>#N/A</v>
      </c>
      <c r="G219" s="1143" t="e">
        <f>IF(IFERROR(IF($C$145 = "Absolute", INDEX('Summary of Results'!J:J, MATCH($B219, 'Summary of Results'!$A:$A, 0)), (INDEX('Summary of Results'!J:J, MATCH($B219, 'Summary of Results'!$A:$A, 0))/INDEX('Summary of Results'!$G:$G, MATCH($B219, 'Summary of Results'!$A:$A, 0)) - 1)*100), NA()) = "", "", IFERROR(IF($C$145 = "Absolute", INDEX('Summary of Results'!J:J, MATCH($B219, 'Summary of Results'!$A:$A, 0)), (INDEX('Summary of Results'!J:J, MATCH($B219, 'Summary of Results'!$A:$A, 0))/INDEX('Summary of Results'!$G:$G, MATCH($B219, 'Summary of Results'!$A:$A, 0)) - 1)*100), NA()))</f>
        <v>#N/A</v>
      </c>
      <c r="H219" s="1143" t="e">
        <f>IF(IFERROR(IF($C$145 = "Absolute", INDEX('Summary of Results'!K:K, MATCH($B219, 'Summary of Results'!$A:$A, 0)), (INDEX('Summary of Results'!K:K, MATCH($B219, 'Summary of Results'!$A:$A, 0))/INDEX('Summary of Results'!$G:$G, MATCH($B219, 'Summary of Results'!$A:$A, 0)) - 1)*100), NA()) = "", "", IFERROR(IF($C$145 = "Absolute", INDEX('Summary of Results'!K:K, MATCH($B219, 'Summary of Results'!$A:$A, 0)), (INDEX('Summary of Results'!K:K, MATCH($B219, 'Summary of Results'!$A:$A, 0))/INDEX('Summary of Results'!$G:$G, MATCH($B219, 'Summary of Results'!$A:$A, 0)) - 1)*100), NA()))</f>
        <v>#N/A</v>
      </c>
      <c r="I219" s="1143" t="e">
        <f>IF(IFERROR(IF($C$145 = "Absolute", INDEX('Summary of Results'!L:L, MATCH($B219, 'Summary of Results'!$A:$A, 0)), (INDEX('Summary of Results'!L:L, MATCH($B219, 'Summary of Results'!$A:$A, 0))/INDEX('Summary of Results'!$G:$G, MATCH($B219, 'Summary of Results'!$A:$A, 0)) - 1)*100), NA()) = "", "", IFERROR(IF($C$145 = "Absolute", INDEX('Summary of Results'!L:L, MATCH($B219, 'Summary of Results'!$A:$A, 0)), (INDEX('Summary of Results'!L:L, MATCH($B219, 'Summary of Results'!$A:$A, 0))/INDEX('Summary of Results'!$G:$G, MATCH($B219, 'Summary of Results'!$A:$A, 0)) - 1)*100), NA()))</f>
        <v>#N/A</v>
      </c>
      <c r="J219" s="1143" t="e">
        <f>IF(IFERROR(IF($C$145 = "Absolute", INDEX('Summary of Results'!M:M, MATCH($B219, 'Summary of Results'!$A:$A, 0)), (INDEX('Summary of Results'!M:M, MATCH($B219, 'Summary of Results'!$A:$A, 0))/INDEX('Summary of Results'!$G:$G, MATCH($B219, 'Summary of Results'!$A:$A, 0)) - 1)*100), NA()) = "", "", IFERROR(IF($C$145 = "Absolute", INDEX('Summary of Results'!M:M, MATCH($B219, 'Summary of Results'!$A:$A, 0)), (INDEX('Summary of Results'!M:M, MATCH($B219, 'Summary of Results'!$A:$A, 0))/INDEX('Summary of Results'!$G:$G, MATCH($B219, 'Summary of Results'!$A:$A, 0)) - 1)*100), NA()))</f>
        <v>#N/A</v>
      </c>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35">
      <c r="A220"/>
      <c r="B220" s="1092">
        <v>31</v>
      </c>
      <c r="C220" s="1142" t="e">
        <f>IFERROR(INDEX('Summary of Results'!$B:$B, MATCH(B220, 'Summary of Results'!$A:$A, 0)), NA())</f>
        <v>#N/A</v>
      </c>
      <c r="D220" s="1143" t="e">
        <f>IF(IFERROR(IF($C$145 = "Absolute", INDEX('Summary of Results'!G:G, MATCH($B220, 'Summary of Results'!$A:$A, 0)), (INDEX('Summary of Results'!G:G, MATCH($B220, 'Summary of Results'!$A:$A, 0))/INDEX('Summary of Results'!$G:$G, MATCH($B220, 'Summary of Results'!$A:$A, 0)) - 1)*100), NA()) = "", "", IFERROR(IF($C$145 = "Absolute", INDEX('Summary of Results'!G:G, MATCH($B220, 'Summary of Results'!$A:$A, 0)), (INDEX('Summary of Results'!G:G, MATCH($B220, 'Summary of Results'!$A:$A, 0))/INDEX('Summary of Results'!$G:$G, MATCH($B220, 'Summary of Results'!$A:$A, 0)) - 1)*100), NA()))</f>
        <v>#N/A</v>
      </c>
      <c r="E220" s="1143" t="e">
        <f>IF(IFERROR(IF($C$145 = "Absolute", INDEX('Summary of Results'!H:H, MATCH($B220, 'Summary of Results'!$A:$A, 0)), (INDEX('Summary of Results'!H:H, MATCH($B220, 'Summary of Results'!$A:$A, 0))/INDEX('Summary of Results'!$G:$G, MATCH($B220, 'Summary of Results'!$A:$A, 0)) - 1)*100), NA()) = "", "", IFERROR(IF($C$145 = "Absolute", INDEX('Summary of Results'!H:H, MATCH($B220, 'Summary of Results'!$A:$A, 0)), (INDEX('Summary of Results'!H:H, MATCH($B220, 'Summary of Results'!$A:$A, 0))/INDEX('Summary of Results'!$G:$G, MATCH($B220, 'Summary of Results'!$A:$A, 0)) - 1)*100), NA()))</f>
        <v>#N/A</v>
      </c>
      <c r="F220" s="1143" t="e">
        <f>IF(IFERROR(IF($C$145 = "Absolute", INDEX('Summary of Results'!I:I, MATCH($B220, 'Summary of Results'!$A:$A, 0)), (INDEX('Summary of Results'!I:I, MATCH($B220, 'Summary of Results'!$A:$A, 0))/INDEX('Summary of Results'!$G:$G, MATCH($B220, 'Summary of Results'!$A:$A, 0)) - 1)*100), NA()) = "", "", IFERROR(IF($C$145 = "Absolute", INDEX('Summary of Results'!I:I, MATCH($B220, 'Summary of Results'!$A:$A, 0)), (INDEX('Summary of Results'!I:I, MATCH($B220, 'Summary of Results'!$A:$A, 0))/INDEX('Summary of Results'!$G:$G, MATCH($B220, 'Summary of Results'!$A:$A, 0)) - 1)*100), NA()))</f>
        <v>#N/A</v>
      </c>
      <c r="G220" s="1143" t="e">
        <f>IF(IFERROR(IF($C$145 = "Absolute", INDEX('Summary of Results'!J:J, MATCH($B220, 'Summary of Results'!$A:$A, 0)), (INDEX('Summary of Results'!J:J, MATCH($B220, 'Summary of Results'!$A:$A, 0))/INDEX('Summary of Results'!$G:$G, MATCH($B220, 'Summary of Results'!$A:$A, 0)) - 1)*100), NA()) = "", "", IFERROR(IF($C$145 = "Absolute", INDEX('Summary of Results'!J:J, MATCH($B220, 'Summary of Results'!$A:$A, 0)), (INDEX('Summary of Results'!J:J, MATCH($B220, 'Summary of Results'!$A:$A, 0))/INDEX('Summary of Results'!$G:$G, MATCH($B220, 'Summary of Results'!$A:$A, 0)) - 1)*100), NA()))</f>
        <v>#N/A</v>
      </c>
      <c r="H220" s="1143" t="e">
        <f>IF(IFERROR(IF($C$145 = "Absolute", INDEX('Summary of Results'!K:K, MATCH($B220, 'Summary of Results'!$A:$A, 0)), (INDEX('Summary of Results'!K:K, MATCH($B220, 'Summary of Results'!$A:$A, 0))/INDEX('Summary of Results'!$G:$G, MATCH($B220, 'Summary of Results'!$A:$A, 0)) - 1)*100), NA()) = "", "", IFERROR(IF($C$145 = "Absolute", INDEX('Summary of Results'!K:K, MATCH($B220, 'Summary of Results'!$A:$A, 0)), (INDEX('Summary of Results'!K:K, MATCH($B220, 'Summary of Results'!$A:$A, 0))/INDEX('Summary of Results'!$G:$G, MATCH($B220, 'Summary of Results'!$A:$A, 0)) - 1)*100), NA()))</f>
        <v>#N/A</v>
      </c>
      <c r="I220" s="1143" t="e">
        <f>IF(IFERROR(IF($C$145 = "Absolute", INDEX('Summary of Results'!L:L, MATCH($B220, 'Summary of Results'!$A:$A, 0)), (INDEX('Summary of Results'!L:L, MATCH($B220, 'Summary of Results'!$A:$A, 0))/INDEX('Summary of Results'!$G:$G, MATCH($B220, 'Summary of Results'!$A:$A, 0)) - 1)*100), NA()) = "", "", IFERROR(IF($C$145 = "Absolute", INDEX('Summary of Results'!L:L, MATCH($B220, 'Summary of Results'!$A:$A, 0)), (INDEX('Summary of Results'!L:L, MATCH($B220, 'Summary of Results'!$A:$A, 0))/INDEX('Summary of Results'!$G:$G, MATCH($B220, 'Summary of Results'!$A:$A, 0)) - 1)*100), NA()))</f>
        <v>#N/A</v>
      </c>
      <c r="J220" s="1143" t="e">
        <f>IF(IFERROR(IF($C$145 = "Absolute", INDEX('Summary of Results'!M:M, MATCH($B220, 'Summary of Results'!$A:$A, 0)), (INDEX('Summary of Results'!M:M, MATCH($B220, 'Summary of Results'!$A:$A, 0))/INDEX('Summary of Results'!$G:$G, MATCH($B220, 'Summary of Results'!$A:$A, 0)) - 1)*100), NA()) = "", "", IFERROR(IF($C$145 = "Absolute", INDEX('Summary of Results'!M:M, MATCH($B220, 'Summary of Results'!$A:$A, 0)), (INDEX('Summary of Results'!M:M, MATCH($B220, 'Summary of Results'!$A:$A, 0))/INDEX('Summary of Results'!$G:$G, MATCH($B220, 'Summary of Results'!$A:$A, 0)) - 1)*100), NA()))</f>
        <v>#N/A</v>
      </c>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35">
      <c r="A221"/>
      <c r="B221" s="1092">
        <v>32</v>
      </c>
      <c r="C221" s="1142" t="e">
        <f>IFERROR(INDEX('Summary of Results'!$B:$B, MATCH(B221, 'Summary of Results'!$A:$A, 0)), NA())</f>
        <v>#N/A</v>
      </c>
      <c r="D221" s="1143" t="e">
        <f>IF(IFERROR(IF($C$145 = "Absolute", INDEX('Summary of Results'!G:G, MATCH($B221, 'Summary of Results'!$A:$A, 0)), (INDEX('Summary of Results'!G:G, MATCH($B221, 'Summary of Results'!$A:$A, 0))/INDEX('Summary of Results'!$G:$G, MATCH($B221, 'Summary of Results'!$A:$A, 0)) - 1)*100), NA()) = "", "", IFERROR(IF($C$145 = "Absolute", INDEX('Summary of Results'!G:G, MATCH($B221, 'Summary of Results'!$A:$A, 0)), (INDEX('Summary of Results'!G:G, MATCH($B221, 'Summary of Results'!$A:$A, 0))/INDEX('Summary of Results'!$G:$G, MATCH($B221, 'Summary of Results'!$A:$A, 0)) - 1)*100), NA()))</f>
        <v>#N/A</v>
      </c>
      <c r="E221" s="1143" t="e">
        <f>IF(IFERROR(IF($C$145 = "Absolute", INDEX('Summary of Results'!H:H, MATCH($B221, 'Summary of Results'!$A:$A, 0)), (INDEX('Summary of Results'!H:H, MATCH($B221, 'Summary of Results'!$A:$A, 0))/INDEX('Summary of Results'!$G:$G, MATCH($B221, 'Summary of Results'!$A:$A, 0)) - 1)*100), NA()) = "", "", IFERROR(IF($C$145 = "Absolute", INDEX('Summary of Results'!H:H, MATCH($B221, 'Summary of Results'!$A:$A, 0)), (INDEX('Summary of Results'!H:H, MATCH($B221, 'Summary of Results'!$A:$A, 0))/INDEX('Summary of Results'!$G:$G, MATCH($B221, 'Summary of Results'!$A:$A, 0)) - 1)*100), NA()))</f>
        <v>#N/A</v>
      </c>
      <c r="F221" s="1143" t="e">
        <f>IF(IFERROR(IF($C$145 = "Absolute", INDEX('Summary of Results'!I:I, MATCH($B221, 'Summary of Results'!$A:$A, 0)), (INDEX('Summary of Results'!I:I, MATCH($B221, 'Summary of Results'!$A:$A, 0))/INDEX('Summary of Results'!$G:$G, MATCH($B221, 'Summary of Results'!$A:$A, 0)) - 1)*100), NA()) = "", "", IFERROR(IF($C$145 = "Absolute", INDEX('Summary of Results'!I:I, MATCH($B221, 'Summary of Results'!$A:$A, 0)), (INDEX('Summary of Results'!I:I, MATCH($B221, 'Summary of Results'!$A:$A, 0))/INDEX('Summary of Results'!$G:$G, MATCH($B221, 'Summary of Results'!$A:$A, 0)) - 1)*100), NA()))</f>
        <v>#N/A</v>
      </c>
      <c r="G221" s="1143" t="e">
        <f>IF(IFERROR(IF($C$145 = "Absolute", INDEX('Summary of Results'!J:J, MATCH($B221, 'Summary of Results'!$A:$A, 0)), (INDEX('Summary of Results'!J:J, MATCH($B221, 'Summary of Results'!$A:$A, 0))/INDEX('Summary of Results'!$G:$G, MATCH($B221, 'Summary of Results'!$A:$A, 0)) - 1)*100), NA()) = "", "", IFERROR(IF($C$145 = "Absolute", INDEX('Summary of Results'!J:J, MATCH($B221, 'Summary of Results'!$A:$A, 0)), (INDEX('Summary of Results'!J:J, MATCH($B221, 'Summary of Results'!$A:$A, 0))/INDEX('Summary of Results'!$G:$G, MATCH($B221, 'Summary of Results'!$A:$A, 0)) - 1)*100), NA()))</f>
        <v>#N/A</v>
      </c>
      <c r="H221" s="1143" t="e">
        <f>IF(IFERROR(IF($C$145 = "Absolute", INDEX('Summary of Results'!K:K, MATCH($B221, 'Summary of Results'!$A:$A, 0)), (INDEX('Summary of Results'!K:K, MATCH($B221, 'Summary of Results'!$A:$A, 0))/INDEX('Summary of Results'!$G:$G, MATCH($B221, 'Summary of Results'!$A:$A, 0)) - 1)*100), NA()) = "", "", IFERROR(IF($C$145 = "Absolute", INDEX('Summary of Results'!K:K, MATCH($B221, 'Summary of Results'!$A:$A, 0)), (INDEX('Summary of Results'!K:K, MATCH($B221, 'Summary of Results'!$A:$A, 0))/INDEX('Summary of Results'!$G:$G, MATCH($B221, 'Summary of Results'!$A:$A, 0)) - 1)*100), NA()))</f>
        <v>#N/A</v>
      </c>
      <c r="I221" s="1143" t="e">
        <f>IF(IFERROR(IF($C$145 = "Absolute", INDEX('Summary of Results'!L:L, MATCH($B221, 'Summary of Results'!$A:$A, 0)), (INDEX('Summary of Results'!L:L, MATCH($B221, 'Summary of Results'!$A:$A, 0))/INDEX('Summary of Results'!$G:$G, MATCH($B221, 'Summary of Results'!$A:$A, 0)) - 1)*100), NA()) = "", "", IFERROR(IF($C$145 = "Absolute", INDEX('Summary of Results'!L:L, MATCH($B221, 'Summary of Results'!$A:$A, 0)), (INDEX('Summary of Results'!L:L, MATCH($B221, 'Summary of Results'!$A:$A, 0))/INDEX('Summary of Results'!$G:$G, MATCH($B221, 'Summary of Results'!$A:$A, 0)) - 1)*100), NA()))</f>
        <v>#N/A</v>
      </c>
      <c r="J221" s="1143" t="e">
        <f>IF(IFERROR(IF($C$145 = "Absolute", INDEX('Summary of Results'!M:M, MATCH($B221, 'Summary of Results'!$A:$A, 0)), (INDEX('Summary of Results'!M:M, MATCH($B221, 'Summary of Results'!$A:$A, 0))/INDEX('Summary of Results'!$G:$G, MATCH($B221, 'Summary of Results'!$A:$A, 0)) - 1)*100), NA()) = "", "", IFERROR(IF($C$145 = "Absolute", INDEX('Summary of Results'!M:M, MATCH($B221, 'Summary of Results'!$A:$A, 0)), (INDEX('Summary of Results'!M:M, MATCH($B221, 'Summary of Results'!$A:$A, 0))/INDEX('Summary of Results'!$G:$G, MATCH($B221, 'Summary of Results'!$A:$A, 0)) - 1)*100), NA()))</f>
        <v>#N/A</v>
      </c>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35">
      <c r="A222"/>
      <c r="B222" s="1092">
        <v>33</v>
      </c>
      <c r="C222" s="1142" t="e">
        <f>IFERROR(INDEX('Summary of Results'!$B:$B, MATCH(B222, 'Summary of Results'!$A:$A, 0)), NA())</f>
        <v>#N/A</v>
      </c>
      <c r="D222" s="1143" t="e">
        <f>IF(IFERROR(IF($C$145 = "Absolute", INDEX('Summary of Results'!G:G, MATCH($B222, 'Summary of Results'!$A:$A, 0)), (INDEX('Summary of Results'!G:G, MATCH($B222, 'Summary of Results'!$A:$A, 0))/INDEX('Summary of Results'!$G:$G, MATCH($B222, 'Summary of Results'!$A:$A, 0)) - 1)*100), NA()) = "", "", IFERROR(IF($C$145 = "Absolute", INDEX('Summary of Results'!G:G, MATCH($B222, 'Summary of Results'!$A:$A, 0)), (INDEX('Summary of Results'!G:G, MATCH($B222, 'Summary of Results'!$A:$A, 0))/INDEX('Summary of Results'!$G:$G, MATCH($B222, 'Summary of Results'!$A:$A, 0)) - 1)*100), NA()))</f>
        <v>#N/A</v>
      </c>
      <c r="E222" s="1143" t="e">
        <f>IF(IFERROR(IF($C$145 = "Absolute", INDEX('Summary of Results'!H:H, MATCH($B222, 'Summary of Results'!$A:$A, 0)), (INDEX('Summary of Results'!H:H, MATCH($B222, 'Summary of Results'!$A:$A, 0))/INDEX('Summary of Results'!$G:$G, MATCH($B222, 'Summary of Results'!$A:$A, 0)) - 1)*100), NA()) = "", "", IFERROR(IF($C$145 = "Absolute", INDEX('Summary of Results'!H:H, MATCH($B222, 'Summary of Results'!$A:$A, 0)), (INDEX('Summary of Results'!H:H, MATCH($B222, 'Summary of Results'!$A:$A, 0))/INDEX('Summary of Results'!$G:$G, MATCH($B222, 'Summary of Results'!$A:$A, 0)) - 1)*100), NA()))</f>
        <v>#N/A</v>
      </c>
      <c r="F222" s="1143" t="e">
        <f>IF(IFERROR(IF($C$145 = "Absolute", INDEX('Summary of Results'!I:I, MATCH($B222, 'Summary of Results'!$A:$A, 0)), (INDEX('Summary of Results'!I:I, MATCH($B222, 'Summary of Results'!$A:$A, 0))/INDEX('Summary of Results'!$G:$G, MATCH($B222, 'Summary of Results'!$A:$A, 0)) - 1)*100), NA()) = "", "", IFERROR(IF($C$145 = "Absolute", INDEX('Summary of Results'!I:I, MATCH($B222, 'Summary of Results'!$A:$A, 0)), (INDEX('Summary of Results'!I:I, MATCH($B222, 'Summary of Results'!$A:$A, 0))/INDEX('Summary of Results'!$G:$G, MATCH($B222, 'Summary of Results'!$A:$A, 0)) - 1)*100), NA()))</f>
        <v>#N/A</v>
      </c>
      <c r="G222" s="1143" t="e">
        <f>IF(IFERROR(IF($C$145 = "Absolute", INDEX('Summary of Results'!J:J, MATCH($B222, 'Summary of Results'!$A:$A, 0)), (INDEX('Summary of Results'!J:J, MATCH($B222, 'Summary of Results'!$A:$A, 0))/INDEX('Summary of Results'!$G:$G, MATCH($B222, 'Summary of Results'!$A:$A, 0)) - 1)*100), NA()) = "", "", IFERROR(IF($C$145 = "Absolute", INDEX('Summary of Results'!J:J, MATCH($B222, 'Summary of Results'!$A:$A, 0)), (INDEX('Summary of Results'!J:J, MATCH($B222, 'Summary of Results'!$A:$A, 0))/INDEX('Summary of Results'!$G:$G, MATCH($B222, 'Summary of Results'!$A:$A, 0)) - 1)*100), NA()))</f>
        <v>#N/A</v>
      </c>
      <c r="H222" s="1143" t="e">
        <f>IF(IFERROR(IF($C$145 = "Absolute", INDEX('Summary of Results'!K:K, MATCH($B222, 'Summary of Results'!$A:$A, 0)), (INDEX('Summary of Results'!K:K, MATCH($B222, 'Summary of Results'!$A:$A, 0))/INDEX('Summary of Results'!$G:$G, MATCH($B222, 'Summary of Results'!$A:$A, 0)) - 1)*100), NA()) = "", "", IFERROR(IF($C$145 = "Absolute", INDEX('Summary of Results'!K:K, MATCH($B222, 'Summary of Results'!$A:$A, 0)), (INDEX('Summary of Results'!K:K, MATCH($B222, 'Summary of Results'!$A:$A, 0))/INDEX('Summary of Results'!$G:$G, MATCH($B222, 'Summary of Results'!$A:$A, 0)) - 1)*100), NA()))</f>
        <v>#N/A</v>
      </c>
      <c r="I222" s="1143" t="e">
        <f>IF(IFERROR(IF($C$145 = "Absolute", INDEX('Summary of Results'!L:L, MATCH($B222, 'Summary of Results'!$A:$A, 0)), (INDEX('Summary of Results'!L:L, MATCH($B222, 'Summary of Results'!$A:$A, 0))/INDEX('Summary of Results'!$G:$G, MATCH($B222, 'Summary of Results'!$A:$A, 0)) - 1)*100), NA()) = "", "", IFERROR(IF($C$145 = "Absolute", INDEX('Summary of Results'!L:L, MATCH($B222, 'Summary of Results'!$A:$A, 0)), (INDEX('Summary of Results'!L:L, MATCH($B222, 'Summary of Results'!$A:$A, 0))/INDEX('Summary of Results'!$G:$G, MATCH($B222, 'Summary of Results'!$A:$A, 0)) - 1)*100), NA()))</f>
        <v>#N/A</v>
      </c>
      <c r="J222" s="1143" t="e">
        <f>IF(IFERROR(IF($C$145 = "Absolute", INDEX('Summary of Results'!M:M, MATCH($B222, 'Summary of Results'!$A:$A, 0)), (INDEX('Summary of Results'!M:M, MATCH($B222, 'Summary of Results'!$A:$A, 0))/INDEX('Summary of Results'!$G:$G, MATCH($B222, 'Summary of Results'!$A:$A, 0)) - 1)*100), NA()) = "", "", IFERROR(IF($C$145 = "Absolute", INDEX('Summary of Results'!M:M, MATCH($B222, 'Summary of Results'!$A:$A, 0)), (INDEX('Summary of Results'!M:M, MATCH($B222, 'Summary of Results'!$A:$A, 0))/INDEX('Summary of Results'!$G:$G, MATCH($B222, 'Summary of Results'!$A:$A, 0)) - 1)*100), NA()))</f>
        <v>#N/A</v>
      </c>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35">
      <c r="A223"/>
      <c r="B223" s="1092">
        <v>34</v>
      </c>
      <c r="C223" s="1142" t="e">
        <f>IFERROR(INDEX('Summary of Results'!$B:$B, MATCH(B223, 'Summary of Results'!$A:$A, 0)), NA())</f>
        <v>#N/A</v>
      </c>
      <c r="D223" s="1143" t="e">
        <f>IF(IFERROR(IF($C$145 = "Absolute", INDEX('Summary of Results'!G:G, MATCH($B223, 'Summary of Results'!$A:$A, 0)), (INDEX('Summary of Results'!G:G, MATCH($B223, 'Summary of Results'!$A:$A, 0))/INDEX('Summary of Results'!$G:$G, MATCH($B223, 'Summary of Results'!$A:$A, 0)) - 1)*100), NA()) = "", "", IFERROR(IF($C$145 = "Absolute", INDEX('Summary of Results'!G:G, MATCH($B223, 'Summary of Results'!$A:$A, 0)), (INDEX('Summary of Results'!G:G, MATCH($B223, 'Summary of Results'!$A:$A, 0))/INDEX('Summary of Results'!$G:$G, MATCH($B223, 'Summary of Results'!$A:$A, 0)) - 1)*100), NA()))</f>
        <v>#N/A</v>
      </c>
      <c r="E223" s="1143" t="e">
        <f>IF(IFERROR(IF($C$145 = "Absolute", INDEX('Summary of Results'!H:H, MATCH($B223, 'Summary of Results'!$A:$A, 0)), (INDEX('Summary of Results'!H:H, MATCH($B223, 'Summary of Results'!$A:$A, 0))/INDEX('Summary of Results'!$G:$G, MATCH($B223, 'Summary of Results'!$A:$A, 0)) - 1)*100), NA()) = "", "", IFERROR(IF($C$145 = "Absolute", INDEX('Summary of Results'!H:H, MATCH($B223, 'Summary of Results'!$A:$A, 0)), (INDEX('Summary of Results'!H:H, MATCH($B223, 'Summary of Results'!$A:$A, 0))/INDEX('Summary of Results'!$G:$G, MATCH($B223, 'Summary of Results'!$A:$A, 0)) - 1)*100), NA()))</f>
        <v>#N/A</v>
      </c>
      <c r="F223" s="1143" t="e">
        <f>IF(IFERROR(IF($C$145 = "Absolute", INDEX('Summary of Results'!I:I, MATCH($B223, 'Summary of Results'!$A:$A, 0)), (INDEX('Summary of Results'!I:I, MATCH($B223, 'Summary of Results'!$A:$A, 0))/INDEX('Summary of Results'!$G:$G, MATCH($B223, 'Summary of Results'!$A:$A, 0)) - 1)*100), NA()) = "", "", IFERROR(IF($C$145 = "Absolute", INDEX('Summary of Results'!I:I, MATCH($B223, 'Summary of Results'!$A:$A, 0)), (INDEX('Summary of Results'!I:I, MATCH($B223, 'Summary of Results'!$A:$A, 0))/INDEX('Summary of Results'!$G:$G, MATCH($B223, 'Summary of Results'!$A:$A, 0)) - 1)*100), NA()))</f>
        <v>#N/A</v>
      </c>
      <c r="G223" s="1143" t="e">
        <f>IF(IFERROR(IF($C$145 = "Absolute", INDEX('Summary of Results'!J:J, MATCH($B223, 'Summary of Results'!$A:$A, 0)), (INDEX('Summary of Results'!J:J, MATCH($B223, 'Summary of Results'!$A:$A, 0))/INDEX('Summary of Results'!$G:$G, MATCH($B223, 'Summary of Results'!$A:$A, 0)) - 1)*100), NA()) = "", "", IFERROR(IF($C$145 = "Absolute", INDEX('Summary of Results'!J:J, MATCH($B223, 'Summary of Results'!$A:$A, 0)), (INDEX('Summary of Results'!J:J, MATCH($B223, 'Summary of Results'!$A:$A, 0))/INDEX('Summary of Results'!$G:$G, MATCH($B223, 'Summary of Results'!$A:$A, 0)) - 1)*100), NA()))</f>
        <v>#N/A</v>
      </c>
      <c r="H223" s="1143" t="e">
        <f>IF(IFERROR(IF($C$145 = "Absolute", INDEX('Summary of Results'!K:K, MATCH($B223, 'Summary of Results'!$A:$A, 0)), (INDEX('Summary of Results'!K:K, MATCH($B223, 'Summary of Results'!$A:$A, 0))/INDEX('Summary of Results'!$G:$G, MATCH($B223, 'Summary of Results'!$A:$A, 0)) - 1)*100), NA()) = "", "", IFERROR(IF($C$145 = "Absolute", INDEX('Summary of Results'!K:K, MATCH($B223, 'Summary of Results'!$A:$A, 0)), (INDEX('Summary of Results'!K:K, MATCH($B223, 'Summary of Results'!$A:$A, 0))/INDEX('Summary of Results'!$G:$G, MATCH($B223, 'Summary of Results'!$A:$A, 0)) - 1)*100), NA()))</f>
        <v>#N/A</v>
      </c>
      <c r="I223" s="1143" t="e">
        <f>IF(IFERROR(IF($C$145 = "Absolute", INDEX('Summary of Results'!L:L, MATCH($B223, 'Summary of Results'!$A:$A, 0)), (INDEX('Summary of Results'!L:L, MATCH($B223, 'Summary of Results'!$A:$A, 0))/INDEX('Summary of Results'!$G:$G, MATCH($B223, 'Summary of Results'!$A:$A, 0)) - 1)*100), NA()) = "", "", IFERROR(IF($C$145 = "Absolute", INDEX('Summary of Results'!L:L, MATCH($B223, 'Summary of Results'!$A:$A, 0)), (INDEX('Summary of Results'!L:L, MATCH($B223, 'Summary of Results'!$A:$A, 0))/INDEX('Summary of Results'!$G:$G, MATCH($B223, 'Summary of Results'!$A:$A, 0)) - 1)*100), NA()))</f>
        <v>#N/A</v>
      </c>
      <c r="J223" s="1143" t="e">
        <f>IF(IFERROR(IF($C$145 = "Absolute", INDEX('Summary of Results'!M:M, MATCH($B223, 'Summary of Results'!$A:$A, 0)), (INDEX('Summary of Results'!M:M, MATCH($B223, 'Summary of Results'!$A:$A, 0))/INDEX('Summary of Results'!$G:$G, MATCH($B223, 'Summary of Results'!$A:$A, 0)) - 1)*100), NA()) = "", "", IFERROR(IF($C$145 = "Absolute", INDEX('Summary of Results'!M:M, MATCH($B223, 'Summary of Results'!$A:$A, 0)), (INDEX('Summary of Results'!M:M, MATCH($B223, 'Summary of Results'!$A:$A, 0))/INDEX('Summary of Results'!$G:$G, MATCH($B223, 'Summary of Results'!$A:$A, 0)) - 1)*100), NA()))</f>
        <v>#N/A</v>
      </c>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35">
      <c r="A224"/>
      <c r="B224" s="1092">
        <v>35</v>
      </c>
      <c r="C224" s="1142" t="e">
        <f>IFERROR(INDEX('Summary of Results'!$B:$B, MATCH(B224, 'Summary of Results'!$A:$A, 0)), NA())</f>
        <v>#N/A</v>
      </c>
      <c r="D224" s="1143" t="e">
        <f>IF(IFERROR(IF($C$145 = "Absolute", INDEX('Summary of Results'!G:G, MATCH($B224, 'Summary of Results'!$A:$A, 0)), (INDEX('Summary of Results'!G:G, MATCH($B224, 'Summary of Results'!$A:$A, 0))/INDEX('Summary of Results'!$G:$G, MATCH($B224, 'Summary of Results'!$A:$A, 0)) - 1)*100), NA()) = "", "", IFERROR(IF($C$145 = "Absolute", INDEX('Summary of Results'!G:G, MATCH($B224, 'Summary of Results'!$A:$A, 0)), (INDEX('Summary of Results'!G:G, MATCH($B224, 'Summary of Results'!$A:$A, 0))/INDEX('Summary of Results'!$G:$G, MATCH($B224, 'Summary of Results'!$A:$A, 0)) - 1)*100), NA()))</f>
        <v>#N/A</v>
      </c>
      <c r="E224" s="1143" t="e">
        <f>IF(IFERROR(IF($C$145 = "Absolute", INDEX('Summary of Results'!H:H, MATCH($B224, 'Summary of Results'!$A:$A, 0)), (INDEX('Summary of Results'!H:H, MATCH($B224, 'Summary of Results'!$A:$A, 0))/INDEX('Summary of Results'!$G:$G, MATCH($B224, 'Summary of Results'!$A:$A, 0)) - 1)*100), NA()) = "", "", IFERROR(IF($C$145 = "Absolute", INDEX('Summary of Results'!H:H, MATCH($B224, 'Summary of Results'!$A:$A, 0)), (INDEX('Summary of Results'!H:H, MATCH($B224, 'Summary of Results'!$A:$A, 0))/INDEX('Summary of Results'!$G:$G, MATCH($B224, 'Summary of Results'!$A:$A, 0)) - 1)*100), NA()))</f>
        <v>#N/A</v>
      </c>
      <c r="F224" s="1143" t="e">
        <f>IF(IFERROR(IF($C$145 = "Absolute", INDEX('Summary of Results'!I:I, MATCH($B224, 'Summary of Results'!$A:$A, 0)), (INDEX('Summary of Results'!I:I, MATCH($B224, 'Summary of Results'!$A:$A, 0))/INDEX('Summary of Results'!$G:$G, MATCH($B224, 'Summary of Results'!$A:$A, 0)) - 1)*100), NA()) = "", "", IFERROR(IF($C$145 = "Absolute", INDEX('Summary of Results'!I:I, MATCH($B224, 'Summary of Results'!$A:$A, 0)), (INDEX('Summary of Results'!I:I, MATCH($B224, 'Summary of Results'!$A:$A, 0))/INDEX('Summary of Results'!$G:$G, MATCH($B224, 'Summary of Results'!$A:$A, 0)) - 1)*100), NA()))</f>
        <v>#N/A</v>
      </c>
      <c r="G224" s="1143" t="e">
        <f>IF(IFERROR(IF($C$145 = "Absolute", INDEX('Summary of Results'!J:J, MATCH($B224, 'Summary of Results'!$A:$A, 0)), (INDEX('Summary of Results'!J:J, MATCH($B224, 'Summary of Results'!$A:$A, 0))/INDEX('Summary of Results'!$G:$G, MATCH($B224, 'Summary of Results'!$A:$A, 0)) - 1)*100), NA()) = "", "", IFERROR(IF($C$145 = "Absolute", INDEX('Summary of Results'!J:J, MATCH($B224, 'Summary of Results'!$A:$A, 0)), (INDEX('Summary of Results'!J:J, MATCH($B224, 'Summary of Results'!$A:$A, 0))/INDEX('Summary of Results'!$G:$G, MATCH($B224, 'Summary of Results'!$A:$A, 0)) - 1)*100), NA()))</f>
        <v>#N/A</v>
      </c>
      <c r="H224" s="1143" t="e">
        <f>IF(IFERROR(IF($C$145 = "Absolute", INDEX('Summary of Results'!K:K, MATCH($B224, 'Summary of Results'!$A:$A, 0)), (INDEX('Summary of Results'!K:K, MATCH($B224, 'Summary of Results'!$A:$A, 0))/INDEX('Summary of Results'!$G:$G, MATCH($B224, 'Summary of Results'!$A:$A, 0)) - 1)*100), NA()) = "", "", IFERROR(IF($C$145 = "Absolute", INDEX('Summary of Results'!K:K, MATCH($B224, 'Summary of Results'!$A:$A, 0)), (INDEX('Summary of Results'!K:K, MATCH($B224, 'Summary of Results'!$A:$A, 0))/INDEX('Summary of Results'!$G:$G, MATCH($B224, 'Summary of Results'!$A:$A, 0)) - 1)*100), NA()))</f>
        <v>#N/A</v>
      </c>
      <c r="I224" s="1143" t="e">
        <f>IF(IFERROR(IF($C$145 = "Absolute", INDEX('Summary of Results'!L:L, MATCH($B224, 'Summary of Results'!$A:$A, 0)), (INDEX('Summary of Results'!L:L, MATCH($B224, 'Summary of Results'!$A:$A, 0))/INDEX('Summary of Results'!$G:$G, MATCH($B224, 'Summary of Results'!$A:$A, 0)) - 1)*100), NA()) = "", "", IFERROR(IF($C$145 = "Absolute", INDEX('Summary of Results'!L:L, MATCH($B224, 'Summary of Results'!$A:$A, 0)), (INDEX('Summary of Results'!L:L, MATCH($B224, 'Summary of Results'!$A:$A, 0))/INDEX('Summary of Results'!$G:$G, MATCH($B224, 'Summary of Results'!$A:$A, 0)) - 1)*100), NA()))</f>
        <v>#N/A</v>
      </c>
      <c r="J224" s="1143" t="e">
        <f>IF(IFERROR(IF($C$145 = "Absolute", INDEX('Summary of Results'!M:M, MATCH($B224, 'Summary of Results'!$A:$A, 0)), (INDEX('Summary of Results'!M:M, MATCH($B224, 'Summary of Results'!$A:$A, 0))/INDEX('Summary of Results'!$G:$G, MATCH($B224, 'Summary of Results'!$A:$A, 0)) - 1)*100), NA()) = "", "", IFERROR(IF($C$145 = "Absolute", INDEX('Summary of Results'!M:M, MATCH($B224, 'Summary of Results'!$A:$A, 0)), (INDEX('Summary of Results'!M:M, MATCH($B224, 'Summary of Results'!$A:$A, 0))/INDEX('Summary of Results'!$G:$G, MATCH($B224, 'Summary of Results'!$A:$A, 0)) - 1)*100), NA()))</f>
        <v>#N/A</v>
      </c>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35">
      <c r="A225"/>
      <c r="B225" s="1092">
        <v>36</v>
      </c>
      <c r="C225" s="1142" t="e">
        <f>IFERROR(INDEX('Summary of Results'!$B:$B, MATCH(B225, 'Summary of Results'!$A:$A, 0)), NA())</f>
        <v>#N/A</v>
      </c>
      <c r="D225" s="1143" t="e">
        <f>IF(IFERROR(IF($C$145 = "Absolute", INDEX('Summary of Results'!G:G, MATCH($B225, 'Summary of Results'!$A:$A, 0)), (INDEX('Summary of Results'!G:G, MATCH($B225, 'Summary of Results'!$A:$A, 0))/INDEX('Summary of Results'!$G:$G, MATCH($B225, 'Summary of Results'!$A:$A, 0)) - 1)*100), NA()) = "", "", IFERROR(IF($C$145 = "Absolute", INDEX('Summary of Results'!G:G, MATCH($B225, 'Summary of Results'!$A:$A, 0)), (INDEX('Summary of Results'!G:G, MATCH($B225, 'Summary of Results'!$A:$A, 0))/INDEX('Summary of Results'!$G:$G, MATCH($B225, 'Summary of Results'!$A:$A, 0)) - 1)*100), NA()))</f>
        <v>#N/A</v>
      </c>
      <c r="E225" s="1143" t="e">
        <f>IF(IFERROR(IF($C$145 = "Absolute", INDEX('Summary of Results'!H:H, MATCH($B225, 'Summary of Results'!$A:$A, 0)), (INDEX('Summary of Results'!H:H, MATCH($B225, 'Summary of Results'!$A:$A, 0))/INDEX('Summary of Results'!$G:$G, MATCH($B225, 'Summary of Results'!$A:$A, 0)) - 1)*100), NA()) = "", "", IFERROR(IF($C$145 = "Absolute", INDEX('Summary of Results'!H:H, MATCH($B225, 'Summary of Results'!$A:$A, 0)), (INDEX('Summary of Results'!H:H, MATCH($B225, 'Summary of Results'!$A:$A, 0))/INDEX('Summary of Results'!$G:$G, MATCH($B225, 'Summary of Results'!$A:$A, 0)) - 1)*100), NA()))</f>
        <v>#N/A</v>
      </c>
      <c r="F225" s="1143" t="e">
        <f>IF(IFERROR(IF($C$145 = "Absolute", INDEX('Summary of Results'!I:I, MATCH($B225, 'Summary of Results'!$A:$A, 0)), (INDEX('Summary of Results'!I:I, MATCH($B225, 'Summary of Results'!$A:$A, 0))/INDEX('Summary of Results'!$G:$G, MATCH($B225, 'Summary of Results'!$A:$A, 0)) - 1)*100), NA()) = "", "", IFERROR(IF($C$145 = "Absolute", INDEX('Summary of Results'!I:I, MATCH($B225, 'Summary of Results'!$A:$A, 0)), (INDEX('Summary of Results'!I:I, MATCH($B225, 'Summary of Results'!$A:$A, 0))/INDEX('Summary of Results'!$G:$G, MATCH($B225, 'Summary of Results'!$A:$A, 0)) - 1)*100), NA()))</f>
        <v>#N/A</v>
      </c>
      <c r="G225" s="1143" t="e">
        <f>IF(IFERROR(IF($C$145 = "Absolute", INDEX('Summary of Results'!J:J, MATCH($B225, 'Summary of Results'!$A:$A, 0)), (INDEX('Summary of Results'!J:J, MATCH($B225, 'Summary of Results'!$A:$A, 0))/INDEX('Summary of Results'!$G:$G, MATCH($B225, 'Summary of Results'!$A:$A, 0)) - 1)*100), NA()) = "", "", IFERROR(IF($C$145 = "Absolute", INDEX('Summary of Results'!J:J, MATCH($B225, 'Summary of Results'!$A:$A, 0)), (INDEX('Summary of Results'!J:J, MATCH($B225, 'Summary of Results'!$A:$A, 0))/INDEX('Summary of Results'!$G:$G, MATCH($B225, 'Summary of Results'!$A:$A, 0)) - 1)*100), NA()))</f>
        <v>#N/A</v>
      </c>
      <c r="H225" s="1143" t="e">
        <f>IF(IFERROR(IF($C$145 = "Absolute", INDEX('Summary of Results'!K:K, MATCH($B225, 'Summary of Results'!$A:$A, 0)), (INDEX('Summary of Results'!K:K, MATCH($B225, 'Summary of Results'!$A:$A, 0))/INDEX('Summary of Results'!$G:$G, MATCH($B225, 'Summary of Results'!$A:$A, 0)) - 1)*100), NA()) = "", "", IFERROR(IF($C$145 = "Absolute", INDEX('Summary of Results'!K:K, MATCH($B225, 'Summary of Results'!$A:$A, 0)), (INDEX('Summary of Results'!K:K, MATCH($B225, 'Summary of Results'!$A:$A, 0))/INDEX('Summary of Results'!$G:$G, MATCH($B225, 'Summary of Results'!$A:$A, 0)) - 1)*100), NA()))</f>
        <v>#N/A</v>
      </c>
      <c r="I225" s="1143" t="e">
        <f>IF(IFERROR(IF($C$145 = "Absolute", INDEX('Summary of Results'!L:L, MATCH($B225, 'Summary of Results'!$A:$A, 0)), (INDEX('Summary of Results'!L:L, MATCH($B225, 'Summary of Results'!$A:$A, 0))/INDEX('Summary of Results'!$G:$G, MATCH($B225, 'Summary of Results'!$A:$A, 0)) - 1)*100), NA()) = "", "", IFERROR(IF($C$145 = "Absolute", INDEX('Summary of Results'!L:L, MATCH($B225, 'Summary of Results'!$A:$A, 0)), (INDEX('Summary of Results'!L:L, MATCH($B225, 'Summary of Results'!$A:$A, 0))/INDEX('Summary of Results'!$G:$G, MATCH($B225, 'Summary of Results'!$A:$A, 0)) - 1)*100), NA()))</f>
        <v>#N/A</v>
      </c>
      <c r="J225" s="1143" t="e">
        <f>IF(IFERROR(IF($C$145 = "Absolute", INDEX('Summary of Results'!M:M, MATCH($B225, 'Summary of Results'!$A:$A, 0)), (INDEX('Summary of Results'!M:M, MATCH($B225, 'Summary of Results'!$A:$A, 0))/INDEX('Summary of Results'!$G:$G, MATCH($B225, 'Summary of Results'!$A:$A, 0)) - 1)*100), NA()) = "", "", IFERROR(IF($C$145 = "Absolute", INDEX('Summary of Results'!M:M, MATCH($B225, 'Summary of Results'!$A:$A, 0)), (INDEX('Summary of Results'!M:M, MATCH($B225, 'Summary of Results'!$A:$A, 0))/INDEX('Summary of Results'!$G:$G, MATCH($B225, 'Summary of Results'!$A:$A, 0)) - 1)*100), NA()))</f>
        <v>#N/A</v>
      </c>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35">
      <c r="A226"/>
      <c r="B226" s="1092">
        <v>37</v>
      </c>
      <c r="C226" s="1142" t="e">
        <f>IFERROR(INDEX('Summary of Results'!$B:$B, MATCH(B226, 'Summary of Results'!$A:$A, 0)), NA())</f>
        <v>#N/A</v>
      </c>
      <c r="D226" s="1143" t="e">
        <f>IF(IFERROR(IF($C$145 = "Absolute", INDEX('Summary of Results'!G:G, MATCH($B226, 'Summary of Results'!$A:$A, 0)), (INDEX('Summary of Results'!G:G, MATCH($B226, 'Summary of Results'!$A:$A, 0))/INDEX('Summary of Results'!$G:$G, MATCH($B226, 'Summary of Results'!$A:$A, 0)) - 1)*100), NA()) = "", "", IFERROR(IF($C$145 = "Absolute", INDEX('Summary of Results'!G:G, MATCH($B226, 'Summary of Results'!$A:$A, 0)), (INDEX('Summary of Results'!G:G, MATCH($B226, 'Summary of Results'!$A:$A, 0))/INDEX('Summary of Results'!$G:$G, MATCH($B226, 'Summary of Results'!$A:$A, 0)) - 1)*100), NA()))</f>
        <v>#N/A</v>
      </c>
      <c r="E226" s="1143" t="e">
        <f>IF(IFERROR(IF($C$145 = "Absolute", INDEX('Summary of Results'!H:H, MATCH($B226, 'Summary of Results'!$A:$A, 0)), (INDEX('Summary of Results'!H:H, MATCH($B226, 'Summary of Results'!$A:$A, 0))/INDEX('Summary of Results'!$G:$G, MATCH($B226, 'Summary of Results'!$A:$A, 0)) - 1)*100), NA()) = "", "", IFERROR(IF($C$145 = "Absolute", INDEX('Summary of Results'!H:H, MATCH($B226, 'Summary of Results'!$A:$A, 0)), (INDEX('Summary of Results'!H:H, MATCH($B226, 'Summary of Results'!$A:$A, 0))/INDEX('Summary of Results'!$G:$G, MATCH($B226, 'Summary of Results'!$A:$A, 0)) - 1)*100), NA()))</f>
        <v>#N/A</v>
      </c>
      <c r="F226" s="1143" t="e">
        <f>IF(IFERROR(IF($C$145 = "Absolute", INDEX('Summary of Results'!I:I, MATCH($B226, 'Summary of Results'!$A:$A, 0)), (INDEX('Summary of Results'!I:I, MATCH($B226, 'Summary of Results'!$A:$A, 0))/INDEX('Summary of Results'!$G:$G, MATCH($B226, 'Summary of Results'!$A:$A, 0)) - 1)*100), NA()) = "", "", IFERROR(IF($C$145 = "Absolute", INDEX('Summary of Results'!I:I, MATCH($B226, 'Summary of Results'!$A:$A, 0)), (INDEX('Summary of Results'!I:I, MATCH($B226, 'Summary of Results'!$A:$A, 0))/INDEX('Summary of Results'!$G:$G, MATCH($B226, 'Summary of Results'!$A:$A, 0)) - 1)*100), NA()))</f>
        <v>#N/A</v>
      </c>
      <c r="G226" s="1143" t="e">
        <f>IF(IFERROR(IF($C$145 = "Absolute", INDEX('Summary of Results'!J:J, MATCH($B226, 'Summary of Results'!$A:$A, 0)), (INDEX('Summary of Results'!J:J, MATCH($B226, 'Summary of Results'!$A:$A, 0))/INDEX('Summary of Results'!$G:$G, MATCH($B226, 'Summary of Results'!$A:$A, 0)) - 1)*100), NA()) = "", "", IFERROR(IF($C$145 = "Absolute", INDEX('Summary of Results'!J:J, MATCH($B226, 'Summary of Results'!$A:$A, 0)), (INDEX('Summary of Results'!J:J, MATCH($B226, 'Summary of Results'!$A:$A, 0))/INDEX('Summary of Results'!$G:$G, MATCH($B226, 'Summary of Results'!$A:$A, 0)) - 1)*100), NA()))</f>
        <v>#N/A</v>
      </c>
      <c r="H226" s="1143" t="e">
        <f>IF(IFERROR(IF($C$145 = "Absolute", INDEX('Summary of Results'!K:K, MATCH($B226, 'Summary of Results'!$A:$A, 0)), (INDEX('Summary of Results'!K:K, MATCH($B226, 'Summary of Results'!$A:$A, 0))/INDEX('Summary of Results'!$G:$G, MATCH($B226, 'Summary of Results'!$A:$A, 0)) - 1)*100), NA()) = "", "", IFERROR(IF($C$145 = "Absolute", INDEX('Summary of Results'!K:K, MATCH($B226, 'Summary of Results'!$A:$A, 0)), (INDEX('Summary of Results'!K:K, MATCH($B226, 'Summary of Results'!$A:$A, 0))/INDEX('Summary of Results'!$G:$G, MATCH($B226, 'Summary of Results'!$A:$A, 0)) - 1)*100), NA()))</f>
        <v>#N/A</v>
      </c>
      <c r="I226" s="1143" t="e">
        <f>IF(IFERROR(IF($C$145 = "Absolute", INDEX('Summary of Results'!L:L, MATCH($B226, 'Summary of Results'!$A:$A, 0)), (INDEX('Summary of Results'!L:L, MATCH($B226, 'Summary of Results'!$A:$A, 0))/INDEX('Summary of Results'!$G:$G, MATCH($B226, 'Summary of Results'!$A:$A, 0)) - 1)*100), NA()) = "", "", IFERROR(IF($C$145 = "Absolute", INDEX('Summary of Results'!L:L, MATCH($B226, 'Summary of Results'!$A:$A, 0)), (INDEX('Summary of Results'!L:L, MATCH($B226, 'Summary of Results'!$A:$A, 0))/INDEX('Summary of Results'!$G:$G, MATCH($B226, 'Summary of Results'!$A:$A, 0)) - 1)*100), NA()))</f>
        <v>#N/A</v>
      </c>
      <c r="J226" s="1143" t="e">
        <f>IF(IFERROR(IF($C$145 = "Absolute", INDEX('Summary of Results'!M:M, MATCH($B226, 'Summary of Results'!$A:$A, 0)), (INDEX('Summary of Results'!M:M, MATCH($B226, 'Summary of Results'!$A:$A, 0))/INDEX('Summary of Results'!$G:$G, MATCH($B226, 'Summary of Results'!$A:$A, 0)) - 1)*100), NA()) = "", "", IFERROR(IF($C$145 = "Absolute", INDEX('Summary of Results'!M:M, MATCH($B226, 'Summary of Results'!$A:$A, 0)), (INDEX('Summary of Results'!M:M, MATCH($B226, 'Summary of Results'!$A:$A, 0))/INDEX('Summary of Results'!$G:$G, MATCH($B226, 'Summary of Results'!$A:$A, 0)) - 1)*100), NA()))</f>
        <v>#N/A</v>
      </c>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customFormat="1" x14ac:dyDescent="0.35">
      <c r="B227" s="1092">
        <v>38</v>
      </c>
      <c r="C227" s="1142" t="e">
        <f>IFERROR(INDEX('Summary of Results'!$B:$B, MATCH(B227, 'Summary of Results'!$A:$A, 0)), NA())</f>
        <v>#N/A</v>
      </c>
      <c r="D227" s="1143" t="e">
        <f>IF(IFERROR(IF($C$145 = "Absolute", INDEX('Summary of Results'!G:G, MATCH($B227, 'Summary of Results'!$A:$A, 0)), (INDEX('Summary of Results'!G:G, MATCH($B227, 'Summary of Results'!$A:$A, 0))/INDEX('Summary of Results'!$G:$G, MATCH($B227, 'Summary of Results'!$A:$A, 0)) - 1)*100), NA()) = "", "", IFERROR(IF($C$145 = "Absolute", INDEX('Summary of Results'!G:G, MATCH($B227, 'Summary of Results'!$A:$A, 0)), (INDEX('Summary of Results'!G:G, MATCH($B227, 'Summary of Results'!$A:$A, 0))/INDEX('Summary of Results'!$G:$G, MATCH($B227, 'Summary of Results'!$A:$A, 0)) - 1)*100), NA()))</f>
        <v>#N/A</v>
      </c>
      <c r="E227" s="1143" t="e">
        <f>IF(IFERROR(IF($C$145 = "Absolute", INDEX('Summary of Results'!H:H, MATCH($B227, 'Summary of Results'!$A:$A, 0)), (INDEX('Summary of Results'!H:H, MATCH($B227, 'Summary of Results'!$A:$A, 0))/INDEX('Summary of Results'!$G:$G, MATCH($B227, 'Summary of Results'!$A:$A, 0)) - 1)*100), NA()) = "", "", IFERROR(IF($C$145 = "Absolute", INDEX('Summary of Results'!H:H, MATCH($B227, 'Summary of Results'!$A:$A, 0)), (INDEX('Summary of Results'!H:H, MATCH($B227, 'Summary of Results'!$A:$A, 0))/INDEX('Summary of Results'!$G:$G, MATCH($B227, 'Summary of Results'!$A:$A, 0)) - 1)*100), NA()))</f>
        <v>#N/A</v>
      </c>
      <c r="F227" s="1143" t="e">
        <f>IF(IFERROR(IF($C$145 = "Absolute", INDEX('Summary of Results'!I:I, MATCH($B227, 'Summary of Results'!$A:$A, 0)), (INDEX('Summary of Results'!I:I, MATCH($B227, 'Summary of Results'!$A:$A, 0))/INDEX('Summary of Results'!$G:$G, MATCH($B227, 'Summary of Results'!$A:$A, 0)) - 1)*100), NA()) = "", "", IFERROR(IF($C$145 = "Absolute", INDEX('Summary of Results'!I:I, MATCH($B227, 'Summary of Results'!$A:$A, 0)), (INDEX('Summary of Results'!I:I, MATCH($B227, 'Summary of Results'!$A:$A, 0))/INDEX('Summary of Results'!$G:$G, MATCH($B227, 'Summary of Results'!$A:$A, 0)) - 1)*100), NA()))</f>
        <v>#N/A</v>
      </c>
      <c r="G227" s="1143" t="e">
        <f>IF(IFERROR(IF($C$145 = "Absolute", INDEX('Summary of Results'!J:J, MATCH($B227, 'Summary of Results'!$A:$A, 0)), (INDEX('Summary of Results'!J:J, MATCH($B227, 'Summary of Results'!$A:$A, 0))/INDEX('Summary of Results'!$G:$G, MATCH($B227, 'Summary of Results'!$A:$A, 0)) - 1)*100), NA()) = "", "", IFERROR(IF($C$145 = "Absolute", INDEX('Summary of Results'!J:J, MATCH($B227, 'Summary of Results'!$A:$A, 0)), (INDEX('Summary of Results'!J:J, MATCH($B227, 'Summary of Results'!$A:$A, 0))/INDEX('Summary of Results'!$G:$G, MATCH($B227, 'Summary of Results'!$A:$A, 0)) - 1)*100), NA()))</f>
        <v>#N/A</v>
      </c>
      <c r="H227" s="1143" t="e">
        <f>IF(IFERROR(IF($C$145 = "Absolute", INDEX('Summary of Results'!K:K, MATCH($B227, 'Summary of Results'!$A:$A, 0)), (INDEX('Summary of Results'!K:K, MATCH($B227, 'Summary of Results'!$A:$A, 0))/INDEX('Summary of Results'!$G:$G, MATCH($B227, 'Summary of Results'!$A:$A, 0)) - 1)*100), NA()) = "", "", IFERROR(IF($C$145 = "Absolute", INDEX('Summary of Results'!K:K, MATCH($B227, 'Summary of Results'!$A:$A, 0)), (INDEX('Summary of Results'!K:K, MATCH($B227, 'Summary of Results'!$A:$A, 0))/INDEX('Summary of Results'!$G:$G, MATCH($B227, 'Summary of Results'!$A:$A, 0)) - 1)*100), NA()))</f>
        <v>#N/A</v>
      </c>
      <c r="I227" s="1143" t="e">
        <f>IF(IFERROR(IF($C$145 = "Absolute", INDEX('Summary of Results'!L:L, MATCH($B227, 'Summary of Results'!$A:$A, 0)), (INDEX('Summary of Results'!L:L, MATCH($B227, 'Summary of Results'!$A:$A, 0))/INDEX('Summary of Results'!$G:$G, MATCH($B227, 'Summary of Results'!$A:$A, 0)) - 1)*100), NA()) = "", "", IFERROR(IF($C$145 = "Absolute", INDEX('Summary of Results'!L:L, MATCH($B227, 'Summary of Results'!$A:$A, 0)), (INDEX('Summary of Results'!L:L, MATCH($B227, 'Summary of Results'!$A:$A, 0))/INDEX('Summary of Results'!$G:$G, MATCH($B227, 'Summary of Results'!$A:$A, 0)) - 1)*100), NA()))</f>
        <v>#N/A</v>
      </c>
      <c r="J227" s="1143" t="e">
        <f>IF(IFERROR(IF($C$145 = "Absolute", INDEX('Summary of Results'!M:M, MATCH($B227, 'Summary of Results'!$A:$A, 0)), (INDEX('Summary of Results'!M:M, MATCH($B227, 'Summary of Results'!$A:$A, 0))/INDEX('Summary of Results'!$G:$G, MATCH($B227, 'Summary of Results'!$A:$A, 0)) - 1)*100), NA()) = "", "", IFERROR(IF($C$145 = "Absolute", INDEX('Summary of Results'!M:M, MATCH($B227, 'Summary of Results'!$A:$A, 0)), (INDEX('Summary of Results'!M:M, MATCH($B227, 'Summary of Results'!$A:$A, 0))/INDEX('Summary of Results'!$G:$G, MATCH($B227, 'Summary of Results'!$A:$A, 0)) - 1)*100), NA()))</f>
        <v>#N/A</v>
      </c>
    </row>
    <row r="228" spans="1:41" customFormat="1" x14ac:dyDescent="0.35">
      <c r="B228" s="1092">
        <v>39</v>
      </c>
      <c r="C228" s="1142" t="e">
        <f>IFERROR(INDEX('Summary of Results'!$B:$B, MATCH(B228, 'Summary of Results'!$A:$A, 0)), NA())</f>
        <v>#N/A</v>
      </c>
      <c r="D228" s="1143" t="e">
        <f>IF(IFERROR(IF($C$145 = "Absolute", INDEX('Summary of Results'!G:G, MATCH($B228, 'Summary of Results'!$A:$A, 0)), (INDEX('Summary of Results'!G:G, MATCH($B228, 'Summary of Results'!$A:$A, 0))/INDEX('Summary of Results'!$G:$G, MATCH($B228, 'Summary of Results'!$A:$A, 0)) - 1)*100), NA()) = "", "", IFERROR(IF($C$145 = "Absolute", INDEX('Summary of Results'!G:G, MATCH($B228, 'Summary of Results'!$A:$A, 0)), (INDEX('Summary of Results'!G:G, MATCH($B228, 'Summary of Results'!$A:$A, 0))/INDEX('Summary of Results'!$G:$G, MATCH($B228, 'Summary of Results'!$A:$A, 0)) - 1)*100), NA()))</f>
        <v>#N/A</v>
      </c>
      <c r="E228" s="1143" t="e">
        <f>IF(IFERROR(IF($C$145 = "Absolute", INDEX('Summary of Results'!H:H, MATCH($B228, 'Summary of Results'!$A:$A, 0)), (INDEX('Summary of Results'!H:H, MATCH($B228, 'Summary of Results'!$A:$A, 0))/INDEX('Summary of Results'!$G:$G, MATCH($B228, 'Summary of Results'!$A:$A, 0)) - 1)*100), NA()) = "", "", IFERROR(IF($C$145 = "Absolute", INDEX('Summary of Results'!H:H, MATCH($B228, 'Summary of Results'!$A:$A, 0)), (INDEX('Summary of Results'!H:H, MATCH($B228, 'Summary of Results'!$A:$A, 0))/INDEX('Summary of Results'!$G:$G, MATCH($B228, 'Summary of Results'!$A:$A, 0)) - 1)*100), NA()))</f>
        <v>#N/A</v>
      </c>
      <c r="F228" s="1143" t="e">
        <f>IF(IFERROR(IF($C$145 = "Absolute", INDEX('Summary of Results'!I:I, MATCH($B228, 'Summary of Results'!$A:$A, 0)), (INDEX('Summary of Results'!I:I, MATCH($B228, 'Summary of Results'!$A:$A, 0))/INDEX('Summary of Results'!$G:$G, MATCH($B228, 'Summary of Results'!$A:$A, 0)) - 1)*100), NA()) = "", "", IFERROR(IF($C$145 = "Absolute", INDEX('Summary of Results'!I:I, MATCH($B228, 'Summary of Results'!$A:$A, 0)), (INDEX('Summary of Results'!I:I, MATCH($B228, 'Summary of Results'!$A:$A, 0))/INDEX('Summary of Results'!$G:$G, MATCH($B228, 'Summary of Results'!$A:$A, 0)) - 1)*100), NA()))</f>
        <v>#N/A</v>
      </c>
      <c r="G228" s="1143" t="e">
        <f>IF(IFERROR(IF($C$145 = "Absolute", INDEX('Summary of Results'!J:J, MATCH($B228, 'Summary of Results'!$A:$A, 0)), (INDEX('Summary of Results'!J:J, MATCH($B228, 'Summary of Results'!$A:$A, 0))/INDEX('Summary of Results'!$G:$G, MATCH($B228, 'Summary of Results'!$A:$A, 0)) - 1)*100), NA()) = "", "", IFERROR(IF($C$145 = "Absolute", INDEX('Summary of Results'!J:J, MATCH($B228, 'Summary of Results'!$A:$A, 0)), (INDEX('Summary of Results'!J:J, MATCH($B228, 'Summary of Results'!$A:$A, 0))/INDEX('Summary of Results'!$G:$G, MATCH($B228, 'Summary of Results'!$A:$A, 0)) - 1)*100), NA()))</f>
        <v>#N/A</v>
      </c>
      <c r="H228" s="1143" t="e">
        <f>IF(IFERROR(IF($C$145 = "Absolute", INDEX('Summary of Results'!K:K, MATCH($B228, 'Summary of Results'!$A:$A, 0)), (INDEX('Summary of Results'!K:K, MATCH($B228, 'Summary of Results'!$A:$A, 0))/INDEX('Summary of Results'!$G:$G, MATCH($B228, 'Summary of Results'!$A:$A, 0)) - 1)*100), NA()) = "", "", IFERROR(IF($C$145 = "Absolute", INDEX('Summary of Results'!K:K, MATCH($B228, 'Summary of Results'!$A:$A, 0)), (INDEX('Summary of Results'!K:K, MATCH($B228, 'Summary of Results'!$A:$A, 0))/INDEX('Summary of Results'!$G:$G, MATCH($B228, 'Summary of Results'!$A:$A, 0)) - 1)*100), NA()))</f>
        <v>#N/A</v>
      </c>
      <c r="I228" s="1143" t="e">
        <f>IF(IFERROR(IF($C$145 = "Absolute", INDEX('Summary of Results'!L:L, MATCH($B228, 'Summary of Results'!$A:$A, 0)), (INDEX('Summary of Results'!L:L, MATCH($B228, 'Summary of Results'!$A:$A, 0))/INDEX('Summary of Results'!$G:$G, MATCH($B228, 'Summary of Results'!$A:$A, 0)) - 1)*100), NA()) = "", "", IFERROR(IF($C$145 = "Absolute", INDEX('Summary of Results'!L:L, MATCH($B228, 'Summary of Results'!$A:$A, 0)), (INDEX('Summary of Results'!L:L, MATCH($B228, 'Summary of Results'!$A:$A, 0))/INDEX('Summary of Results'!$G:$G, MATCH($B228, 'Summary of Results'!$A:$A, 0)) - 1)*100), NA()))</f>
        <v>#N/A</v>
      </c>
      <c r="J228" s="1143" t="e">
        <f>IF(IFERROR(IF($C$145 = "Absolute", INDEX('Summary of Results'!M:M, MATCH($B228, 'Summary of Results'!$A:$A, 0)), (INDEX('Summary of Results'!M:M, MATCH($B228, 'Summary of Results'!$A:$A, 0))/INDEX('Summary of Results'!$G:$G, MATCH($B228, 'Summary of Results'!$A:$A, 0)) - 1)*100), NA()) = "", "", IFERROR(IF($C$145 = "Absolute", INDEX('Summary of Results'!M:M, MATCH($B228, 'Summary of Results'!$A:$A, 0)), (INDEX('Summary of Results'!M:M, MATCH($B228, 'Summary of Results'!$A:$A, 0))/INDEX('Summary of Results'!$G:$G, MATCH($B228, 'Summary of Results'!$A:$A, 0)) - 1)*100), NA()))</f>
        <v>#N/A</v>
      </c>
    </row>
    <row r="229" spans="1:41" customFormat="1" x14ac:dyDescent="0.35">
      <c r="B229" s="1092">
        <v>40</v>
      </c>
      <c r="C229" s="1142" t="e">
        <f>IFERROR(INDEX('Summary of Results'!$B:$B, MATCH(B229, 'Summary of Results'!$A:$A, 0)), NA())</f>
        <v>#N/A</v>
      </c>
      <c r="D229" s="1143" t="e">
        <f>IF(IFERROR(IF($C$145 = "Absolute", INDEX('Summary of Results'!G:G, MATCH($B229, 'Summary of Results'!$A:$A, 0)), (INDEX('Summary of Results'!G:G, MATCH($B229, 'Summary of Results'!$A:$A, 0))/INDEX('Summary of Results'!$G:$G, MATCH($B229, 'Summary of Results'!$A:$A, 0)) - 1)*100), NA()) = "", "", IFERROR(IF($C$145 = "Absolute", INDEX('Summary of Results'!G:G, MATCH($B229, 'Summary of Results'!$A:$A, 0)), (INDEX('Summary of Results'!G:G, MATCH($B229, 'Summary of Results'!$A:$A, 0))/INDEX('Summary of Results'!$G:$G, MATCH($B229, 'Summary of Results'!$A:$A, 0)) - 1)*100), NA()))</f>
        <v>#N/A</v>
      </c>
      <c r="E229" s="1143" t="e">
        <f>IF(IFERROR(IF($C$145 = "Absolute", INDEX('Summary of Results'!H:H, MATCH($B229, 'Summary of Results'!$A:$A, 0)), (INDEX('Summary of Results'!H:H, MATCH($B229, 'Summary of Results'!$A:$A, 0))/INDEX('Summary of Results'!$G:$G, MATCH($B229, 'Summary of Results'!$A:$A, 0)) - 1)*100), NA()) = "", "", IFERROR(IF($C$145 = "Absolute", INDEX('Summary of Results'!H:H, MATCH($B229, 'Summary of Results'!$A:$A, 0)), (INDEX('Summary of Results'!H:H, MATCH($B229, 'Summary of Results'!$A:$A, 0))/INDEX('Summary of Results'!$G:$G, MATCH($B229, 'Summary of Results'!$A:$A, 0)) - 1)*100), NA()))</f>
        <v>#N/A</v>
      </c>
      <c r="F229" s="1143" t="e">
        <f>IF(IFERROR(IF($C$145 = "Absolute", INDEX('Summary of Results'!I:I, MATCH($B229, 'Summary of Results'!$A:$A, 0)), (INDEX('Summary of Results'!I:I, MATCH($B229, 'Summary of Results'!$A:$A, 0))/INDEX('Summary of Results'!$G:$G, MATCH($B229, 'Summary of Results'!$A:$A, 0)) - 1)*100), NA()) = "", "", IFERROR(IF($C$145 = "Absolute", INDEX('Summary of Results'!I:I, MATCH($B229, 'Summary of Results'!$A:$A, 0)), (INDEX('Summary of Results'!I:I, MATCH($B229, 'Summary of Results'!$A:$A, 0))/INDEX('Summary of Results'!$G:$G, MATCH($B229, 'Summary of Results'!$A:$A, 0)) - 1)*100), NA()))</f>
        <v>#N/A</v>
      </c>
      <c r="G229" s="1143" t="e">
        <f>IF(IFERROR(IF($C$145 = "Absolute", INDEX('Summary of Results'!J:J, MATCH($B229, 'Summary of Results'!$A:$A, 0)), (INDEX('Summary of Results'!J:J, MATCH($B229, 'Summary of Results'!$A:$A, 0))/INDEX('Summary of Results'!$G:$G, MATCH($B229, 'Summary of Results'!$A:$A, 0)) - 1)*100), NA()) = "", "", IFERROR(IF($C$145 = "Absolute", INDEX('Summary of Results'!J:J, MATCH($B229, 'Summary of Results'!$A:$A, 0)), (INDEX('Summary of Results'!J:J, MATCH($B229, 'Summary of Results'!$A:$A, 0))/INDEX('Summary of Results'!$G:$G, MATCH($B229, 'Summary of Results'!$A:$A, 0)) - 1)*100), NA()))</f>
        <v>#N/A</v>
      </c>
      <c r="H229" s="1143" t="e">
        <f>IF(IFERROR(IF($C$145 = "Absolute", INDEX('Summary of Results'!K:K, MATCH($B229, 'Summary of Results'!$A:$A, 0)), (INDEX('Summary of Results'!K:K, MATCH($B229, 'Summary of Results'!$A:$A, 0))/INDEX('Summary of Results'!$G:$G, MATCH($B229, 'Summary of Results'!$A:$A, 0)) - 1)*100), NA()) = "", "", IFERROR(IF($C$145 = "Absolute", INDEX('Summary of Results'!K:K, MATCH($B229, 'Summary of Results'!$A:$A, 0)), (INDEX('Summary of Results'!K:K, MATCH($B229, 'Summary of Results'!$A:$A, 0))/INDEX('Summary of Results'!$G:$G, MATCH($B229, 'Summary of Results'!$A:$A, 0)) - 1)*100), NA()))</f>
        <v>#N/A</v>
      </c>
      <c r="I229" s="1143" t="e">
        <f>IF(IFERROR(IF($C$145 = "Absolute", INDEX('Summary of Results'!L:L, MATCH($B229, 'Summary of Results'!$A:$A, 0)), (INDEX('Summary of Results'!L:L, MATCH($B229, 'Summary of Results'!$A:$A, 0))/INDEX('Summary of Results'!$G:$G, MATCH($B229, 'Summary of Results'!$A:$A, 0)) - 1)*100), NA()) = "", "", IFERROR(IF($C$145 = "Absolute", INDEX('Summary of Results'!L:L, MATCH($B229, 'Summary of Results'!$A:$A, 0)), (INDEX('Summary of Results'!L:L, MATCH($B229, 'Summary of Results'!$A:$A, 0))/INDEX('Summary of Results'!$G:$G, MATCH($B229, 'Summary of Results'!$A:$A, 0)) - 1)*100), NA()))</f>
        <v>#N/A</v>
      </c>
      <c r="J229" s="1143" t="e">
        <f>IF(IFERROR(IF($C$145 = "Absolute", INDEX('Summary of Results'!M:M, MATCH($B229, 'Summary of Results'!$A:$A, 0)), (INDEX('Summary of Results'!M:M, MATCH($B229, 'Summary of Results'!$A:$A, 0))/INDEX('Summary of Results'!$G:$G, MATCH($B229, 'Summary of Results'!$A:$A, 0)) - 1)*100), NA()) = "", "", IFERROR(IF($C$145 = "Absolute", INDEX('Summary of Results'!M:M, MATCH($B229, 'Summary of Results'!$A:$A, 0)), (INDEX('Summary of Results'!M:M, MATCH($B229, 'Summary of Results'!$A:$A, 0))/INDEX('Summary of Results'!$G:$G, MATCH($B229, 'Summary of Results'!$A:$A, 0)) - 1)*100), NA()))</f>
        <v>#N/A</v>
      </c>
    </row>
    <row r="230" spans="1:41" customFormat="1" x14ac:dyDescent="0.35">
      <c r="B230" s="1092">
        <v>41</v>
      </c>
      <c r="C230" s="1142" t="e">
        <f>IFERROR(INDEX('Summary of Results'!$B:$B, MATCH(B230, 'Summary of Results'!$A:$A, 0)), NA())</f>
        <v>#N/A</v>
      </c>
      <c r="D230" s="1143" t="e">
        <f>IF(IFERROR(IF($C$145 = "Absolute", INDEX('Summary of Results'!G:G, MATCH($B230, 'Summary of Results'!$A:$A, 0)), (INDEX('Summary of Results'!G:G, MATCH($B230, 'Summary of Results'!$A:$A, 0))/INDEX('Summary of Results'!$G:$G, MATCH($B230, 'Summary of Results'!$A:$A, 0)) - 1)*100), NA()) = "", "", IFERROR(IF($C$145 = "Absolute", INDEX('Summary of Results'!G:G, MATCH($B230, 'Summary of Results'!$A:$A, 0)), (INDEX('Summary of Results'!G:G, MATCH($B230, 'Summary of Results'!$A:$A, 0))/INDEX('Summary of Results'!$G:$G, MATCH($B230, 'Summary of Results'!$A:$A, 0)) - 1)*100), NA()))</f>
        <v>#N/A</v>
      </c>
      <c r="E230" s="1143" t="e">
        <f>IF(IFERROR(IF($C$145 = "Absolute", INDEX('Summary of Results'!H:H, MATCH($B230, 'Summary of Results'!$A:$A, 0)), (INDEX('Summary of Results'!H:H, MATCH($B230, 'Summary of Results'!$A:$A, 0))/INDEX('Summary of Results'!$G:$G, MATCH($B230, 'Summary of Results'!$A:$A, 0)) - 1)*100), NA()) = "", "", IFERROR(IF($C$145 = "Absolute", INDEX('Summary of Results'!H:H, MATCH($B230, 'Summary of Results'!$A:$A, 0)), (INDEX('Summary of Results'!H:H, MATCH($B230, 'Summary of Results'!$A:$A, 0))/INDEX('Summary of Results'!$G:$G, MATCH($B230, 'Summary of Results'!$A:$A, 0)) - 1)*100), NA()))</f>
        <v>#N/A</v>
      </c>
      <c r="F230" s="1143" t="e">
        <f>IF(IFERROR(IF($C$145 = "Absolute", INDEX('Summary of Results'!I:I, MATCH($B230, 'Summary of Results'!$A:$A, 0)), (INDEX('Summary of Results'!I:I, MATCH($B230, 'Summary of Results'!$A:$A, 0))/INDEX('Summary of Results'!$G:$G, MATCH($B230, 'Summary of Results'!$A:$A, 0)) - 1)*100), NA()) = "", "", IFERROR(IF($C$145 = "Absolute", INDEX('Summary of Results'!I:I, MATCH($B230, 'Summary of Results'!$A:$A, 0)), (INDEX('Summary of Results'!I:I, MATCH($B230, 'Summary of Results'!$A:$A, 0))/INDEX('Summary of Results'!$G:$G, MATCH($B230, 'Summary of Results'!$A:$A, 0)) - 1)*100), NA()))</f>
        <v>#N/A</v>
      </c>
      <c r="G230" s="1143" t="e">
        <f>IF(IFERROR(IF($C$145 = "Absolute", INDEX('Summary of Results'!J:J, MATCH($B230, 'Summary of Results'!$A:$A, 0)), (INDEX('Summary of Results'!J:J, MATCH($B230, 'Summary of Results'!$A:$A, 0))/INDEX('Summary of Results'!$G:$G, MATCH($B230, 'Summary of Results'!$A:$A, 0)) - 1)*100), NA()) = "", "", IFERROR(IF($C$145 = "Absolute", INDEX('Summary of Results'!J:J, MATCH($B230, 'Summary of Results'!$A:$A, 0)), (INDEX('Summary of Results'!J:J, MATCH($B230, 'Summary of Results'!$A:$A, 0))/INDEX('Summary of Results'!$G:$G, MATCH($B230, 'Summary of Results'!$A:$A, 0)) - 1)*100), NA()))</f>
        <v>#N/A</v>
      </c>
      <c r="H230" s="1143" t="e">
        <f>IF(IFERROR(IF($C$145 = "Absolute", INDEX('Summary of Results'!K:K, MATCH($B230, 'Summary of Results'!$A:$A, 0)), (INDEX('Summary of Results'!K:K, MATCH($B230, 'Summary of Results'!$A:$A, 0))/INDEX('Summary of Results'!$G:$G, MATCH($B230, 'Summary of Results'!$A:$A, 0)) - 1)*100), NA()) = "", "", IFERROR(IF($C$145 = "Absolute", INDEX('Summary of Results'!K:K, MATCH($B230, 'Summary of Results'!$A:$A, 0)), (INDEX('Summary of Results'!K:K, MATCH($B230, 'Summary of Results'!$A:$A, 0))/INDEX('Summary of Results'!$G:$G, MATCH($B230, 'Summary of Results'!$A:$A, 0)) - 1)*100), NA()))</f>
        <v>#N/A</v>
      </c>
      <c r="I230" s="1143" t="e">
        <f>IF(IFERROR(IF($C$145 = "Absolute", INDEX('Summary of Results'!L:L, MATCH($B230, 'Summary of Results'!$A:$A, 0)), (INDEX('Summary of Results'!L:L, MATCH($B230, 'Summary of Results'!$A:$A, 0))/INDEX('Summary of Results'!$G:$G, MATCH($B230, 'Summary of Results'!$A:$A, 0)) - 1)*100), NA()) = "", "", IFERROR(IF($C$145 = "Absolute", INDEX('Summary of Results'!L:L, MATCH($B230, 'Summary of Results'!$A:$A, 0)), (INDEX('Summary of Results'!L:L, MATCH($B230, 'Summary of Results'!$A:$A, 0))/INDEX('Summary of Results'!$G:$G, MATCH($B230, 'Summary of Results'!$A:$A, 0)) - 1)*100), NA()))</f>
        <v>#N/A</v>
      </c>
      <c r="J230" s="1143" t="e">
        <f>IF(IFERROR(IF($C$145 = "Absolute", INDEX('Summary of Results'!M:M, MATCH($B230, 'Summary of Results'!$A:$A, 0)), (INDEX('Summary of Results'!M:M, MATCH($B230, 'Summary of Results'!$A:$A, 0))/INDEX('Summary of Results'!$G:$G, MATCH($B230, 'Summary of Results'!$A:$A, 0)) - 1)*100), NA()) = "", "", IFERROR(IF($C$145 = "Absolute", INDEX('Summary of Results'!M:M, MATCH($B230, 'Summary of Results'!$A:$A, 0)), (INDEX('Summary of Results'!M:M, MATCH($B230, 'Summary of Results'!$A:$A, 0))/INDEX('Summary of Results'!$G:$G, MATCH($B230, 'Summary of Results'!$A:$A, 0)) - 1)*100), NA()))</f>
        <v>#N/A</v>
      </c>
    </row>
    <row r="231" spans="1:41" customFormat="1" x14ac:dyDescent="0.35">
      <c r="B231" s="1092">
        <v>42</v>
      </c>
      <c r="C231" s="1142" t="e">
        <f>IFERROR(INDEX('Summary of Results'!$B:$B, MATCH(B231, 'Summary of Results'!$A:$A, 0)), NA())</f>
        <v>#N/A</v>
      </c>
      <c r="D231" s="1143" t="e">
        <f>IF(IFERROR(IF($C$145 = "Absolute", INDEX('Summary of Results'!G:G, MATCH($B231, 'Summary of Results'!$A:$A, 0)), (INDEX('Summary of Results'!G:G, MATCH($B231, 'Summary of Results'!$A:$A, 0))/INDEX('Summary of Results'!$G:$G, MATCH($B231, 'Summary of Results'!$A:$A, 0)) - 1)*100), NA()) = "", "", IFERROR(IF($C$145 = "Absolute", INDEX('Summary of Results'!G:G, MATCH($B231, 'Summary of Results'!$A:$A, 0)), (INDEX('Summary of Results'!G:G, MATCH($B231, 'Summary of Results'!$A:$A, 0))/INDEX('Summary of Results'!$G:$G, MATCH($B231, 'Summary of Results'!$A:$A, 0)) - 1)*100), NA()))</f>
        <v>#N/A</v>
      </c>
      <c r="E231" s="1143" t="e">
        <f>IF(IFERROR(IF($C$145 = "Absolute", INDEX('Summary of Results'!H:H, MATCH($B231, 'Summary of Results'!$A:$A, 0)), (INDEX('Summary of Results'!H:H, MATCH($B231, 'Summary of Results'!$A:$A, 0))/INDEX('Summary of Results'!$G:$G, MATCH($B231, 'Summary of Results'!$A:$A, 0)) - 1)*100), NA()) = "", "", IFERROR(IF($C$145 = "Absolute", INDEX('Summary of Results'!H:H, MATCH($B231, 'Summary of Results'!$A:$A, 0)), (INDEX('Summary of Results'!H:H, MATCH($B231, 'Summary of Results'!$A:$A, 0))/INDEX('Summary of Results'!$G:$G, MATCH($B231, 'Summary of Results'!$A:$A, 0)) - 1)*100), NA()))</f>
        <v>#N/A</v>
      </c>
      <c r="F231" s="1143" t="e">
        <f>IF(IFERROR(IF($C$145 = "Absolute", INDEX('Summary of Results'!I:I, MATCH($B231, 'Summary of Results'!$A:$A, 0)), (INDEX('Summary of Results'!I:I, MATCH($B231, 'Summary of Results'!$A:$A, 0))/INDEX('Summary of Results'!$G:$G, MATCH($B231, 'Summary of Results'!$A:$A, 0)) - 1)*100), NA()) = "", "", IFERROR(IF($C$145 = "Absolute", INDEX('Summary of Results'!I:I, MATCH($B231, 'Summary of Results'!$A:$A, 0)), (INDEX('Summary of Results'!I:I, MATCH($B231, 'Summary of Results'!$A:$A, 0))/INDEX('Summary of Results'!$G:$G, MATCH($B231, 'Summary of Results'!$A:$A, 0)) - 1)*100), NA()))</f>
        <v>#N/A</v>
      </c>
      <c r="G231" s="1143" t="e">
        <f>IF(IFERROR(IF($C$145 = "Absolute", INDEX('Summary of Results'!J:J, MATCH($B231, 'Summary of Results'!$A:$A, 0)), (INDEX('Summary of Results'!J:J, MATCH($B231, 'Summary of Results'!$A:$A, 0))/INDEX('Summary of Results'!$G:$G, MATCH($B231, 'Summary of Results'!$A:$A, 0)) - 1)*100), NA()) = "", "", IFERROR(IF($C$145 = "Absolute", INDEX('Summary of Results'!J:J, MATCH($B231, 'Summary of Results'!$A:$A, 0)), (INDEX('Summary of Results'!J:J, MATCH($B231, 'Summary of Results'!$A:$A, 0))/INDEX('Summary of Results'!$G:$G, MATCH($B231, 'Summary of Results'!$A:$A, 0)) - 1)*100), NA()))</f>
        <v>#N/A</v>
      </c>
      <c r="H231" s="1143" t="e">
        <f>IF(IFERROR(IF($C$145 = "Absolute", INDEX('Summary of Results'!K:K, MATCH($B231, 'Summary of Results'!$A:$A, 0)), (INDEX('Summary of Results'!K:K, MATCH($B231, 'Summary of Results'!$A:$A, 0))/INDEX('Summary of Results'!$G:$G, MATCH($B231, 'Summary of Results'!$A:$A, 0)) - 1)*100), NA()) = "", "", IFERROR(IF($C$145 = "Absolute", INDEX('Summary of Results'!K:K, MATCH($B231, 'Summary of Results'!$A:$A, 0)), (INDEX('Summary of Results'!K:K, MATCH($B231, 'Summary of Results'!$A:$A, 0))/INDEX('Summary of Results'!$G:$G, MATCH($B231, 'Summary of Results'!$A:$A, 0)) - 1)*100), NA()))</f>
        <v>#N/A</v>
      </c>
      <c r="I231" s="1143" t="e">
        <f>IF(IFERROR(IF($C$145 = "Absolute", INDEX('Summary of Results'!L:L, MATCH($B231, 'Summary of Results'!$A:$A, 0)), (INDEX('Summary of Results'!L:L, MATCH($B231, 'Summary of Results'!$A:$A, 0))/INDEX('Summary of Results'!$G:$G, MATCH($B231, 'Summary of Results'!$A:$A, 0)) - 1)*100), NA()) = "", "", IFERROR(IF($C$145 = "Absolute", INDEX('Summary of Results'!L:L, MATCH($B231, 'Summary of Results'!$A:$A, 0)), (INDEX('Summary of Results'!L:L, MATCH($B231, 'Summary of Results'!$A:$A, 0))/INDEX('Summary of Results'!$G:$G, MATCH($B231, 'Summary of Results'!$A:$A, 0)) - 1)*100), NA()))</f>
        <v>#N/A</v>
      </c>
      <c r="J231" s="1143" t="e">
        <f>IF(IFERROR(IF($C$145 = "Absolute", INDEX('Summary of Results'!M:M, MATCH($B231, 'Summary of Results'!$A:$A, 0)), (INDEX('Summary of Results'!M:M, MATCH($B231, 'Summary of Results'!$A:$A, 0))/INDEX('Summary of Results'!$G:$G, MATCH($B231, 'Summary of Results'!$A:$A, 0)) - 1)*100), NA()) = "", "", IFERROR(IF($C$145 = "Absolute", INDEX('Summary of Results'!M:M, MATCH($B231, 'Summary of Results'!$A:$A, 0)), (INDEX('Summary of Results'!M:M, MATCH($B231, 'Summary of Results'!$A:$A, 0))/INDEX('Summary of Results'!$G:$G, MATCH($B231, 'Summary of Results'!$A:$A, 0)) - 1)*100), NA()))</f>
        <v>#N/A</v>
      </c>
    </row>
    <row r="232" spans="1:41" customFormat="1" x14ac:dyDescent="0.35">
      <c r="B232" s="1092">
        <v>43</v>
      </c>
      <c r="C232" s="1142" t="e">
        <f>IFERROR(INDEX('Summary of Results'!$B:$B, MATCH(B232, 'Summary of Results'!$A:$A, 0)), NA())</f>
        <v>#N/A</v>
      </c>
      <c r="D232" s="1143" t="e">
        <f>IF(IFERROR(IF($C$145 = "Absolute", INDEX('Summary of Results'!G:G, MATCH($B232, 'Summary of Results'!$A:$A, 0)), (INDEX('Summary of Results'!G:G, MATCH($B232, 'Summary of Results'!$A:$A, 0))/INDEX('Summary of Results'!$G:$G, MATCH($B232, 'Summary of Results'!$A:$A, 0)) - 1)*100), NA()) = "", "", IFERROR(IF($C$145 = "Absolute", INDEX('Summary of Results'!G:G, MATCH($B232, 'Summary of Results'!$A:$A, 0)), (INDEX('Summary of Results'!G:G, MATCH($B232, 'Summary of Results'!$A:$A, 0))/INDEX('Summary of Results'!$G:$G, MATCH($B232, 'Summary of Results'!$A:$A, 0)) - 1)*100), NA()))</f>
        <v>#N/A</v>
      </c>
      <c r="E232" s="1143" t="e">
        <f>IF(IFERROR(IF($C$145 = "Absolute", INDEX('Summary of Results'!H:H, MATCH($B232, 'Summary of Results'!$A:$A, 0)), (INDEX('Summary of Results'!H:H, MATCH($B232, 'Summary of Results'!$A:$A, 0))/INDEX('Summary of Results'!$G:$G, MATCH($B232, 'Summary of Results'!$A:$A, 0)) - 1)*100), NA()) = "", "", IFERROR(IF($C$145 = "Absolute", INDEX('Summary of Results'!H:H, MATCH($B232, 'Summary of Results'!$A:$A, 0)), (INDEX('Summary of Results'!H:H, MATCH($B232, 'Summary of Results'!$A:$A, 0))/INDEX('Summary of Results'!$G:$G, MATCH($B232, 'Summary of Results'!$A:$A, 0)) - 1)*100), NA()))</f>
        <v>#N/A</v>
      </c>
      <c r="F232" s="1143" t="e">
        <f>IF(IFERROR(IF($C$145 = "Absolute", INDEX('Summary of Results'!I:I, MATCH($B232, 'Summary of Results'!$A:$A, 0)), (INDEX('Summary of Results'!I:I, MATCH($B232, 'Summary of Results'!$A:$A, 0))/INDEX('Summary of Results'!$G:$G, MATCH($B232, 'Summary of Results'!$A:$A, 0)) - 1)*100), NA()) = "", "", IFERROR(IF($C$145 = "Absolute", INDEX('Summary of Results'!I:I, MATCH($B232, 'Summary of Results'!$A:$A, 0)), (INDEX('Summary of Results'!I:I, MATCH($B232, 'Summary of Results'!$A:$A, 0))/INDEX('Summary of Results'!$G:$G, MATCH($B232, 'Summary of Results'!$A:$A, 0)) - 1)*100), NA()))</f>
        <v>#N/A</v>
      </c>
      <c r="G232" s="1143" t="e">
        <f>IF(IFERROR(IF($C$145 = "Absolute", INDEX('Summary of Results'!J:J, MATCH($B232, 'Summary of Results'!$A:$A, 0)), (INDEX('Summary of Results'!J:J, MATCH($B232, 'Summary of Results'!$A:$A, 0))/INDEX('Summary of Results'!$G:$G, MATCH($B232, 'Summary of Results'!$A:$A, 0)) - 1)*100), NA()) = "", "", IFERROR(IF($C$145 = "Absolute", INDEX('Summary of Results'!J:J, MATCH($B232, 'Summary of Results'!$A:$A, 0)), (INDEX('Summary of Results'!J:J, MATCH($B232, 'Summary of Results'!$A:$A, 0))/INDEX('Summary of Results'!$G:$G, MATCH($B232, 'Summary of Results'!$A:$A, 0)) - 1)*100), NA()))</f>
        <v>#N/A</v>
      </c>
      <c r="H232" s="1143" t="e">
        <f>IF(IFERROR(IF($C$145 = "Absolute", INDEX('Summary of Results'!K:K, MATCH($B232, 'Summary of Results'!$A:$A, 0)), (INDEX('Summary of Results'!K:K, MATCH($B232, 'Summary of Results'!$A:$A, 0))/INDEX('Summary of Results'!$G:$G, MATCH($B232, 'Summary of Results'!$A:$A, 0)) - 1)*100), NA()) = "", "", IFERROR(IF($C$145 = "Absolute", INDEX('Summary of Results'!K:K, MATCH($B232, 'Summary of Results'!$A:$A, 0)), (INDEX('Summary of Results'!K:K, MATCH($B232, 'Summary of Results'!$A:$A, 0))/INDEX('Summary of Results'!$G:$G, MATCH($B232, 'Summary of Results'!$A:$A, 0)) - 1)*100), NA()))</f>
        <v>#N/A</v>
      </c>
      <c r="I232" s="1143" t="e">
        <f>IF(IFERROR(IF($C$145 = "Absolute", INDEX('Summary of Results'!L:L, MATCH($B232, 'Summary of Results'!$A:$A, 0)), (INDEX('Summary of Results'!L:L, MATCH($B232, 'Summary of Results'!$A:$A, 0))/INDEX('Summary of Results'!$G:$G, MATCH($B232, 'Summary of Results'!$A:$A, 0)) - 1)*100), NA()) = "", "", IFERROR(IF($C$145 = "Absolute", INDEX('Summary of Results'!L:L, MATCH($B232, 'Summary of Results'!$A:$A, 0)), (INDEX('Summary of Results'!L:L, MATCH($B232, 'Summary of Results'!$A:$A, 0))/INDEX('Summary of Results'!$G:$G, MATCH($B232, 'Summary of Results'!$A:$A, 0)) - 1)*100), NA()))</f>
        <v>#N/A</v>
      </c>
      <c r="J232" s="1143" t="e">
        <f>IF(IFERROR(IF($C$145 = "Absolute", INDEX('Summary of Results'!M:M, MATCH($B232, 'Summary of Results'!$A:$A, 0)), (INDEX('Summary of Results'!M:M, MATCH($B232, 'Summary of Results'!$A:$A, 0))/INDEX('Summary of Results'!$G:$G, MATCH($B232, 'Summary of Results'!$A:$A, 0)) - 1)*100), NA()) = "", "", IFERROR(IF($C$145 = "Absolute", INDEX('Summary of Results'!M:M, MATCH($B232, 'Summary of Results'!$A:$A, 0)), (INDEX('Summary of Results'!M:M, MATCH($B232, 'Summary of Results'!$A:$A, 0))/INDEX('Summary of Results'!$G:$G, MATCH($B232, 'Summary of Results'!$A:$A, 0)) - 1)*100), NA()))</f>
        <v>#N/A</v>
      </c>
    </row>
    <row r="233" spans="1:41" customFormat="1" ht="20" x14ac:dyDescent="0.4">
      <c r="B233" s="318">
        <v>44</v>
      </c>
      <c r="C233" s="319" t="e">
        <f>IFERROR(INDEX('Summary of Results'!$B:$B, MATCH(B233, 'Summary of Results'!$A:$A, 0)), NA())</f>
        <v>#N/A</v>
      </c>
      <c r="D233" s="336" t="e">
        <f>IF(IFERROR(IF($C$145 = "Absolute", INDEX('Summary of Results'!G:G, MATCH($B233, 'Summary of Results'!$A:$A, 0)), (INDEX('Summary of Results'!G:G, MATCH($B233, 'Summary of Results'!$A:$A, 0))/INDEX('Summary of Results'!$G:$G, MATCH($B233, 'Summary of Results'!$A:$A, 0)) - 1)*100), NA()) = "", "", IFERROR(IF($C$145 = "Absolute", INDEX('Summary of Results'!G:G, MATCH($B233, 'Summary of Results'!$A:$A, 0)), (INDEX('Summary of Results'!G:G, MATCH($B233, 'Summary of Results'!$A:$A, 0))/INDEX('Summary of Results'!$G:$G, MATCH($B233, 'Summary of Results'!$A:$A, 0)) - 1)*100), NA()))</f>
        <v>#N/A</v>
      </c>
      <c r="E233" s="336" t="e">
        <f>IF(IFERROR(IF($C$145 = "Absolute", INDEX('Summary of Results'!H:H, MATCH($B233, 'Summary of Results'!$A:$A, 0)), (INDEX('Summary of Results'!H:H, MATCH($B233, 'Summary of Results'!$A:$A, 0))/INDEX('Summary of Results'!$G:$G, MATCH($B233, 'Summary of Results'!$A:$A, 0)) - 1)*100), NA()) = "", "", IFERROR(IF($C$145 = "Absolute", INDEX('Summary of Results'!H:H, MATCH($B233, 'Summary of Results'!$A:$A, 0)), (INDEX('Summary of Results'!H:H, MATCH($B233, 'Summary of Results'!$A:$A, 0))/INDEX('Summary of Results'!$G:$G, MATCH($B233, 'Summary of Results'!$A:$A, 0)) - 1)*100), NA()))</f>
        <v>#N/A</v>
      </c>
      <c r="F233" s="336" t="e">
        <f>IF(IFERROR(IF($C$145 = "Absolute", INDEX('Summary of Results'!I:I, MATCH($B233, 'Summary of Results'!$A:$A, 0)), (INDEX('Summary of Results'!I:I, MATCH($B233, 'Summary of Results'!$A:$A, 0))/INDEX('Summary of Results'!$G:$G, MATCH($B233, 'Summary of Results'!$A:$A, 0)) - 1)*100), NA()) = "", "", IFERROR(IF($C$145 = "Absolute", INDEX('Summary of Results'!I:I, MATCH($B233, 'Summary of Results'!$A:$A, 0)), (INDEX('Summary of Results'!I:I, MATCH($B233, 'Summary of Results'!$A:$A, 0))/INDEX('Summary of Results'!$G:$G, MATCH($B233, 'Summary of Results'!$A:$A, 0)) - 1)*100), NA()))</f>
        <v>#N/A</v>
      </c>
      <c r="G233" s="336" t="e">
        <f>IF(IFERROR(IF($C$145 = "Absolute", INDEX('Summary of Results'!J:J, MATCH($B233, 'Summary of Results'!$A:$A, 0)), (INDEX('Summary of Results'!J:J, MATCH($B233, 'Summary of Results'!$A:$A, 0))/INDEX('Summary of Results'!$G:$G, MATCH($B233, 'Summary of Results'!$A:$A, 0)) - 1)*100), NA()) = "", "", IFERROR(IF($C$145 = "Absolute", INDEX('Summary of Results'!J:J, MATCH($B233, 'Summary of Results'!$A:$A, 0)), (INDEX('Summary of Results'!J:J, MATCH($B233, 'Summary of Results'!$A:$A, 0))/INDEX('Summary of Results'!$G:$G, MATCH($B233, 'Summary of Results'!$A:$A, 0)) - 1)*100), NA()))</f>
        <v>#N/A</v>
      </c>
      <c r="H233" s="336" t="e">
        <f>IF(IFERROR(IF($C$145 = "Absolute", INDEX('Summary of Results'!K:K, MATCH($B233, 'Summary of Results'!$A:$A, 0)), (INDEX('Summary of Results'!K:K, MATCH($B233, 'Summary of Results'!$A:$A, 0))/INDEX('Summary of Results'!$G:$G, MATCH($B233, 'Summary of Results'!$A:$A, 0)) - 1)*100), NA()) = "", "", IFERROR(IF($C$145 = "Absolute", INDEX('Summary of Results'!K:K, MATCH($B233, 'Summary of Results'!$A:$A, 0)), (INDEX('Summary of Results'!K:K, MATCH($B233, 'Summary of Results'!$A:$A, 0))/INDEX('Summary of Results'!$G:$G, MATCH($B233, 'Summary of Results'!$A:$A, 0)) - 1)*100), NA()))</f>
        <v>#N/A</v>
      </c>
      <c r="I233" s="336" t="e">
        <f>IF(IFERROR(IF($C$145 = "Absolute", INDEX('Summary of Results'!L:L, MATCH($B233, 'Summary of Results'!$A:$A, 0)), (INDEX('Summary of Results'!L:L, MATCH($B233, 'Summary of Results'!$A:$A, 0))/INDEX('Summary of Results'!$G:$G, MATCH($B233, 'Summary of Results'!$A:$A, 0)) - 1)*100), NA()) = "", "", IFERROR(IF($C$145 = "Absolute", INDEX('Summary of Results'!L:L, MATCH($B233, 'Summary of Results'!$A:$A, 0)), (INDEX('Summary of Results'!L:L, MATCH($B233, 'Summary of Results'!$A:$A, 0))/INDEX('Summary of Results'!$G:$G, MATCH($B233, 'Summary of Results'!$A:$A, 0)) - 1)*100), NA()))</f>
        <v>#N/A</v>
      </c>
      <c r="J233" s="336" t="e">
        <f>IF(IFERROR(IF($C$145 = "Absolute", INDEX('Summary of Results'!M:M, MATCH($B233, 'Summary of Results'!$A:$A, 0)), (INDEX('Summary of Results'!M:M, MATCH($B233, 'Summary of Results'!$A:$A, 0))/INDEX('Summary of Results'!$G:$G, MATCH($B233, 'Summary of Results'!$A:$A, 0)) - 1)*100), NA()) = "", "", IFERROR(IF($C$145 = "Absolute", INDEX('Summary of Results'!M:M, MATCH($B233, 'Summary of Results'!$A:$A, 0)), (INDEX('Summary of Results'!M:M, MATCH($B233, 'Summary of Results'!$A:$A, 0))/INDEX('Summary of Results'!$G:$G, MATCH($B233, 'Summary of Results'!$A:$A, 0)) - 1)*100), NA()))</f>
        <v>#N/A</v>
      </c>
    </row>
    <row r="234" spans="1:41" customFormat="1" ht="20" x14ac:dyDescent="0.4">
      <c r="B234" s="318">
        <v>45</v>
      </c>
      <c r="C234" s="319" t="e">
        <f>IFERROR(INDEX('Summary of Results'!$B:$B, MATCH(B234, 'Summary of Results'!$A:$A, 0)), NA())</f>
        <v>#N/A</v>
      </c>
      <c r="D234" s="336" t="e">
        <f>IF(IFERROR(IF($C$145 = "Absolute", INDEX('Summary of Results'!G:G, MATCH($B234, 'Summary of Results'!$A:$A, 0)), (INDEX('Summary of Results'!G:G, MATCH($B234, 'Summary of Results'!$A:$A, 0))/INDEX('Summary of Results'!$G:$G, MATCH($B234, 'Summary of Results'!$A:$A, 0)) - 1)*100), NA()) = "", "", IFERROR(IF($C$145 = "Absolute", INDEX('Summary of Results'!G:G, MATCH($B234, 'Summary of Results'!$A:$A, 0)), (INDEX('Summary of Results'!G:G, MATCH($B234, 'Summary of Results'!$A:$A, 0))/INDEX('Summary of Results'!$G:$G, MATCH($B234, 'Summary of Results'!$A:$A, 0)) - 1)*100), NA()))</f>
        <v>#N/A</v>
      </c>
      <c r="E234" s="336" t="e">
        <f>IF(IFERROR(IF($C$145 = "Absolute", INDEX('Summary of Results'!H:H, MATCH($B234, 'Summary of Results'!$A:$A, 0)), (INDEX('Summary of Results'!H:H, MATCH($B234, 'Summary of Results'!$A:$A, 0))/INDEX('Summary of Results'!$G:$G, MATCH($B234, 'Summary of Results'!$A:$A, 0)) - 1)*100), NA()) = "", "", IFERROR(IF($C$145 = "Absolute", INDEX('Summary of Results'!H:H, MATCH($B234, 'Summary of Results'!$A:$A, 0)), (INDEX('Summary of Results'!H:H, MATCH($B234, 'Summary of Results'!$A:$A, 0))/INDEX('Summary of Results'!$G:$G, MATCH($B234, 'Summary of Results'!$A:$A, 0)) - 1)*100), NA()))</f>
        <v>#N/A</v>
      </c>
      <c r="F234" s="336" t="e">
        <f>IF(IFERROR(IF($C$145 = "Absolute", INDEX('Summary of Results'!I:I, MATCH($B234, 'Summary of Results'!$A:$A, 0)), (INDEX('Summary of Results'!I:I, MATCH($B234, 'Summary of Results'!$A:$A, 0))/INDEX('Summary of Results'!$G:$G, MATCH($B234, 'Summary of Results'!$A:$A, 0)) - 1)*100), NA()) = "", "", IFERROR(IF($C$145 = "Absolute", INDEX('Summary of Results'!I:I, MATCH($B234, 'Summary of Results'!$A:$A, 0)), (INDEX('Summary of Results'!I:I, MATCH($B234, 'Summary of Results'!$A:$A, 0))/INDEX('Summary of Results'!$G:$G, MATCH($B234, 'Summary of Results'!$A:$A, 0)) - 1)*100), NA()))</f>
        <v>#N/A</v>
      </c>
      <c r="G234" s="336" t="e">
        <f>IF(IFERROR(IF($C$145 = "Absolute", INDEX('Summary of Results'!J:J, MATCH($B234, 'Summary of Results'!$A:$A, 0)), (INDEX('Summary of Results'!J:J, MATCH($B234, 'Summary of Results'!$A:$A, 0))/INDEX('Summary of Results'!$G:$G, MATCH($B234, 'Summary of Results'!$A:$A, 0)) - 1)*100), NA()) = "", "", IFERROR(IF($C$145 = "Absolute", INDEX('Summary of Results'!J:J, MATCH($B234, 'Summary of Results'!$A:$A, 0)), (INDEX('Summary of Results'!J:J, MATCH($B234, 'Summary of Results'!$A:$A, 0))/INDEX('Summary of Results'!$G:$G, MATCH($B234, 'Summary of Results'!$A:$A, 0)) - 1)*100), NA()))</f>
        <v>#N/A</v>
      </c>
      <c r="H234" s="336" t="e">
        <f>IF(IFERROR(IF($C$145 = "Absolute", INDEX('Summary of Results'!K:K, MATCH($B234, 'Summary of Results'!$A:$A, 0)), (INDEX('Summary of Results'!K:K, MATCH($B234, 'Summary of Results'!$A:$A, 0))/INDEX('Summary of Results'!$G:$G, MATCH($B234, 'Summary of Results'!$A:$A, 0)) - 1)*100), NA()) = "", "", IFERROR(IF($C$145 = "Absolute", INDEX('Summary of Results'!K:K, MATCH($B234, 'Summary of Results'!$A:$A, 0)), (INDEX('Summary of Results'!K:K, MATCH($B234, 'Summary of Results'!$A:$A, 0))/INDEX('Summary of Results'!$G:$G, MATCH($B234, 'Summary of Results'!$A:$A, 0)) - 1)*100), NA()))</f>
        <v>#N/A</v>
      </c>
      <c r="I234" s="336" t="e">
        <f>IF(IFERROR(IF($C$145 = "Absolute", INDEX('Summary of Results'!L:L, MATCH($B234, 'Summary of Results'!$A:$A, 0)), (INDEX('Summary of Results'!L:L, MATCH($B234, 'Summary of Results'!$A:$A, 0))/INDEX('Summary of Results'!$G:$G, MATCH($B234, 'Summary of Results'!$A:$A, 0)) - 1)*100), NA()) = "", "", IFERROR(IF($C$145 = "Absolute", INDEX('Summary of Results'!L:L, MATCH($B234, 'Summary of Results'!$A:$A, 0)), (INDEX('Summary of Results'!L:L, MATCH($B234, 'Summary of Results'!$A:$A, 0))/INDEX('Summary of Results'!$G:$G, MATCH($B234, 'Summary of Results'!$A:$A, 0)) - 1)*100), NA()))</f>
        <v>#N/A</v>
      </c>
      <c r="J234" s="336" t="e">
        <f>IF(IFERROR(IF($C$145 = "Absolute", INDEX('Summary of Results'!M:M, MATCH($B234, 'Summary of Results'!$A:$A, 0)), (INDEX('Summary of Results'!M:M, MATCH($B234, 'Summary of Results'!$A:$A, 0))/INDEX('Summary of Results'!$G:$G, MATCH($B234, 'Summary of Results'!$A:$A, 0)) - 1)*100), NA()) = "", "", IFERROR(IF($C$145 = "Absolute", INDEX('Summary of Results'!M:M, MATCH($B234, 'Summary of Results'!$A:$A, 0)), (INDEX('Summary of Results'!M:M, MATCH($B234, 'Summary of Results'!$A:$A, 0))/INDEX('Summary of Results'!$G:$G, MATCH($B234, 'Summary of Results'!$A:$A, 0)) - 1)*100), NA()))</f>
        <v>#N/A</v>
      </c>
    </row>
    <row r="235" spans="1:41" customFormat="1" ht="20" x14ac:dyDescent="0.4">
      <c r="B235" s="318">
        <v>46</v>
      </c>
      <c r="C235" s="319" t="e">
        <f>IFERROR(INDEX('Summary of Results'!$B:$B, MATCH(B235, 'Summary of Results'!$A:$A, 0)), NA())</f>
        <v>#N/A</v>
      </c>
      <c r="D235" s="336" t="e">
        <f>IF(IFERROR(IF($C$145 = "Absolute", INDEX('Summary of Results'!G:G, MATCH($B235, 'Summary of Results'!$A:$A, 0)), (INDEX('Summary of Results'!G:G, MATCH($B235, 'Summary of Results'!$A:$A, 0))/INDEX('Summary of Results'!$G:$G, MATCH($B235, 'Summary of Results'!$A:$A, 0)) - 1)*100), NA()) = "", "", IFERROR(IF($C$145 = "Absolute", INDEX('Summary of Results'!G:G, MATCH($B235, 'Summary of Results'!$A:$A, 0)), (INDEX('Summary of Results'!G:G, MATCH($B235, 'Summary of Results'!$A:$A, 0))/INDEX('Summary of Results'!$G:$G, MATCH($B235, 'Summary of Results'!$A:$A, 0)) - 1)*100), NA()))</f>
        <v>#N/A</v>
      </c>
      <c r="E235" s="336" t="e">
        <f>IF(IFERROR(IF($C$145 = "Absolute", INDEX('Summary of Results'!H:H, MATCH($B235, 'Summary of Results'!$A:$A, 0)), (INDEX('Summary of Results'!H:H, MATCH($B235, 'Summary of Results'!$A:$A, 0))/INDEX('Summary of Results'!$G:$G, MATCH($B235, 'Summary of Results'!$A:$A, 0)) - 1)*100), NA()) = "", "", IFERROR(IF($C$145 = "Absolute", INDEX('Summary of Results'!H:H, MATCH($B235, 'Summary of Results'!$A:$A, 0)), (INDEX('Summary of Results'!H:H, MATCH($B235, 'Summary of Results'!$A:$A, 0))/INDEX('Summary of Results'!$G:$G, MATCH($B235, 'Summary of Results'!$A:$A, 0)) - 1)*100), NA()))</f>
        <v>#N/A</v>
      </c>
      <c r="F235" s="336" t="e">
        <f>IF(IFERROR(IF($C$145 = "Absolute", INDEX('Summary of Results'!I:I, MATCH($B235, 'Summary of Results'!$A:$A, 0)), (INDEX('Summary of Results'!I:I, MATCH($B235, 'Summary of Results'!$A:$A, 0))/INDEX('Summary of Results'!$G:$G, MATCH($B235, 'Summary of Results'!$A:$A, 0)) - 1)*100), NA()) = "", "", IFERROR(IF($C$145 = "Absolute", INDEX('Summary of Results'!I:I, MATCH($B235, 'Summary of Results'!$A:$A, 0)), (INDEX('Summary of Results'!I:I, MATCH($B235, 'Summary of Results'!$A:$A, 0))/INDEX('Summary of Results'!$G:$G, MATCH($B235, 'Summary of Results'!$A:$A, 0)) - 1)*100), NA()))</f>
        <v>#N/A</v>
      </c>
      <c r="G235" s="336" t="e">
        <f>IF(IFERROR(IF($C$145 = "Absolute", INDEX('Summary of Results'!J:J, MATCH($B235, 'Summary of Results'!$A:$A, 0)), (INDEX('Summary of Results'!J:J, MATCH($B235, 'Summary of Results'!$A:$A, 0))/INDEX('Summary of Results'!$G:$G, MATCH($B235, 'Summary of Results'!$A:$A, 0)) - 1)*100), NA()) = "", "", IFERROR(IF($C$145 = "Absolute", INDEX('Summary of Results'!J:J, MATCH($B235, 'Summary of Results'!$A:$A, 0)), (INDEX('Summary of Results'!J:J, MATCH($B235, 'Summary of Results'!$A:$A, 0))/INDEX('Summary of Results'!$G:$G, MATCH($B235, 'Summary of Results'!$A:$A, 0)) - 1)*100), NA()))</f>
        <v>#N/A</v>
      </c>
      <c r="H235" s="336" t="e">
        <f>IF(IFERROR(IF($C$145 = "Absolute", INDEX('Summary of Results'!K:K, MATCH($B235, 'Summary of Results'!$A:$A, 0)), (INDEX('Summary of Results'!K:K, MATCH($B235, 'Summary of Results'!$A:$A, 0))/INDEX('Summary of Results'!$G:$G, MATCH($B235, 'Summary of Results'!$A:$A, 0)) - 1)*100), NA()) = "", "", IFERROR(IF($C$145 = "Absolute", INDEX('Summary of Results'!K:K, MATCH($B235, 'Summary of Results'!$A:$A, 0)), (INDEX('Summary of Results'!K:K, MATCH($B235, 'Summary of Results'!$A:$A, 0))/INDEX('Summary of Results'!$G:$G, MATCH($B235, 'Summary of Results'!$A:$A, 0)) - 1)*100), NA()))</f>
        <v>#N/A</v>
      </c>
      <c r="I235" s="336" t="e">
        <f>IF(IFERROR(IF($C$145 = "Absolute", INDEX('Summary of Results'!L:L, MATCH($B235, 'Summary of Results'!$A:$A, 0)), (INDEX('Summary of Results'!L:L, MATCH($B235, 'Summary of Results'!$A:$A, 0))/INDEX('Summary of Results'!$G:$G, MATCH($B235, 'Summary of Results'!$A:$A, 0)) - 1)*100), NA()) = "", "", IFERROR(IF($C$145 = "Absolute", INDEX('Summary of Results'!L:L, MATCH($B235, 'Summary of Results'!$A:$A, 0)), (INDEX('Summary of Results'!L:L, MATCH($B235, 'Summary of Results'!$A:$A, 0))/INDEX('Summary of Results'!$G:$G, MATCH($B235, 'Summary of Results'!$A:$A, 0)) - 1)*100), NA()))</f>
        <v>#N/A</v>
      </c>
      <c r="J235" s="336" t="e">
        <f>IF(IFERROR(IF($C$145 = "Absolute", INDEX('Summary of Results'!M:M, MATCH($B235, 'Summary of Results'!$A:$A, 0)), (INDEX('Summary of Results'!M:M, MATCH($B235, 'Summary of Results'!$A:$A, 0))/INDEX('Summary of Results'!$G:$G, MATCH($B235, 'Summary of Results'!$A:$A, 0)) - 1)*100), NA()) = "", "", IFERROR(IF($C$145 = "Absolute", INDEX('Summary of Results'!M:M, MATCH($B235, 'Summary of Results'!$A:$A, 0)), (INDEX('Summary of Results'!M:M, MATCH($B235, 'Summary of Results'!$A:$A, 0))/INDEX('Summary of Results'!$G:$G, MATCH($B235, 'Summary of Results'!$A:$A, 0)) - 1)*100), NA()))</f>
        <v>#N/A</v>
      </c>
    </row>
    <row r="236" spans="1:41" customFormat="1" ht="12.5" x14ac:dyDescent="0.25"/>
    <row r="237" spans="1:41" customFormat="1" ht="12.5" x14ac:dyDescent="0.25"/>
    <row r="238" spans="1:41" customFormat="1" ht="12.5" x14ac:dyDescent="0.25"/>
    <row r="239" spans="1:41" customFormat="1" ht="12.5" x14ac:dyDescent="0.25"/>
    <row r="240" spans="1:41" customFormat="1" ht="12.5" x14ac:dyDescent="0.25"/>
    <row r="241" customFormat="1" ht="12.5" x14ac:dyDescent="0.25"/>
    <row r="242" customFormat="1" ht="12.5" x14ac:dyDescent="0.25"/>
    <row r="243" customFormat="1" ht="12.5" x14ac:dyDescent="0.25"/>
    <row r="244" customFormat="1" ht="12.5" x14ac:dyDescent="0.25"/>
    <row r="245" customFormat="1" ht="12.5" x14ac:dyDescent="0.25"/>
    <row r="246" customFormat="1" ht="12.5" x14ac:dyDescent="0.25"/>
    <row r="247" customFormat="1" ht="12.5" x14ac:dyDescent="0.25"/>
    <row r="248" customFormat="1" ht="12.5" x14ac:dyDescent="0.25"/>
    <row r="249" customFormat="1" ht="12.5" x14ac:dyDescent="0.25"/>
    <row r="250" customFormat="1" ht="12.5" x14ac:dyDescent="0.25"/>
    <row r="251" customFormat="1" ht="12.5" x14ac:dyDescent="0.25"/>
    <row r="252" customFormat="1" ht="12.5" x14ac:dyDescent="0.25"/>
    <row r="253" customFormat="1" ht="12.5" x14ac:dyDescent="0.25"/>
    <row r="254" customFormat="1" ht="12.5" x14ac:dyDescent="0.25"/>
    <row r="255" customFormat="1" ht="12.5" x14ac:dyDescent="0.25"/>
    <row r="256" customFormat="1" ht="12.5" x14ac:dyDescent="0.25"/>
    <row r="257" customFormat="1" ht="12.5" x14ac:dyDescent="0.25"/>
    <row r="258" customFormat="1" ht="12.5" x14ac:dyDescent="0.25"/>
    <row r="259" customFormat="1" ht="12.5" x14ac:dyDescent="0.25"/>
    <row r="260" customFormat="1" ht="12.5" x14ac:dyDescent="0.25"/>
    <row r="261" customFormat="1" ht="12.5" x14ac:dyDescent="0.25"/>
    <row r="262" customFormat="1" ht="12.5" x14ac:dyDescent="0.25"/>
    <row r="263" customFormat="1" ht="12.5" x14ac:dyDescent="0.25"/>
    <row r="264" customFormat="1" ht="12.5" x14ac:dyDescent="0.25"/>
    <row r="265" customFormat="1" ht="12.5" x14ac:dyDescent="0.25"/>
    <row r="266" customFormat="1" ht="12.5" x14ac:dyDescent="0.25"/>
    <row r="267" customFormat="1" ht="12.5" x14ac:dyDescent="0.25"/>
    <row r="268" customFormat="1" ht="12.5" x14ac:dyDescent="0.25"/>
    <row r="269" customFormat="1" ht="12.5" x14ac:dyDescent="0.25"/>
    <row r="270" customFormat="1" ht="17.25" customHeight="1" x14ac:dyDescent="0.25"/>
    <row r="271" customFormat="1" ht="12.5" x14ac:dyDescent="0.25"/>
    <row r="272" customFormat="1" ht="12.5" x14ac:dyDescent="0.25"/>
    <row r="273" customFormat="1" ht="12.5" x14ac:dyDescent="0.25"/>
    <row r="274" customFormat="1" ht="12.5" x14ac:dyDescent="0.25"/>
    <row r="275" customFormat="1" ht="12.5" x14ac:dyDescent="0.25"/>
    <row r="276" customFormat="1" ht="12.5" x14ac:dyDescent="0.25"/>
    <row r="277" customFormat="1" ht="12.5" x14ac:dyDescent="0.25"/>
    <row r="278" customFormat="1" ht="12.5" x14ac:dyDescent="0.25"/>
    <row r="279" customFormat="1" ht="12.5" x14ac:dyDescent="0.25"/>
    <row r="280" customFormat="1" ht="12.5" x14ac:dyDescent="0.25"/>
    <row r="281" customFormat="1" ht="12.5" x14ac:dyDescent="0.25"/>
    <row r="282" customFormat="1" ht="12.5" x14ac:dyDescent="0.25"/>
    <row r="283" customFormat="1" ht="12.5" x14ac:dyDescent="0.25"/>
    <row r="284" customFormat="1" ht="12.5" x14ac:dyDescent="0.25"/>
    <row r="285" customFormat="1" ht="12.5" x14ac:dyDescent="0.25"/>
    <row r="286" customFormat="1" ht="12.5" x14ac:dyDescent="0.25"/>
    <row r="287" customFormat="1" ht="12.5" x14ac:dyDescent="0.25"/>
    <row r="288" customFormat="1" ht="12.5" x14ac:dyDescent="0.25"/>
    <row r="289" customFormat="1" ht="12.5" x14ac:dyDescent="0.25"/>
    <row r="290" customFormat="1" ht="12.5" x14ac:dyDescent="0.25"/>
    <row r="291" customFormat="1" ht="12.5" x14ac:dyDescent="0.25"/>
    <row r="292" customFormat="1" ht="12.5" x14ac:dyDescent="0.25"/>
    <row r="293" customFormat="1" ht="12.5" x14ac:dyDescent="0.25"/>
    <row r="294" customFormat="1" ht="12.5" x14ac:dyDescent="0.25"/>
    <row r="295" customFormat="1" ht="12.5" x14ac:dyDescent="0.25"/>
    <row r="296" customFormat="1" ht="12.5" x14ac:dyDescent="0.25"/>
    <row r="297" customFormat="1" ht="12.5" x14ac:dyDescent="0.25"/>
    <row r="298" customFormat="1" ht="12.5" x14ac:dyDescent="0.25"/>
    <row r="299" customFormat="1" ht="12.5" x14ac:dyDescent="0.25"/>
    <row r="300" customFormat="1" ht="12.5" x14ac:dyDescent="0.25"/>
    <row r="301" customFormat="1" ht="12.5" x14ac:dyDescent="0.25"/>
    <row r="302" customFormat="1" ht="12.5" x14ac:dyDescent="0.25"/>
    <row r="303" customFormat="1" ht="12.5" x14ac:dyDescent="0.25"/>
    <row r="304" customFormat="1" ht="12.5" x14ac:dyDescent="0.25"/>
    <row r="305" customFormat="1" ht="12.5" x14ac:dyDescent="0.25"/>
    <row r="306" customFormat="1" ht="12.5" x14ac:dyDescent="0.25"/>
    <row r="307" customFormat="1" ht="12.5" x14ac:dyDescent="0.25"/>
    <row r="308" customFormat="1" ht="12.5" x14ac:dyDescent="0.25"/>
    <row r="309" customFormat="1" ht="12.5" x14ac:dyDescent="0.25"/>
    <row r="310" customFormat="1" ht="12.5" x14ac:dyDescent="0.25"/>
    <row r="311" customFormat="1" ht="12.5" x14ac:dyDescent="0.25"/>
    <row r="312" customFormat="1" ht="12.5" x14ac:dyDescent="0.25"/>
    <row r="313" customFormat="1" ht="12.5" x14ac:dyDescent="0.25"/>
    <row r="314" customFormat="1" ht="12.5" x14ac:dyDescent="0.25"/>
    <row r="315" customFormat="1" ht="12.5" x14ac:dyDescent="0.25"/>
    <row r="316" customFormat="1" ht="12.5" x14ac:dyDescent="0.25"/>
    <row r="317" customFormat="1" ht="12.5" x14ac:dyDescent="0.25"/>
    <row r="318" customFormat="1" ht="12.5" x14ac:dyDescent="0.25"/>
    <row r="319" customFormat="1" ht="12.5" x14ac:dyDescent="0.25"/>
    <row r="320" customFormat="1" ht="12.5" x14ac:dyDescent="0.25"/>
    <row r="321" customFormat="1" ht="12.5" x14ac:dyDescent="0.25"/>
    <row r="322" customFormat="1" ht="12.5" x14ac:dyDescent="0.25"/>
    <row r="323" customFormat="1" ht="12.5" x14ac:dyDescent="0.25"/>
    <row r="324" customFormat="1" ht="12.5" x14ac:dyDescent="0.25"/>
    <row r="325" customFormat="1" ht="12.5" x14ac:dyDescent="0.25"/>
    <row r="326" customFormat="1" ht="12.5" x14ac:dyDescent="0.25"/>
    <row r="327" customFormat="1" ht="12.5" x14ac:dyDescent="0.25"/>
    <row r="328" customFormat="1" ht="12.5" x14ac:dyDescent="0.25"/>
    <row r="329" customFormat="1" ht="12.5" x14ac:dyDescent="0.25"/>
    <row r="330" customFormat="1" ht="12.5" x14ac:dyDescent="0.25"/>
    <row r="331" customFormat="1" ht="12.5" x14ac:dyDescent="0.25"/>
    <row r="332" customFormat="1" ht="12.5" x14ac:dyDescent="0.25"/>
    <row r="333" customFormat="1" ht="12.5" x14ac:dyDescent="0.25"/>
    <row r="334" customFormat="1" ht="12.5" x14ac:dyDescent="0.25"/>
    <row r="335" customFormat="1" ht="12.5" x14ac:dyDescent="0.25"/>
    <row r="336" customFormat="1" ht="12.5" x14ac:dyDescent="0.25"/>
    <row r="337" customFormat="1" ht="12.5" x14ac:dyDescent="0.25"/>
    <row r="338" customFormat="1" ht="12.5" x14ac:dyDescent="0.25"/>
    <row r="339" customFormat="1" ht="12.5" x14ac:dyDescent="0.25"/>
    <row r="340" customFormat="1" ht="12.5" x14ac:dyDescent="0.25"/>
    <row r="341" customFormat="1" ht="12.5" x14ac:dyDescent="0.25"/>
    <row r="342" customFormat="1" ht="12.5" x14ac:dyDescent="0.25"/>
    <row r="343" customFormat="1" ht="12.5" x14ac:dyDescent="0.25"/>
    <row r="344" customFormat="1" ht="12.5" x14ac:dyDescent="0.25"/>
    <row r="345" customFormat="1" ht="12.5" x14ac:dyDescent="0.25"/>
    <row r="346" customFormat="1" ht="12.5" x14ac:dyDescent="0.25"/>
    <row r="347" customFormat="1" ht="12.5" x14ac:dyDescent="0.25"/>
    <row r="348" customFormat="1" ht="12.5" x14ac:dyDescent="0.25"/>
    <row r="349" customFormat="1" ht="12.5" x14ac:dyDescent="0.25"/>
    <row r="350" customFormat="1" ht="12.5" x14ac:dyDescent="0.25"/>
    <row r="351" customFormat="1" ht="12.5" x14ac:dyDescent="0.25"/>
    <row r="352" customFormat="1" ht="12.5" x14ac:dyDescent="0.25"/>
    <row r="353" customFormat="1" ht="12.5" x14ac:dyDescent="0.25"/>
    <row r="354" customFormat="1" ht="12.5" x14ac:dyDescent="0.25"/>
    <row r="355" customFormat="1" ht="12.5" x14ac:dyDescent="0.25"/>
    <row r="356" customFormat="1" ht="12.5" x14ac:dyDescent="0.25"/>
    <row r="357" customFormat="1" ht="12.5" x14ac:dyDescent="0.25"/>
    <row r="358" customFormat="1" ht="12.5" x14ac:dyDescent="0.25"/>
    <row r="359" customFormat="1" ht="12.5" x14ac:dyDescent="0.25"/>
    <row r="360" customFormat="1" ht="12.5" x14ac:dyDescent="0.25"/>
    <row r="361" customFormat="1" ht="12.5" x14ac:dyDescent="0.25"/>
    <row r="362" customFormat="1" ht="12.5" x14ac:dyDescent="0.25"/>
    <row r="363" customFormat="1" ht="12.5" x14ac:dyDescent="0.25"/>
    <row r="364" customFormat="1" ht="12.5" x14ac:dyDescent="0.25"/>
    <row r="365" customFormat="1" ht="12.5" x14ac:dyDescent="0.25"/>
    <row r="366" customFormat="1" ht="12.5" x14ac:dyDescent="0.25"/>
    <row r="367" customFormat="1" ht="12.5" x14ac:dyDescent="0.25"/>
    <row r="368" customFormat="1" ht="12.5" x14ac:dyDescent="0.25"/>
    <row r="369" customFormat="1" ht="12.5" x14ac:dyDescent="0.25"/>
    <row r="370" customFormat="1" ht="12.5" x14ac:dyDescent="0.25"/>
    <row r="371" customFormat="1" ht="12.5" x14ac:dyDescent="0.25"/>
    <row r="372" customFormat="1" ht="12.5" x14ac:dyDescent="0.25"/>
    <row r="373" customFormat="1" ht="12.5" x14ac:dyDescent="0.25"/>
    <row r="374" customFormat="1" ht="12.5" x14ac:dyDescent="0.25"/>
    <row r="375" customFormat="1" ht="12.5" x14ac:dyDescent="0.25"/>
    <row r="376" customFormat="1" ht="12.5" x14ac:dyDescent="0.25"/>
    <row r="377" customFormat="1" ht="12.5" x14ac:dyDescent="0.25"/>
    <row r="378" customFormat="1" ht="12.5" x14ac:dyDescent="0.25"/>
    <row r="379" customFormat="1" ht="12.5" x14ac:dyDescent="0.25"/>
    <row r="380" customFormat="1" ht="12.5" x14ac:dyDescent="0.25"/>
    <row r="381" customFormat="1" ht="12.5" x14ac:dyDescent="0.25"/>
    <row r="382" customFormat="1" ht="12.5" x14ac:dyDescent="0.25"/>
    <row r="383" customFormat="1" ht="12.5" x14ac:dyDescent="0.25"/>
    <row r="384" customFormat="1" ht="12.5" x14ac:dyDescent="0.25"/>
    <row r="385" customFormat="1" ht="12.5" x14ac:dyDescent="0.25"/>
    <row r="386" customFormat="1" ht="12.5" x14ac:dyDescent="0.25"/>
    <row r="387" customFormat="1" ht="12.5" x14ac:dyDescent="0.25"/>
    <row r="388" customFormat="1" ht="12.5" x14ac:dyDescent="0.25"/>
    <row r="389" customFormat="1" ht="12.5" x14ac:dyDescent="0.25"/>
    <row r="390" customFormat="1" ht="12.5" x14ac:dyDescent="0.25"/>
    <row r="391" customFormat="1" ht="12.5" x14ac:dyDescent="0.25"/>
    <row r="392" customFormat="1" ht="12.5" x14ac:dyDescent="0.25"/>
    <row r="393" customFormat="1" ht="12.5" x14ac:dyDescent="0.25"/>
    <row r="394" customFormat="1" ht="12.5" x14ac:dyDescent="0.25"/>
    <row r="395" customFormat="1" ht="12.5" x14ac:dyDescent="0.25"/>
    <row r="396" customFormat="1" ht="12.5" x14ac:dyDescent="0.25"/>
    <row r="397" customFormat="1" ht="12.5" x14ac:dyDescent="0.25"/>
    <row r="398" customFormat="1" ht="12.5" x14ac:dyDescent="0.25"/>
    <row r="399" customFormat="1" ht="12.5" x14ac:dyDescent="0.25"/>
    <row r="400" customFormat="1" ht="12.5" x14ac:dyDescent="0.25"/>
    <row r="401" customFormat="1" ht="12.5" x14ac:dyDescent="0.25"/>
    <row r="402" customFormat="1" ht="12.5" x14ac:dyDescent="0.25"/>
    <row r="403" customFormat="1" ht="12.5" x14ac:dyDescent="0.25"/>
    <row r="404" customFormat="1" ht="12.5" x14ac:dyDescent="0.25"/>
    <row r="405" customFormat="1" ht="12.5" x14ac:dyDescent="0.25"/>
    <row r="406" customFormat="1" ht="12.5" x14ac:dyDescent="0.25"/>
    <row r="407" customFormat="1" ht="12.5" x14ac:dyDescent="0.25"/>
    <row r="408" customFormat="1" ht="12.5" x14ac:dyDescent="0.25"/>
    <row r="409" customFormat="1" ht="12.5" x14ac:dyDescent="0.25"/>
    <row r="410" customFormat="1" ht="12.5" x14ac:dyDescent="0.25"/>
    <row r="411" customFormat="1" ht="12.5" x14ac:dyDescent="0.25"/>
    <row r="412" customFormat="1" ht="12.5" x14ac:dyDescent="0.25"/>
    <row r="413" customFormat="1" ht="12.5" x14ac:dyDescent="0.25"/>
    <row r="414" customFormat="1" ht="12.5" x14ac:dyDescent="0.25"/>
    <row r="415" customFormat="1" ht="12.5" x14ac:dyDescent="0.25"/>
    <row r="416" customFormat="1" ht="12.5" x14ac:dyDescent="0.25"/>
    <row r="417" customFormat="1" ht="12.5" x14ac:dyDescent="0.25"/>
    <row r="418" customFormat="1" ht="12.5" x14ac:dyDescent="0.25"/>
    <row r="419" customFormat="1" ht="12.5" x14ac:dyDescent="0.25"/>
    <row r="420" customFormat="1" ht="12.5" x14ac:dyDescent="0.25"/>
    <row r="421" customFormat="1" ht="12.5" x14ac:dyDescent="0.25"/>
    <row r="422" customFormat="1" ht="12.5" x14ac:dyDescent="0.25"/>
    <row r="423" customFormat="1" ht="12.5" x14ac:dyDescent="0.25"/>
    <row r="424" customFormat="1" ht="12.5" x14ac:dyDescent="0.25"/>
    <row r="425" customFormat="1" ht="12.5" x14ac:dyDescent="0.25"/>
    <row r="426" customFormat="1" ht="12.5" x14ac:dyDescent="0.25"/>
    <row r="427" customFormat="1" ht="12.5" x14ac:dyDescent="0.25"/>
    <row r="428" customFormat="1" ht="12.5" x14ac:dyDescent="0.25"/>
    <row r="429" customFormat="1" ht="12.5" x14ac:dyDescent="0.25"/>
    <row r="430" customFormat="1" ht="12.5" x14ac:dyDescent="0.25"/>
    <row r="431" customFormat="1" ht="12.5" x14ac:dyDescent="0.25"/>
    <row r="432" customFormat="1" ht="12.5" x14ac:dyDescent="0.25"/>
    <row r="433" customFormat="1" ht="12.5" x14ac:dyDescent="0.25"/>
    <row r="434" customFormat="1" ht="12.5" x14ac:dyDescent="0.25"/>
    <row r="435" customFormat="1" ht="12.5" x14ac:dyDescent="0.25"/>
    <row r="436" customFormat="1" ht="12.5" x14ac:dyDescent="0.25"/>
    <row r="437" customFormat="1" ht="12.5" x14ac:dyDescent="0.25"/>
    <row r="438" customFormat="1" ht="12.5" x14ac:dyDescent="0.25"/>
    <row r="439" customFormat="1" ht="12.5" x14ac:dyDescent="0.25"/>
    <row r="440" customFormat="1" ht="12.5" x14ac:dyDescent="0.25"/>
    <row r="441" customFormat="1" ht="12.5" x14ac:dyDescent="0.25"/>
    <row r="442" customFormat="1" ht="12.5" x14ac:dyDescent="0.25"/>
    <row r="443" customFormat="1" ht="12.5" x14ac:dyDescent="0.25"/>
    <row r="444" customFormat="1" ht="12.5" x14ac:dyDescent="0.25"/>
    <row r="445" customFormat="1" ht="12.5" x14ac:dyDescent="0.25"/>
    <row r="446" customFormat="1" ht="12.5" x14ac:dyDescent="0.25"/>
    <row r="447" customFormat="1" ht="12.5" x14ac:dyDescent="0.25"/>
    <row r="448" customFormat="1" ht="12.5" x14ac:dyDescent="0.25"/>
    <row r="449" customFormat="1" ht="12.5" x14ac:dyDescent="0.25"/>
    <row r="450" customFormat="1" ht="12.5" x14ac:dyDescent="0.25"/>
    <row r="451" customFormat="1" ht="12.5" x14ac:dyDescent="0.25"/>
    <row r="452" customFormat="1" ht="12.5" x14ac:dyDescent="0.25"/>
    <row r="453" customFormat="1" ht="12.5" x14ac:dyDescent="0.25"/>
    <row r="454" customFormat="1" ht="12.5" x14ac:dyDescent="0.25"/>
    <row r="455" customFormat="1" ht="12.5" x14ac:dyDescent="0.25"/>
    <row r="456" customFormat="1" ht="12.5" x14ac:dyDescent="0.25"/>
    <row r="457" customFormat="1" ht="12.5" x14ac:dyDescent="0.25"/>
    <row r="458" customFormat="1" ht="12.5" x14ac:dyDescent="0.25"/>
    <row r="459" customFormat="1" ht="12.5" x14ac:dyDescent="0.25"/>
    <row r="460" customFormat="1" ht="12.5" x14ac:dyDescent="0.25"/>
    <row r="461" customFormat="1" ht="12.5" x14ac:dyDescent="0.25"/>
    <row r="462" customFormat="1" ht="12.5" x14ac:dyDescent="0.25"/>
    <row r="463" customFormat="1" ht="12.5" x14ac:dyDescent="0.25"/>
    <row r="464" customFormat="1" ht="12.5" x14ac:dyDescent="0.25"/>
    <row r="465" customFormat="1" ht="12.5" x14ac:dyDescent="0.25"/>
    <row r="466" customFormat="1" ht="12.5" x14ac:dyDescent="0.25"/>
    <row r="467" customFormat="1" ht="12.5" x14ac:dyDescent="0.25"/>
    <row r="468" customFormat="1" ht="12.5" x14ac:dyDescent="0.25"/>
    <row r="469" customFormat="1" ht="12.5" x14ac:dyDescent="0.25"/>
    <row r="470" customFormat="1" ht="12.5" x14ac:dyDescent="0.25"/>
    <row r="471" customFormat="1" ht="12.5" x14ac:dyDescent="0.25"/>
    <row r="472" customFormat="1" ht="12.5" x14ac:dyDescent="0.25"/>
    <row r="473" customFormat="1" ht="12.5" x14ac:dyDescent="0.25"/>
    <row r="474" customFormat="1" ht="12.5" x14ac:dyDescent="0.25"/>
    <row r="475" customFormat="1" ht="12.5" x14ac:dyDescent="0.25"/>
    <row r="476" customFormat="1" ht="12.5" x14ac:dyDescent="0.25"/>
    <row r="477" customFormat="1" ht="12.5" x14ac:dyDescent="0.25"/>
    <row r="478" customFormat="1" ht="12.5" x14ac:dyDescent="0.25"/>
    <row r="479" customFormat="1" ht="12.5" x14ac:dyDescent="0.25"/>
    <row r="480" customFormat="1" ht="12.5" x14ac:dyDescent="0.25"/>
    <row r="481" customFormat="1" ht="12.5" x14ac:dyDescent="0.25"/>
    <row r="482" customFormat="1" ht="12.5" x14ac:dyDescent="0.25"/>
    <row r="483" customFormat="1" ht="12.5" x14ac:dyDescent="0.25"/>
    <row r="484" customFormat="1" ht="12.5" x14ac:dyDescent="0.25"/>
    <row r="485" customFormat="1" ht="12.5" x14ac:dyDescent="0.25"/>
    <row r="486" customFormat="1" ht="12.5" x14ac:dyDescent="0.25"/>
    <row r="487" customFormat="1" ht="12.5" x14ac:dyDescent="0.25"/>
    <row r="488" customFormat="1" ht="12.5" x14ac:dyDescent="0.25"/>
    <row r="489" customFormat="1" ht="12.5" x14ac:dyDescent="0.25"/>
    <row r="490" customFormat="1" ht="12.5" x14ac:dyDescent="0.25"/>
    <row r="491" customFormat="1" ht="12.5" x14ac:dyDescent="0.25"/>
    <row r="492" customFormat="1" ht="12.5" x14ac:dyDescent="0.25"/>
    <row r="493" customFormat="1" ht="12.5" x14ac:dyDescent="0.25"/>
    <row r="494" customFormat="1" ht="12.5" x14ac:dyDescent="0.25"/>
    <row r="495" customFormat="1" ht="12.5" x14ac:dyDescent="0.25"/>
    <row r="496" customFormat="1" ht="12.5" x14ac:dyDescent="0.25"/>
    <row r="497" customFormat="1" ht="12.5" x14ac:dyDescent="0.25"/>
    <row r="498" customFormat="1" ht="12.5" x14ac:dyDescent="0.25"/>
    <row r="499" customFormat="1" ht="12.5" x14ac:dyDescent="0.25"/>
    <row r="500" customFormat="1" ht="12.5" x14ac:dyDescent="0.25"/>
    <row r="501" customFormat="1" ht="12.5" x14ac:dyDescent="0.25"/>
    <row r="502" customFormat="1" ht="12.5" x14ac:dyDescent="0.25"/>
    <row r="503" customFormat="1" ht="12.5" x14ac:dyDescent="0.25"/>
    <row r="504" customFormat="1" ht="12.5" x14ac:dyDescent="0.25"/>
    <row r="505" customFormat="1" ht="12.5" x14ac:dyDescent="0.25"/>
    <row r="506" customFormat="1" ht="12.5" x14ac:dyDescent="0.25"/>
    <row r="507" customFormat="1" ht="12.5" x14ac:dyDescent="0.25"/>
    <row r="508" customFormat="1" ht="12.5" x14ac:dyDescent="0.25"/>
    <row r="509" customFormat="1" ht="12.5" x14ac:dyDescent="0.25"/>
    <row r="510" customFormat="1" ht="12.5" x14ac:dyDescent="0.25"/>
    <row r="511" customFormat="1" ht="12.5" x14ac:dyDescent="0.25"/>
    <row r="512" customFormat="1" ht="12.5" x14ac:dyDescent="0.25"/>
    <row r="513" customFormat="1" ht="12.5" x14ac:dyDescent="0.25"/>
    <row r="514" customFormat="1" ht="12.5" x14ac:dyDescent="0.25"/>
    <row r="515" customFormat="1" ht="12.5" x14ac:dyDescent="0.25"/>
    <row r="516" customFormat="1" ht="12.5" x14ac:dyDescent="0.25"/>
    <row r="517" customFormat="1" ht="12.5" x14ac:dyDescent="0.25"/>
    <row r="518" customFormat="1" ht="12.5" x14ac:dyDescent="0.25"/>
    <row r="519" customFormat="1" ht="12.5" x14ac:dyDescent="0.25"/>
    <row r="520" customFormat="1" ht="12.5" x14ac:dyDescent="0.25"/>
    <row r="521" customFormat="1" ht="12.5" x14ac:dyDescent="0.25"/>
    <row r="522" customFormat="1" ht="12.5" x14ac:dyDescent="0.25"/>
    <row r="523" customFormat="1" ht="12.5" x14ac:dyDescent="0.25"/>
    <row r="524" customFormat="1" ht="12.5" x14ac:dyDescent="0.25"/>
    <row r="525" customFormat="1" ht="12.5" x14ac:dyDescent="0.25"/>
    <row r="526" customFormat="1" ht="12.5" x14ac:dyDescent="0.25"/>
    <row r="527" customFormat="1" ht="12.5" x14ac:dyDescent="0.25"/>
    <row r="528" customFormat="1" ht="12.5" x14ac:dyDescent="0.25"/>
    <row r="529" customFormat="1" ht="12.5" x14ac:dyDescent="0.25"/>
    <row r="530" customFormat="1" ht="12.5" x14ac:dyDescent="0.25"/>
    <row r="531" customFormat="1" ht="12.5" x14ac:dyDescent="0.25"/>
    <row r="532" customFormat="1" ht="12.5" x14ac:dyDescent="0.25"/>
    <row r="533" customFormat="1" ht="12.5" x14ac:dyDescent="0.25"/>
    <row r="534" customFormat="1" ht="12.5" x14ac:dyDescent="0.25"/>
    <row r="535" customFormat="1" ht="12.5" x14ac:dyDescent="0.25"/>
    <row r="536" customFormat="1" ht="12.5" x14ac:dyDescent="0.25"/>
    <row r="537" customFormat="1" ht="12.5" x14ac:dyDescent="0.25"/>
    <row r="538" customFormat="1" ht="12.5" x14ac:dyDescent="0.25"/>
    <row r="539" customFormat="1" ht="12.5" x14ac:dyDescent="0.25"/>
    <row r="540" customFormat="1" ht="12.5" x14ac:dyDescent="0.25"/>
    <row r="541" customFormat="1" ht="12.5" x14ac:dyDescent="0.25"/>
    <row r="542" customFormat="1" ht="12.5" x14ac:dyDescent="0.25"/>
    <row r="543" customFormat="1" ht="12.5" x14ac:dyDescent="0.25"/>
    <row r="544" customFormat="1" ht="12.5" x14ac:dyDescent="0.25"/>
    <row r="545" customFormat="1" ht="12.5" x14ac:dyDescent="0.25"/>
    <row r="546" customFormat="1" ht="12.5" x14ac:dyDescent="0.25"/>
    <row r="547" customFormat="1" ht="12.5" x14ac:dyDescent="0.25"/>
    <row r="548" customFormat="1" ht="12.5" x14ac:dyDescent="0.25"/>
    <row r="549" customFormat="1" ht="12.5" x14ac:dyDescent="0.25"/>
    <row r="550" customFormat="1" ht="12.5" x14ac:dyDescent="0.25"/>
    <row r="551" customFormat="1" ht="12.5" x14ac:dyDescent="0.25"/>
    <row r="552" customFormat="1" ht="12.5" x14ac:dyDescent="0.25"/>
    <row r="553" customFormat="1" ht="12.5" x14ac:dyDescent="0.25"/>
    <row r="554" customFormat="1" ht="12.5" x14ac:dyDescent="0.25"/>
    <row r="555" customFormat="1" ht="12.5" x14ac:dyDescent="0.25"/>
    <row r="556" customFormat="1" ht="12.5" x14ac:dyDescent="0.25"/>
    <row r="557" customFormat="1" ht="12.5" x14ac:dyDescent="0.25"/>
    <row r="558" customFormat="1" ht="12.5" x14ac:dyDescent="0.25"/>
    <row r="559" customFormat="1" ht="12.5" x14ac:dyDescent="0.25"/>
    <row r="560" customFormat="1" ht="12.5" x14ac:dyDescent="0.25"/>
    <row r="561" customFormat="1" ht="12.5" x14ac:dyDescent="0.25"/>
    <row r="562" customFormat="1" ht="12.5" x14ac:dyDescent="0.25"/>
    <row r="563" customFormat="1" ht="12.5" x14ac:dyDescent="0.25"/>
    <row r="564" customFormat="1" ht="12.5" x14ac:dyDescent="0.25"/>
    <row r="565" customFormat="1" ht="12.5" x14ac:dyDescent="0.25"/>
    <row r="566" customFormat="1" ht="12.5" x14ac:dyDescent="0.25"/>
    <row r="567" customFormat="1" ht="12.5" x14ac:dyDescent="0.25"/>
    <row r="568" customFormat="1" ht="12.5" x14ac:dyDescent="0.25"/>
    <row r="569" customFormat="1" ht="12.5" x14ac:dyDescent="0.25"/>
    <row r="570" customFormat="1" ht="12.5" x14ac:dyDescent="0.25"/>
    <row r="571" customFormat="1" ht="12.5" x14ac:dyDescent="0.25"/>
    <row r="572" customFormat="1" ht="12.5" x14ac:dyDescent="0.25"/>
    <row r="573" customFormat="1" ht="12.5" x14ac:dyDescent="0.25"/>
    <row r="574" customFormat="1" ht="12.5" x14ac:dyDescent="0.25"/>
    <row r="575" customFormat="1" ht="12.5" x14ac:dyDescent="0.25"/>
    <row r="576" customFormat="1" ht="12.5" x14ac:dyDescent="0.25"/>
    <row r="577" customFormat="1" ht="12.5" x14ac:dyDescent="0.25"/>
    <row r="578" customFormat="1" ht="12.5" x14ac:dyDescent="0.25"/>
    <row r="579" customFormat="1" ht="12.5" x14ac:dyDescent="0.25"/>
    <row r="580" customFormat="1" ht="12.5" x14ac:dyDescent="0.25"/>
    <row r="581" customFormat="1" ht="12.5" x14ac:dyDescent="0.25"/>
    <row r="582" customFormat="1" ht="12.5" x14ac:dyDescent="0.25"/>
    <row r="583" customFormat="1" ht="12.5" x14ac:dyDescent="0.25"/>
    <row r="584" customFormat="1" ht="12.5" x14ac:dyDescent="0.25"/>
    <row r="585" customFormat="1" ht="12.5" x14ac:dyDescent="0.25"/>
    <row r="586" customFormat="1" ht="12.5" x14ac:dyDescent="0.25"/>
    <row r="587" customFormat="1" ht="12.5" x14ac:dyDescent="0.25"/>
    <row r="588" customFormat="1" ht="12.5" x14ac:dyDescent="0.25"/>
    <row r="589" customFormat="1" ht="12.5" x14ac:dyDescent="0.25"/>
    <row r="590" customFormat="1" ht="12.5" x14ac:dyDescent="0.25"/>
    <row r="591" customFormat="1" ht="12.5" x14ac:dyDescent="0.25"/>
    <row r="592" customFormat="1" ht="12.5" x14ac:dyDescent="0.25"/>
    <row r="593" customFormat="1" ht="12.5" x14ac:dyDescent="0.25"/>
    <row r="594" customFormat="1" ht="12.5" x14ac:dyDescent="0.25"/>
    <row r="595" customFormat="1" ht="12.5" x14ac:dyDescent="0.25"/>
    <row r="596" customFormat="1" ht="12.5" x14ac:dyDescent="0.25"/>
    <row r="597" customFormat="1" ht="12.5" x14ac:dyDescent="0.25"/>
    <row r="598" customFormat="1" ht="12.5" x14ac:dyDescent="0.25"/>
    <row r="599" customFormat="1" ht="12.5" x14ac:dyDescent="0.25"/>
    <row r="600" customFormat="1" ht="12.5" x14ac:dyDescent="0.25"/>
    <row r="601" customFormat="1" ht="12.5" x14ac:dyDescent="0.25"/>
    <row r="602" customFormat="1" ht="12.5" x14ac:dyDescent="0.25"/>
    <row r="603" customFormat="1" ht="12.5" x14ac:dyDescent="0.25"/>
    <row r="604" customFormat="1" ht="12.5" x14ac:dyDescent="0.25"/>
    <row r="605" customFormat="1" ht="12.5" x14ac:dyDescent="0.25"/>
    <row r="606" customFormat="1" ht="12.5" x14ac:dyDescent="0.25"/>
    <row r="607" customFormat="1" ht="12.5" x14ac:dyDescent="0.25"/>
    <row r="608" customFormat="1" ht="12.5" x14ac:dyDescent="0.25"/>
    <row r="609" customFormat="1" ht="12.5" x14ac:dyDescent="0.25"/>
    <row r="610" customFormat="1" ht="12.5" x14ac:dyDescent="0.25"/>
    <row r="611" customFormat="1" ht="12.5" x14ac:dyDescent="0.25"/>
    <row r="612" customFormat="1" ht="12.5" x14ac:dyDescent="0.25"/>
    <row r="613" customFormat="1" ht="12.5" x14ac:dyDescent="0.25"/>
    <row r="614" customFormat="1" ht="12.5" x14ac:dyDescent="0.25"/>
    <row r="615" customFormat="1" ht="12.5" x14ac:dyDescent="0.25"/>
    <row r="616" customFormat="1" ht="12.5" x14ac:dyDescent="0.25"/>
    <row r="617" customFormat="1" ht="12.5" x14ac:dyDescent="0.25"/>
    <row r="618" customFormat="1" ht="12.5" x14ac:dyDescent="0.25"/>
    <row r="619" customFormat="1" ht="12.5" x14ac:dyDescent="0.25"/>
    <row r="620" customFormat="1" ht="12.5" x14ac:dyDescent="0.25"/>
    <row r="621" customFormat="1" ht="12.5" x14ac:dyDescent="0.25"/>
    <row r="622" customFormat="1" ht="12.5" x14ac:dyDescent="0.25"/>
    <row r="623" customFormat="1" ht="12.5" x14ac:dyDescent="0.25"/>
    <row r="624" customFormat="1" ht="12.5" x14ac:dyDescent="0.25"/>
    <row r="625" customFormat="1" ht="12.5" x14ac:dyDescent="0.25"/>
    <row r="626" customFormat="1" ht="12.5" x14ac:dyDescent="0.25"/>
    <row r="627" customFormat="1" ht="12.5" x14ac:dyDescent="0.25"/>
    <row r="628" customFormat="1" ht="12.5" x14ac:dyDescent="0.25"/>
    <row r="629" customFormat="1" ht="12.5" x14ac:dyDescent="0.25"/>
    <row r="630" customFormat="1" ht="12.5" x14ac:dyDescent="0.25"/>
    <row r="631" customFormat="1" ht="12.5" x14ac:dyDescent="0.25"/>
    <row r="632" customFormat="1" ht="12.5" x14ac:dyDescent="0.25"/>
    <row r="633" customFormat="1" ht="12.5" x14ac:dyDescent="0.25"/>
    <row r="634" customFormat="1" ht="12.5" x14ac:dyDescent="0.25"/>
    <row r="635" customFormat="1" ht="12.5" x14ac:dyDescent="0.25"/>
    <row r="636" customFormat="1" ht="12.5" x14ac:dyDescent="0.25"/>
    <row r="637" customFormat="1" ht="12.5" x14ac:dyDescent="0.25"/>
    <row r="638" customFormat="1" ht="12.5" x14ac:dyDescent="0.25"/>
    <row r="639" customFormat="1" ht="12.5" x14ac:dyDescent="0.25"/>
    <row r="640" customFormat="1" ht="12.5" x14ac:dyDescent="0.25"/>
    <row r="641" customFormat="1" ht="12.5" x14ac:dyDescent="0.25"/>
    <row r="642" customFormat="1" ht="12.5" x14ac:dyDescent="0.25"/>
    <row r="643" customFormat="1" ht="12.5" x14ac:dyDescent="0.25"/>
    <row r="644" customFormat="1" ht="12.5" x14ac:dyDescent="0.25"/>
    <row r="645" customFormat="1" ht="12.5" x14ac:dyDescent="0.25"/>
    <row r="646" customFormat="1" ht="12.5" x14ac:dyDescent="0.25"/>
    <row r="647" customFormat="1" ht="12.5" x14ac:dyDescent="0.25"/>
    <row r="648" customFormat="1" ht="12.5" x14ac:dyDescent="0.25"/>
    <row r="649" customFormat="1" ht="12.5" x14ac:dyDescent="0.25"/>
    <row r="650" customFormat="1" ht="12.5" x14ac:dyDescent="0.25"/>
    <row r="651" customFormat="1" ht="12.5" x14ac:dyDescent="0.25"/>
    <row r="652" customFormat="1" ht="12.5" x14ac:dyDescent="0.25"/>
    <row r="653" customFormat="1" ht="12.5" x14ac:dyDescent="0.25"/>
    <row r="654" customFormat="1" ht="12.5" x14ac:dyDescent="0.25"/>
    <row r="655" customFormat="1" ht="12.5" x14ac:dyDescent="0.25"/>
    <row r="656" customFormat="1" ht="12.5" x14ac:dyDescent="0.25"/>
    <row r="657" spans="3:27" customFormat="1" ht="12.5" x14ac:dyDescent="0.25"/>
    <row r="658" spans="3:27" customFormat="1" ht="12.5" x14ac:dyDescent="0.25"/>
    <row r="659" spans="3:27" customFormat="1" ht="12.5" x14ac:dyDescent="0.25"/>
    <row r="660" spans="3:27" customFormat="1" ht="12.5" x14ac:dyDescent="0.25"/>
    <row r="661" spans="3:27" x14ac:dyDescent="0.35">
      <c r="C661"/>
      <c r="D661"/>
      <c r="S661"/>
      <c r="T661"/>
      <c r="U661"/>
      <c r="V661"/>
      <c r="W661"/>
      <c r="X661"/>
      <c r="Y661"/>
      <c r="Z661"/>
      <c r="AA661"/>
    </row>
    <row r="662" spans="3:27" x14ac:dyDescent="0.35">
      <c r="C662"/>
      <c r="D662"/>
      <c r="S662"/>
      <c r="T662"/>
      <c r="U662"/>
      <c r="V662"/>
      <c r="W662"/>
      <c r="X662"/>
      <c r="Y662"/>
      <c r="Z662"/>
      <c r="AA662"/>
    </row>
    <row r="663" spans="3:27" x14ac:dyDescent="0.35">
      <c r="S663"/>
      <c r="T663"/>
      <c r="U663"/>
    </row>
    <row r="664" spans="3:27" x14ac:dyDescent="0.35">
      <c r="S664"/>
      <c r="T664"/>
      <c r="U664"/>
    </row>
  </sheetData>
  <dataConsolidate link="1"/>
  <mergeCells count="19">
    <mergeCell ref="B1:L1"/>
    <mergeCell ref="D116:J116"/>
    <mergeCell ref="D118:J118"/>
    <mergeCell ref="B2:L2"/>
    <mergeCell ref="M1:N1"/>
    <mergeCell ref="B185:G186"/>
    <mergeCell ref="I3:L3"/>
    <mergeCell ref="B10:L10"/>
    <mergeCell ref="B123:L124"/>
    <mergeCell ref="B5:L5"/>
    <mergeCell ref="B31:L31"/>
    <mergeCell ref="B35:L35"/>
    <mergeCell ref="B83:L83"/>
    <mergeCell ref="D107:J107"/>
    <mergeCell ref="B102:L102"/>
    <mergeCell ref="F33:G33"/>
    <mergeCell ref="B114:L114"/>
    <mergeCell ref="D112:J112"/>
    <mergeCell ref="D40:J40"/>
  </mergeCells>
  <conditionalFormatting sqref="D136:J136">
    <cfRule type="expression" dxfId="664" priority="697">
      <formula>D136="No"</formula>
    </cfRule>
    <cfRule type="expression" dxfId="663" priority="698">
      <formula>D136="Yes"</formula>
    </cfRule>
  </conditionalFormatting>
  <conditionalFormatting sqref="D133:J133">
    <cfRule type="expression" dxfId="662" priority="691">
      <formula>D133="Poor"</formula>
    </cfRule>
    <cfRule type="expression" dxfId="661" priority="692">
      <formula>D133="Fair"</formula>
    </cfRule>
    <cfRule type="expression" dxfId="660" priority="693">
      <formula>D133="Good"</formula>
    </cfRule>
    <cfRule type="expression" dxfId="659" priority="694">
      <formula>D133 = "Excellent"</formula>
    </cfRule>
  </conditionalFormatting>
  <conditionalFormatting sqref="B190:J235">
    <cfRule type="expression" dxfId="658" priority="1" stopIfTrue="1">
      <formula>ISERROR($C190)</formula>
    </cfRule>
  </conditionalFormatting>
  <conditionalFormatting sqref="E34">
    <cfRule type="expression" dxfId="657" priority="704">
      <formula>NOT($E$33="EV")</formula>
    </cfRule>
  </conditionalFormatting>
  <conditionalFormatting sqref="C53">
    <cfRule type="expression" dxfId="656" priority="706">
      <formula>OR($E$33="microHEV", $E$33="HEV-HP")</formula>
    </cfRule>
  </conditionalFormatting>
  <conditionalFormatting sqref="C109:J110">
    <cfRule type="expression" dxfId="655" priority="20">
      <formula>IF(_utilization_type = 1, TRUE, FALSE)</formula>
    </cfRule>
  </conditionalFormatting>
  <conditionalFormatting sqref="D130:J130">
    <cfRule type="expression" dxfId="654" priority="14">
      <formula>IF(D130 = "None", FALSE, TRUE)</formula>
    </cfRule>
    <cfRule type="expression" dxfId="653" priority="15">
      <formula>IF(D130 = "None", TRUE, FALSE)</formula>
    </cfRule>
  </conditionalFormatting>
  <conditionalFormatting sqref="D129:J129">
    <cfRule type="expression" dxfId="652" priority="12">
      <formula>IF(D129 = "None", FALSE, TRUE)</formula>
    </cfRule>
    <cfRule type="expression" dxfId="651" priority="13">
      <formula>IF(D129 = "None", TRUE, FALSE)</formula>
    </cfRule>
  </conditionalFormatting>
  <conditionalFormatting sqref="C57:J58">
    <cfRule type="expression" dxfId="650" priority="11">
      <formula>IF($D$34 = "Yes", FALSE, TRUE)</formula>
    </cfRule>
  </conditionalFormatting>
  <conditionalFormatting sqref="D188:J188">
    <cfRule type="expression" dxfId="649" priority="7">
      <formula>IF(D188 = "None", FALSE, TRUE)</formula>
    </cfRule>
    <cfRule type="expression" dxfId="648" priority="8">
      <formula>IF(D188 = "None", TRUE, FALSE)</formula>
    </cfRule>
  </conditionalFormatting>
  <conditionalFormatting sqref="D190:J224">
    <cfRule type="expression" dxfId="647" priority="5" stopIfTrue="1">
      <formula>IFERROR(IF(D190 = MAX($D190:$J190), TRUE, FALSE), FALSE)</formula>
    </cfRule>
    <cfRule type="expression" dxfId="646" priority="672" stopIfTrue="1">
      <formula>IFERROR(IF(D190 = MIN($D190:$J190), TRUE, FALSE), FALSE)</formula>
    </cfRule>
  </conditionalFormatting>
  <conditionalFormatting sqref="D189:J189">
    <cfRule type="expression" dxfId="645" priority="2">
      <formula>IF(D189 = "None", FALSE, TRUE)</formula>
    </cfRule>
    <cfRule type="expression" dxfId="644" priority="3">
      <formula>IF(D189 = "None", TRUE, FALSE)</formula>
    </cfRule>
  </conditionalFormatting>
  <conditionalFormatting sqref="C43:J43">
    <cfRule type="expression" dxfId="643" priority="1124">
      <formula>IF($D$40="Yes", TRUE, FALSE)</formula>
    </cfRule>
  </conditionalFormatting>
  <conditionalFormatting sqref="C45:J45">
    <cfRule type="expression" dxfId="642" priority="1125">
      <formula>IF($D$40="Yes", TRUE, FALSE)</formula>
    </cfRule>
  </conditionalFormatting>
  <conditionalFormatting sqref="D190:J235">
    <cfRule type="expression" dxfId="641" priority="4" stopIfTrue="1">
      <formula>NOT(D$188 = "None")</formula>
    </cfRule>
  </conditionalFormatting>
  <dataValidations xWindow="1267" yWindow="608" count="7">
    <dataValidation type="list" allowBlank="1" showInputMessage="1" showErrorMessage="1" sqref="C14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0:J60" xr:uid="{00000000-0002-0000-0100-000002000000}">
      <formula1>NOT(ISBLANK(D60))</formula1>
    </dataValidation>
    <dataValidation type="list" allowBlank="1" showInputMessage="1" showErrorMessage="1" errorTitle="Fast Charge only for EV" error="Please select &quot;No&quot; for fast charging, as fast charging can only be calculated for EV currently. " promptTitle="Select Vehicle Type" sqref="E33" xr:uid="{00000000-0002-0000-0100-000003000000}">
      <formula1>_vehicles</formula1>
    </dataValidation>
    <dataValidation type="list" allowBlank="1" showInputMessage="1" showErrorMessage="1" errorTitle="Invalid Entry" error="Please select from thelist" promptTitle="Please select Yes or No" sqref="D40" xr:uid="{00000000-0002-0000-0100-000004000000}">
      <formula1>"Yes, No"</formula1>
    </dataValidation>
    <dataValidation type="list" allowBlank="1" showInputMessage="1" showErrorMessage="1" sqref="C148" xr:uid="{00000000-0002-0000-0100-000005000000}">
      <formula1>$C$190:$C$214</formula1>
    </dataValidation>
    <dataValidation type="list" allowBlank="1" showInputMessage="1" showErrorMessage="1" sqref="C146:C147" xr:uid="{00000000-0002-0000-0100-000006000000}">
      <formula1>OFFSET($C$190, 0,0, $E$144)</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86" fitToHeight="0" orientation="portrait" r:id="rId1"/>
  <rowBreaks count="1" manualBreakCount="1">
    <brk id="1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260350</xdr:colOff>
                    <xdr:row>72</xdr:row>
                    <xdr:rowOff>0</xdr:rowOff>
                  </from>
                  <to>
                    <xdr:col>2</xdr:col>
                    <xdr:colOff>3079750</xdr:colOff>
                    <xdr:row>77</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IF($E$33="EV",Lists!$BA$15:$BA$16, Lists!$BA$16)</xm:f>
          </x14:formula1>
          <xm:sqref>E34</xm:sqref>
        </x14:dataValidation>
        <x14:dataValidation type="list" allowBlank="1" showInputMessage="1" showErrorMessage="1" xr:uid="{00000000-0002-0000-0100-00000A000000}">
          <x14:formula1>
            <xm:f>Lists!$BA$20:$BA$22</xm:f>
          </x14:formula1>
          <xm:sqref>D107:J107</xm:sqref>
        </x14:dataValidation>
        <x14:dataValidation type="list" allowBlank="1" showInputMessage="1" showErrorMessage="1" xr:uid="{00000000-0002-0000-0100-00000B000000}">
          <x14:formula1>
            <xm:f>Lists!$B$156:$B$158</xm:f>
          </x14:formula1>
          <xm:sqref>D116:J116</xm:sqref>
        </x14:dataValidation>
        <x14:dataValidation type="list" allowBlank="1" showInputMessage="1" showErrorMessage="1" xr:uid="{00000000-0002-0000-0100-00000C000000}">
          <x14:formula1>
            <xm:f>Lists!$B$164:$B$165</xm:f>
          </x14:formula1>
          <xm:sqref>D118:J118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3"/>
  <sheetViews>
    <sheetView workbookViewId="0">
      <pane ySplit="6" topLeftCell="A7" activePane="bottomLeft" state="frozen"/>
      <selection pane="bottomLeft"/>
    </sheetView>
  </sheetViews>
  <sheetFormatPr defaultColWidth="9.453125" defaultRowHeight="14" x14ac:dyDescent="0.3"/>
  <cols>
    <col min="1" max="1" width="3.453125" style="86" customWidth="1"/>
    <col min="2" max="2" width="43.453125" style="353" customWidth="1"/>
    <col min="3" max="3" width="18" style="353" customWidth="1"/>
    <col min="4" max="4" width="8.54296875" style="353" bestFit="1" customWidth="1"/>
    <col min="5" max="5" width="18.453125" style="353" customWidth="1"/>
    <col min="6" max="6" width="20.453125" style="353" customWidth="1"/>
    <col min="7" max="8" width="12" style="353" bestFit="1" customWidth="1"/>
    <col min="9" max="13" width="12.54296875" style="353" bestFit="1" customWidth="1"/>
    <col min="14" max="14" width="20.54296875" style="353" customWidth="1"/>
    <col min="15" max="15" width="18.453125" style="353" bestFit="1" customWidth="1"/>
    <col min="16" max="16" width="24.54296875" style="353" bestFit="1" customWidth="1"/>
    <col min="17" max="25" width="9.453125" style="353"/>
    <col min="26" max="26" width="15.453125" style="353" customWidth="1"/>
    <col min="27" max="31" width="9.453125" style="353"/>
    <col min="32" max="32" width="16.54296875" style="353" customWidth="1"/>
    <col min="33" max="16384" width="9.453125" style="353"/>
  </cols>
  <sheetData>
    <row r="1" spans="1:16" ht="20.5" thickBot="1" x14ac:dyDescent="0.45">
      <c r="B1" s="1421" t="s">
        <v>12</v>
      </c>
      <c r="C1" s="1422"/>
      <c r="D1" s="1422"/>
      <c r="E1" s="1422"/>
      <c r="F1" s="1422"/>
      <c r="G1" s="1422"/>
      <c r="H1" s="1422"/>
      <c r="I1" s="1422"/>
      <c r="J1" s="1422"/>
      <c r="K1" s="1422"/>
      <c r="L1" s="1422"/>
      <c r="M1" s="1423"/>
      <c r="N1" s="1419" t="s">
        <v>6</v>
      </c>
      <c r="O1" s="1420"/>
      <c r="P1"/>
    </row>
    <row r="2" spans="1:16" ht="15.75" customHeight="1"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c r="P2"/>
    </row>
    <row r="3" spans="1:16" ht="15.75" customHeight="1" x14ac:dyDescent="0.35">
      <c r="B3" s="1445" t="s">
        <v>122</v>
      </c>
      <c r="C3" s="1445"/>
      <c r="D3" s="1445"/>
      <c r="E3" s="1445"/>
      <c r="F3" s="1445"/>
      <c r="G3" s="1445"/>
      <c r="H3" s="1445"/>
      <c r="I3" s="1445"/>
      <c r="J3" s="1445"/>
      <c r="K3" s="1445"/>
      <c r="L3" s="1445"/>
      <c r="M3" s="1446"/>
      <c r="N3" s="1243" t="s">
        <v>12</v>
      </c>
      <c r="O3" s="1242" t="s">
        <v>13</v>
      </c>
      <c r="P3"/>
    </row>
    <row r="4" spans="1:16" ht="15.75" customHeight="1" x14ac:dyDescent="0.3">
      <c r="B4" s="1447" t="s">
        <v>123</v>
      </c>
      <c r="C4" s="1447"/>
      <c r="D4" s="1447"/>
      <c r="E4" s="1447"/>
      <c r="F4" s="264"/>
      <c r="G4" s="1448" t="s">
        <v>9</v>
      </c>
      <c r="H4" s="1448"/>
      <c r="I4" s="1448"/>
      <c r="J4" s="1448"/>
      <c r="K4" s="1448"/>
      <c r="L4" s="1448"/>
      <c r="M4" s="1449"/>
      <c r="N4" s="1240" t="s">
        <v>14</v>
      </c>
      <c r="O4" s="1242" t="s">
        <v>15</v>
      </c>
      <c r="P4"/>
    </row>
    <row r="5" spans="1:16" ht="15.75" customHeight="1" thickBot="1" x14ac:dyDescent="0.35">
      <c r="B5" s="1450" t="s">
        <v>10</v>
      </c>
      <c r="C5" s="1450"/>
      <c r="D5" s="1450"/>
      <c r="E5" s="1450"/>
      <c r="F5" s="254"/>
      <c r="G5" s="1451" t="s">
        <v>11</v>
      </c>
      <c r="H5" s="1451"/>
      <c r="I5" s="1451"/>
      <c r="J5" s="1451"/>
      <c r="K5" s="1451"/>
      <c r="L5" s="1451"/>
      <c r="M5" s="1452"/>
      <c r="N5" s="1240" t="s">
        <v>17</v>
      </c>
      <c r="O5" s="1246" t="s">
        <v>18</v>
      </c>
      <c r="P5"/>
    </row>
    <row r="6" spans="1:16" ht="15.75" customHeight="1" thickBot="1" x14ac:dyDescent="0.4">
      <c r="A6" s="130" t="s">
        <v>124</v>
      </c>
      <c r="B6" s="5"/>
      <c r="C6" s="681"/>
      <c r="D6" s="681"/>
      <c r="E6" s="681"/>
      <c r="F6" s="681"/>
      <c r="G6" s="682" t="s">
        <v>50</v>
      </c>
      <c r="H6" s="682" t="s">
        <v>51</v>
      </c>
      <c r="I6" s="682" t="s">
        <v>52</v>
      </c>
      <c r="J6" s="682" t="s">
        <v>53</v>
      </c>
      <c r="K6" s="682" t="s">
        <v>54</v>
      </c>
      <c r="L6" s="682" t="s">
        <v>55</v>
      </c>
      <c r="M6" s="683" t="s">
        <v>56</v>
      </c>
      <c r="N6" s="1244" t="s">
        <v>22</v>
      </c>
      <c r="O6" s="1245" t="s">
        <v>23</v>
      </c>
    </row>
    <row r="7" spans="1:16" ht="15.75" customHeight="1" thickBot="1" x14ac:dyDescent="0.4">
      <c r="A7" s="130"/>
      <c r="B7" s="5"/>
      <c r="C7" s="681"/>
      <c r="D7" s="681"/>
      <c r="E7" s="681"/>
      <c r="F7" s="681"/>
      <c r="G7" s="682"/>
      <c r="H7" s="682"/>
      <c r="I7" s="682"/>
      <c r="J7" s="682"/>
      <c r="K7" s="682"/>
      <c r="L7" s="682"/>
      <c r="M7" s="683"/>
    </row>
    <row r="8" spans="1:16" ht="20.5" thickBot="1" x14ac:dyDescent="0.45">
      <c r="A8" s="130"/>
      <c r="B8" s="1453" t="s">
        <v>125</v>
      </c>
      <c r="C8" s="1454"/>
      <c r="D8" s="1454"/>
      <c r="E8" s="1454"/>
      <c r="F8" s="1454"/>
      <c r="G8" s="1454"/>
      <c r="H8" s="1454"/>
      <c r="I8" s="1454"/>
      <c r="J8" s="1454"/>
      <c r="K8" s="1454"/>
      <c r="L8" s="1454"/>
      <c r="M8" s="1455"/>
    </row>
    <row r="9" spans="1:16" ht="15.75" customHeight="1" x14ac:dyDescent="0.35">
      <c r="A9" s="130"/>
      <c r="B9" s="5"/>
      <c r="C9" s="681"/>
      <c r="D9" s="681"/>
      <c r="E9" s="681"/>
      <c r="F9" s="681"/>
      <c r="G9" s="682"/>
      <c r="H9" s="682"/>
      <c r="I9" s="682"/>
      <c r="J9" s="682"/>
      <c r="K9" s="682"/>
      <c r="L9" s="682"/>
      <c r="M9" s="683"/>
    </row>
    <row r="10" spans="1:16" ht="15.75" customHeight="1" x14ac:dyDescent="0.35">
      <c r="A10" s="130"/>
      <c r="B10" s="1085" t="s">
        <v>126</v>
      </c>
      <c r="C10" s="681"/>
      <c r="D10" s="681"/>
      <c r="E10" s="681"/>
      <c r="F10" s="681"/>
      <c r="G10" s="1147" t="str">
        <f ca="1">Dashboard!D129</f>
        <v>None</v>
      </c>
      <c r="H10" s="1147" t="str">
        <f ca="1">Dashboard!E129</f>
        <v>None</v>
      </c>
      <c r="I10" s="1147" t="str">
        <f ca="1">Dashboard!F129</f>
        <v>None</v>
      </c>
      <c r="J10" s="1147" t="str">
        <f ca="1">Dashboard!G129</f>
        <v>None</v>
      </c>
      <c r="K10" s="1147" t="str">
        <f ca="1">Dashboard!H129</f>
        <v>None</v>
      </c>
      <c r="L10" s="1147" t="str">
        <f ca="1">Dashboard!I129</f>
        <v>None</v>
      </c>
      <c r="M10" s="1147" t="str">
        <f ca="1">Dashboard!J129</f>
        <v>None</v>
      </c>
      <c r="N10" s="737"/>
    </row>
    <row r="11" spans="1:16" ht="15.75" customHeight="1" x14ac:dyDescent="0.35">
      <c r="A11" s="130"/>
      <c r="B11" s="1103" t="s">
        <v>127</v>
      </c>
      <c r="C11" s="681"/>
      <c r="D11" s="681"/>
      <c r="E11" s="681"/>
      <c r="F11" s="681"/>
      <c r="G11" s="1147" t="str">
        <f ca="1">Dashboard!D130</f>
        <v>None</v>
      </c>
      <c r="H11" s="1147" t="str">
        <f ca="1">Dashboard!E130</f>
        <v>None</v>
      </c>
      <c r="I11" s="1147" t="str">
        <f ca="1">Dashboard!F130</f>
        <v>None</v>
      </c>
      <c r="J11" s="1147" t="str">
        <f ca="1">Dashboard!G130</f>
        <v>None</v>
      </c>
      <c r="K11" s="1147" t="str">
        <f ca="1">Dashboard!H130</f>
        <v>None</v>
      </c>
      <c r="L11" s="1147" t="str">
        <f ca="1">Dashboard!I130</f>
        <v>12</v>
      </c>
      <c r="M11" s="1147" t="str">
        <f ca="1">Dashboard!J130</f>
        <v>12</v>
      </c>
      <c r="N11" s="737"/>
    </row>
    <row r="12" spans="1:16" ht="15.75" customHeight="1" thickBot="1" x14ac:dyDescent="0.4">
      <c r="A12" s="130"/>
      <c r="B12" s="5"/>
      <c r="C12" s="681"/>
      <c r="D12" s="681"/>
      <c r="E12" s="681"/>
      <c r="F12" s="681"/>
      <c r="G12" s="682"/>
      <c r="H12" s="682"/>
      <c r="I12" s="682"/>
      <c r="J12" s="682"/>
      <c r="K12" s="682"/>
      <c r="L12" s="682"/>
      <c r="M12" s="683"/>
    </row>
    <row r="13" spans="1:16" ht="20.5" thickBot="1" x14ac:dyDescent="0.45">
      <c r="A13" s="1380"/>
      <c r="B13" s="1453" t="s">
        <v>128</v>
      </c>
      <c r="C13" s="1454"/>
      <c r="D13" s="1454"/>
      <c r="E13" s="1454"/>
      <c r="F13" s="1454"/>
      <c r="G13" s="1454"/>
      <c r="H13" s="1454"/>
      <c r="I13" s="1454"/>
      <c r="J13" s="1454"/>
      <c r="K13" s="1454"/>
      <c r="L13" s="1454"/>
      <c r="M13" s="1455"/>
      <c r="N13" s="169"/>
      <c r="O13" s="90"/>
    </row>
    <row r="14" spans="1:16" s="90" customFormat="1" ht="15" customHeight="1" x14ac:dyDescent="0.4">
      <c r="A14" s="1187"/>
      <c r="B14" s="729"/>
      <c r="C14" s="729"/>
      <c r="D14" s="729"/>
      <c r="E14" s="729"/>
      <c r="F14" s="729"/>
      <c r="G14" s="729"/>
      <c r="H14" s="729"/>
      <c r="I14" s="729"/>
      <c r="J14" s="729"/>
      <c r="K14" s="729"/>
      <c r="L14" s="729"/>
      <c r="M14" s="729"/>
      <c r="N14" s="169"/>
    </row>
    <row r="15" spans="1:16" ht="15.5" x14ac:dyDescent="0.35">
      <c r="A15" s="130"/>
      <c r="B15" s="78" t="s">
        <v>129</v>
      </c>
      <c r="C15" s="61"/>
      <c r="D15" s="61"/>
      <c r="E15" s="61"/>
      <c r="F15" s="61"/>
      <c r="G15" s="174"/>
      <c r="H15" s="174"/>
      <c r="I15" s="174"/>
      <c r="J15" s="174"/>
      <c r="K15" s="190"/>
      <c r="L15" s="190"/>
      <c r="M15" s="190"/>
    </row>
    <row r="16" spans="1:16" x14ac:dyDescent="0.3">
      <c r="A16" s="130"/>
      <c r="B16" s="664" t="s">
        <v>130</v>
      </c>
      <c r="C16" s="61"/>
      <c r="D16" s="61"/>
      <c r="E16" s="61"/>
      <c r="F16" s="61"/>
      <c r="G16" s="174"/>
      <c r="H16" s="174"/>
      <c r="I16" s="174"/>
      <c r="J16" s="174"/>
      <c r="K16" s="190"/>
      <c r="L16" s="190"/>
      <c r="M16" s="190"/>
    </row>
    <row r="17" spans="1:15" ht="13" x14ac:dyDescent="0.3">
      <c r="A17" s="130"/>
      <c r="B17" s="478" t="s">
        <v>131</v>
      </c>
      <c r="C17" s="478"/>
      <c r="D17" s="478"/>
      <c r="E17" s="478"/>
      <c r="F17" s="478"/>
      <c r="G17" s="1069">
        <f>'Battery Design'!G12</f>
        <v>1</v>
      </c>
      <c r="H17" s="1069">
        <f>'Battery Design'!H12</f>
        <v>1</v>
      </c>
      <c r="I17" s="1069">
        <f>'Battery Design'!I12</f>
        <v>1</v>
      </c>
      <c r="J17" s="1069">
        <f>'Battery Design'!J12</f>
        <v>1</v>
      </c>
      <c r="K17" s="1069">
        <f>'Battery Design'!K12</f>
        <v>1</v>
      </c>
      <c r="L17" s="1069">
        <f>'Battery Design'!L12</f>
        <v>1</v>
      </c>
      <c r="M17" s="1069">
        <f>'Battery Design'!M12</f>
        <v>1</v>
      </c>
    </row>
    <row r="18" spans="1:15" ht="13" x14ac:dyDescent="0.3">
      <c r="A18" s="130"/>
      <c r="B18" s="478" t="s">
        <v>132</v>
      </c>
      <c r="C18" s="478"/>
      <c r="D18" s="478"/>
      <c r="E18" s="478"/>
      <c r="F18" s="478"/>
      <c r="G18" s="1070" t="str">
        <f>IF(G17=1," ",IF('Battery Design'!G13="P","parallel",IF('Battery Design'!G13="S","series"," ")))</f>
        <v xml:space="preserve"> </v>
      </c>
      <c r="H18" s="1070" t="str">
        <f>IF(H17=1," ",IF('Battery Design'!H13="P","parallel",IF('Battery Design'!H13="S","series"," ")))</f>
        <v xml:space="preserve"> </v>
      </c>
      <c r="I18" s="1070" t="str">
        <f>IF(I17=1," ",IF('Battery Design'!I13="P","parallel",IF('Battery Design'!I13="S","series"," ")))</f>
        <v xml:space="preserve"> </v>
      </c>
      <c r="J18" s="1070" t="str">
        <f>IF(J17=1," ",IF('Battery Design'!J13="P","parallel",IF('Battery Design'!J13="S","series"," ")))</f>
        <v xml:space="preserve"> </v>
      </c>
      <c r="K18" s="1070" t="str">
        <f>IF(K17=1," ",IF('Battery Design'!K13="P","parallel",IF('Battery Design'!K13="S","series"," ")))</f>
        <v xml:space="preserve"> </v>
      </c>
      <c r="L18" s="1070" t="str">
        <f>IF(L17=1," ",IF('Battery Design'!L13="P","parallel",IF('Battery Design'!L13="S","series"," ")))</f>
        <v xml:space="preserve"> </v>
      </c>
      <c r="M18" s="1070" t="str">
        <f>IF(M17=1," ",IF('Battery Design'!M13="P","parallel",IF('Battery Design'!M13="S","series"," ")))</f>
        <v xml:space="preserve"> </v>
      </c>
    </row>
    <row r="19" spans="1:15" ht="13" x14ac:dyDescent="0.3">
      <c r="A19" s="130"/>
      <c r="B19" s="478" t="s">
        <v>133</v>
      </c>
      <c r="C19" s="478"/>
      <c r="D19" s="478"/>
      <c r="E19" s="478"/>
      <c r="F19" s="478"/>
      <c r="G19" s="1075">
        <f ca="1">'Battery Design'!G16</f>
        <v>371.32048846307276</v>
      </c>
      <c r="H19" s="1075">
        <f ca="1">'Battery Design'!H16</f>
        <v>371.32048846307276</v>
      </c>
      <c r="I19" s="1075">
        <f ca="1">'Battery Design'!I16</f>
        <v>371.32048846307276</v>
      </c>
      <c r="J19" s="1075">
        <f ca="1">'Battery Design'!J16</f>
        <v>371.32048846307276</v>
      </c>
      <c r="K19" s="1075">
        <f ca="1">'Battery Design'!K16</f>
        <v>371.32048846307276</v>
      </c>
      <c r="L19" s="1075">
        <f ca="1">'Battery Design'!L16</f>
        <v>371.32048846307276</v>
      </c>
      <c r="M19" s="1075">
        <f ca="1">'Battery Design'!M16</f>
        <v>371.32048846307276</v>
      </c>
    </row>
    <row r="20" spans="1:15" ht="13" x14ac:dyDescent="0.3">
      <c r="A20" s="130">
        <v>4</v>
      </c>
      <c r="B20" s="478" t="s">
        <v>134</v>
      </c>
      <c r="C20" s="478"/>
      <c r="D20" s="478"/>
      <c r="E20" s="478"/>
      <c r="F20" s="478"/>
      <c r="G20" s="1075">
        <f ca="1">'Battery Design'!G17</f>
        <v>366.68124488915322</v>
      </c>
      <c r="H20" s="1075">
        <f ca="1">'Battery Design'!H17</f>
        <v>366.68124488915322</v>
      </c>
      <c r="I20" s="1075">
        <f ca="1">'Battery Design'!I17</f>
        <v>367.11916387785027</v>
      </c>
      <c r="J20" s="1075">
        <f ca="1">'Battery Design'!J17</f>
        <v>367.65945476249624</v>
      </c>
      <c r="K20" s="1075">
        <f ca="1">'Battery Design'!K17</f>
        <v>368.28574818539863</v>
      </c>
      <c r="L20" s="1075">
        <f ca="1">'Battery Design'!L17</f>
        <v>369.03843276594796</v>
      </c>
      <c r="M20" s="1075">
        <f ca="1">'Battery Design'!M17</f>
        <v>370.03571135223439</v>
      </c>
    </row>
    <row r="21" spans="1:15" ht="13" x14ac:dyDescent="0.3">
      <c r="A21" s="130">
        <v>2</v>
      </c>
      <c r="B21" s="478" t="s">
        <v>135</v>
      </c>
      <c r="C21" s="478"/>
      <c r="D21" s="478"/>
      <c r="E21" s="478"/>
      <c r="F21" s="478"/>
      <c r="G21" s="1075">
        <f ca="1">'Battery Design'!G38</f>
        <v>272.71642985239049</v>
      </c>
      <c r="H21" s="1075">
        <f ca="1">'Battery Design'!H38</f>
        <v>272.71642985239049</v>
      </c>
      <c r="I21" s="1075">
        <f ca="1">'Battery Design'!I38</f>
        <v>272.39111939487981</v>
      </c>
      <c r="J21" s="1075">
        <f ca="1">'Battery Design'!J38</f>
        <v>271.99082929772283</v>
      </c>
      <c r="K21" s="1075">
        <f ca="1">'Battery Design'!K38</f>
        <v>271.52829153100703</v>
      </c>
      <c r="L21" s="1075">
        <f ca="1">'Battery Design'!L38</f>
        <v>270.97448699448086</v>
      </c>
      <c r="M21" s="1075">
        <f ca="1">'Battery Design'!M38</f>
        <v>270.24418706661311</v>
      </c>
    </row>
    <row r="22" spans="1:15" ht="13" x14ac:dyDescent="0.3">
      <c r="A22" s="130">
        <v>1</v>
      </c>
      <c r="B22" s="478" t="s">
        <v>136</v>
      </c>
      <c r="C22" s="478"/>
      <c r="D22" s="478"/>
      <c r="E22" s="478"/>
      <c r="F22" s="478"/>
      <c r="G22" s="1075">
        <f ca="1">G21*G20/1000</f>
        <v>99.999999999999972</v>
      </c>
      <c r="H22" s="1075">
        <f t="shared" ref="H22:M22" ca="1" si="0">H21*H20/1000</f>
        <v>99.999999999999972</v>
      </c>
      <c r="I22" s="1075">
        <f t="shared" ca="1" si="0"/>
        <v>99.999999999999957</v>
      </c>
      <c r="J22" s="1075">
        <f t="shared" ca="1" si="0"/>
        <v>99.999999999999957</v>
      </c>
      <c r="K22" s="1075">
        <f t="shared" ca="1" si="0"/>
        <v>99.999999999999957</v>
      </c>
      <c r="L22" s="1075">
        <f t="shared" ca="1" si="0"/>
        <v>99.999999999999957</v>
      </c>
      <c r="M22" s="1075">
        <f t="shared" ca="1" si="0"/>
        <v>100.00000000000048</v>
      </c>
      <c r="O22" s="88"/>
    </row>
    <row r="23" spans="1:15" ht="15.5" x14ac:dyDescent="0.3">
      <c r="B23" s="478" t="s">
        <v>137</v>
      </c>
      <c r="G23" s="84">
        <f ca="1">G22*Dashboard!$I$34/100</f>
        <v>84.999999999999986</v>
      </c>
      <c r="H23" s="84">
        <f ca="1">H22*Dashboard!$I$34/100</f>
        <v>84.999999999999986</v>
      </c>
      <c r="I23" s="84">
        <f ca="1">I22*Dashboard!$I$34/100</f>
        <v>84.999999999999957</v>
      </c>
      <c r="J23" s="84">
        <f ca="1">J22*Dashboard!$I$34/100</f>
        <v>84.999999999999957</v>
      </c>
      <c r="K23" s="84">
        <f ca="1">K22*Dashboard!$I$34/100</f>
        <v>84.999999999999957</v>
      </c>
      <c r="L23" s="84">
        <f ca="1">L22*Dashboard!$I$34/100</f>
        <v>84.999999999999957</v>
      </c>
      <c r="M23" s="84">
        <f ca="1">M22*Dashboard!$I$34/100</f>
        <v>85.000000000000412</v>
      </c>
    </row>
    <row r="24" spans="1:15" ht="13" x14ac:dyDescent="0.3">
      <c r="A24" s="130"/>
      <c r="B24" s="478" t="s">
        <v>138</v>
      </c>
      <c r="C24" s="478"/>
      <c r="D24" s="478"/>
      <c r="E24" s="478"/>
      <c r="F24" s="478"/>
      <c r="G24" s="1075">
        <f ca="1">'Battery Design'!G360*G17</f>
        <v>480.27467992176258</v>
      </c>
      <c r="H24" s="1075">
        <f ca="1">'Battery Design'!H360*H17</f>
        <v>480.27467992176258</v>
      </c>
      <c r="I24" s="1075">
        <f ca="1">'Battery Design'!I360*I17</f>
        <v>525.15774318809815</v>
      </c>
      <c r="J24" s="1075">
        <f ca="1">'Battery Design'!J360*J17</f>
        <v>593.83376160044793</v>
      </c>
      <c r="K24" s="1075">
        <f ca="1">'Battery Design'!K360*K17</f>
        <v>700.21713621164781</v>
      </c>
      <c r="L24" s="1075">
        <f ca="1">'Battery Design'!L360*L17</f>
        <v>893.31582663602194</v>
      </c>
      <c r="M24" s="1075">
        <f ca="1">'Battery Design'!M360*M17</f>
        <v>1411.1752017052218</v>
      </c>
    </row>
    <row r="25" spans="1:15" ht="13" x14ac:dyDescent="0.3">
      <c r="A25" s="130">
        <v>3</v>
      </c>
      <c r="B25" s="478" t="s">
        <v>111</v>
      </c>
      <c r="C25" s="478"/>
      <c r="D25" s="478"/>
      <c r="E25" s="478"/>
      <c r="F25" s="478"/>
      <c r="G25" s="1075">
        <f ca="1">'Battery Design'!G361*G17</f>
        <v>299.99999999999977</v>
      </c>
      <c r="H25" s="1075">
        <f ca="1">'Battery Design'!H361*H17</f>
        <v>299.99999999999977</v>
      </c>
      <c r="I25" s="1075">
        <f ca="1">'Battery Design'!I361*I17</f>
        <v>300.00000000000006</v>
      </c>
      <c r="J25" s="1075">
        <f ca="1">'Battery Design'!J361*J17</f>
        <v>300.00000000000017</v>
      </c>
      <c r="K25" s="1075">
        <f ca="1">'Battery Design'!K361*K17</f>
        <v>299.99999999999983</v>
      </c>
      <c r="L25" s="1075">
        <f ca="1">'Battery Design'!L361*L17</f>
        <v>300.00000000000006</v>
      </c>
      <c r="M25" s="1075">
        <f ca="1">'Battery Design'!M361*M17</f>
        <v>299.99999999999915</v>
      </c>
    </row>
    <row r="26" spans="1:15" x14ac:dyDescent="0.3">
      <c r="B26" s="495" t="s">
        <v>139</v>
      </c>
      <c r="C26" s="478"/>
      <c r="D26" s="478"/>
      <c r="E26" s="478"/>
      <c r="F26" s="478"/>
      <c r="G26" s="1075">
        <f>'Battery Design'!G134</f>
        <v>20</v>
      </c>
      <c r="H26" s="1075">
        <f>'Battery Design'!H134</f>
        <v>20</v>
      </c>
      <c r="I26" s="1075">
        <f>'Battery Design'!I134</f>
        <v>20</v>
      </c>
      <c r="J26" s="1075">
        <f>'Battery Design'!J134</f>
        <v>20</v>
      </c>
      <c r="K26" s="1075">
        <f>'Battery Design'!K134</f>
        <v>20</v>
      </c>
      <c r="L26" s="1075">
        <f>'Battery Design'!L134</f>
        <v>20</v>
      </c>
      <c r="M26" s="1075">
        <f>'Battery Design'!M134</f>
        <v>20</v>
      </c>
      <c r="N26" s="737"/>
    </row>
    <row r="27" spans="1:15" x14ac:dyDescent="0.3">
      <c r="B27" s="495" t="s">
        <v>140</v>
      </c>
      <c r="C27" s="478"/>
      <c r="D27" s="478"/>
      <c r="E27" s="478"/>
      <c r="F27" s="478"/>
      <c r="G27" s="1075">
        <f>Dashboard!D42</f>
        <v>10</v>
      </c>
      <c r="H27" s="1075">
        <f>Dashboard!E42</f>
        <v>10</v>
      </c>
      <c r="I27" s="1075">
        <f>Dashboard!F42</f>
        <v>10</v>
      </c>
      <c r="J27" s="1075">
        <f>Dashboard!G42</f>
        <v>10</v>
      </c>
      <c r="K27" s="1075">
        <f>Dashboard!H42</f>
        <v>10</v>
      </c>
      <c r="L27" s="1075">
        <f>Dashboard!I42</f>
        <v>10</v>
      </c>
      <c r="M27" s="1075">
        <f>Dashboard!J42</f>
        <v>10</v>
      </c>
      <c r="N27" s="737"/>
    </row>
    <row r="28" spans="1:15" ht="13" x14ac:dyDescent="0.3">
      <c r="A28" s="130"/>
      <c r="B28" s="478" t="s">
        <v>141</v>
      </c>
      <c r="C28" s="478"/>
      <c r="D28" s="478"/>
      <c r="E28" s="478"/>
      <c r="F28" s="478"/>
      <c r="G28" s="1084">
        <f ca="1">'Battery Design'!G113</f>
        <v>88.737216246839651</v>
      </c>
      <c r="H28" s="1084">
        <f ca="1">'Battery Design'!H113</f>
        <v>88.737216246839651</v>
      </c>
      <c r="I28" s="1084">
        <f ca="1">'Battery Design'!I113</f>
        <v>89.824476298183669</v>
      </c>
      <c r="J28" s="1084">
        <f ca="1">'Battery Design'!J113</f>
        <v>91.130195440740565</v>
      </c>
      <c r="K28" s="1084">
        <f ca="1">'Battery Design'!K113</f>
        <v>92.596928917313605</v>
      </c>
      <c r="L28" s="1084">
        <f ca="1">'Battery Design'!L113</f>
        <v>94.302099692904264</v>
      </c>
      <c r="M28" s="1084">
        <f ca="1">'Battery Design'!M113</f>
        <v>96.474272113036193</v>
      </c>
      <c r="N28" s="737"/>
    </row>
    <row r="29" spans="1:15" ht="13" x14ac:dyDescent="0.3">
      <c r="A29" s="130"/>
      <c r="B29" s="478" t="s">
        <v>142</v>
      </c>
      <c r="C29" s="478"/>
      <c r="D29" s="478"/>
      <c r="E29" s="478"/>
      <c r="F29" s="478"/>
      <c r="G29" s="1075">
        <f ca="1">Thermal!G142</f>
        <v>3200.8889833505596</v>
      </c>
      <c r="H29" s="1075">
        <f ca="1">Thermal!H142</f>
        <v>3200.8889833505596</v>
      </c>
      <c r="I29" s="1075">
        <f ca="1">Thermal!I142</f>
        <v>3200.8809944429577</v>
      </c>
      <c r="J29" s="1075">
        <f ca="1">Thermal!J142</f>
        <v>3200.8824757693706</v>
      </c>
      <c r="K29" s="1075">
        <f ca="1">Thermal!K142</f>
        <v>3200.859144381694</v>
      </c>
      <c r="L29" s="1075">
        <f ca="1">Thermal!L142</f>
        <v>3200.8464440580315</v>
      </c>
      <c r="M29" s="1075">
        <f ca="1">Thermal!M142</f>
        <v>3200.7848479199806</v>
      </c>
      <c r="N29" s="737"/>
    </row>
    <row r="30" spans="1:15" ht="13" x14ac:dyDescent="0.3">
      <c r="A30" s="130"/>
      <c r="G30" s="93"/>
      <c r="H30" s="93"/>
      <c r="I30" s="93"/>
      <c r="J30" s="93"/>
      <c r="K30" s="93"/>
      <c r="L30" s="93"/>
      <c r="M30" s="93"/>
      <c r="N30" s="737"/>
    </row>
    <row r="31" spans="1:15" x14ac:dyDescent="0.3">
      <c r="A31" s="130"/>
      <c r="B31" s="1076" t="s">
        <v>143</v>
      </c>
      <c r="C31" s="478"/>
      <c r="D31" s="478"/>
      <c r="E31" s="478"/>
      <c r="F31" s="478"/>
      <c r="G31" s="1073"/>
      <c r="H31" s="1073"/>
      <c r="I31" s="1073"/>
      <c r="J31" s="1073"/>
      <c r="K31" s="1073"/>
      <c r="L31" s="1073"/>
      <c r="M31" s="1073"/>
    </row>
    <row r="32" spans="1:15" ht="13" x14ac:dyDescent="0.3">
      <c r="A32" s="130"/>
      <c r="B32" s="478" t="s">
        <v>144</v>
      </c>
      <c r="C32" s="478"/>
      <c r="D32" s="478"/>
      <c r="E32" s="478"/>
      <c r="F32" s="478"/>
      <c r="G32" s="1075">
        <f ca="1">'Battery Design'!G447+'Battery Design'!G454</f>
        <v>296.9915155888695</v>
      </c>
      <c r="H32" s="1075">
        <f ca="1">'Battery Design'!H447</f>
        <v>294.19151558886949</v>
      </c>
      <c r="I32" s="1075">
        <f ca="1">'Battery Design'!I447</f>
        <v>295.34962825522098</v>
      </c>
      <c r="J32" s="1075">
        <f ca="1">'Battery Design'!J447</f>
        <v>298.68839842243108</v>
      </c>
      <c r="K32" s="1075">
        <f ca="1">'Battery Design'!K447</f>
        <v>301.55667460278181</v>
      </c>
      <c r="L32" s="1075">
        <f ca="1">'Battery Design'!L447</f>
        <v>310.83989128626871</v>
      </c>
      <c r="M32" s="1075">
        <f ca="1">'Battery Design'!M447</f>
        <v>339.51935059132722</v>
      </c>
    </row>
    <row r="33" spans="1:15" ht="13" x14ac:dyDescent="0.3">
      <c r="A33" s="130"/>
      <c r="B33" s="478" t="s">
        <v>145</v>
      </c>
      <c r="C33" s="478"/>
      <c r="D33" s="478"/>
      <c r="E33" s="478"/>
      <c r="F33" s="478"/>
      <c r="G33" s="1075">
        <f ca="1">'Battery Design'!G448+'Battery Design'!G453</f>
        <v>495.72637525178504</v>
      </c>
      <c r="H33" s="1075">
        <f ca="1">'Battery Design'!H448</f>
        <v>488.72637525178504</v>
      </c>
      <c r="I33" s="1075">
        <f ca="1">'Battery Design'!I448</f>
        <v>492.05962388653103</v>
      </c>
      <c r="J33" s="1075">
        <f ca="1">'Battery Design'!J448</f>
        <v>498.55563481473871</v>
      </c>
      <c r="K33" s="1075">
        <f ca="1">'Battery Design'!K448</f>
        <v>507.26079571431472</v>
      </c>
      <c r="L33" s="1075">
        <f ca="1">'Battery Design'!L448</f>
        <v>527.48263801119629</v>
      </c>
      <c r="M33" s="1075">
        <f ca="1">'Battery Design'!M448</f>
        <v>593.86964355372754</v>
      </c>
    </row>
    <row r="34" spans="1:15" ht="13" x14ac:dyDescent="0.3">
      <c r="A34" s="130"/>
      <c r="B34" s="478"/>
      <c r="C34" s="478"/>
      <c r="D34" s="478"/>
      <c r="E34" s="478"/>
      <c r="F34" s="478"/>
      <c r="G34" s="1075"/>
      <c r="H34" s="1075"/>
      <c r="I34" s="1075"/>
      <c r="J34" s="1075"/>
      <c r="K34" s="1075"/>
      <c r="L34" s="1075"/>
      <c r="M34" s="1075"/>
    </row>
    <row r="35" spans="1:15" x14ac:dyDescent="0.3">
      <c r="A35" s="130"/>
      <c r="B35" s="1076" t="s">
        <v>146</v>
      </c>
      <c r="C35" s="478"/>
      <c r="D35" s="478"/>
      <c r="E35" s="478"/>
      <c r="F35" s="478"/>
      <c r="G35" s="1075"/>
      <c r="H35" s="1075"/>
      <c r="I35" s="1075"/>
      <c r="J35" s="1075"/>
      <c r="K35" s="1075"/>
      <c r="L35" s="1075"/>
      <c r="M35" s="1075"/>
    </row>
    <row r="36" spans="1:15" ht="13" x14ac:dyDescent="0.3">
      <c r="A36" s="130"/>
      <c r="B36" s="478" t="s">
        <v>147</v>
      </c>
      <c r="C36" s="478"/>
      <c r="D36" s="478"/>
      <c r="E36" s="478"/>
      <c r="F36" s="478"/>
      <c r="G36" s="1075">
        <f ca="1">G22/G32*1000</f>
        <v>336.70995550738797</v>
      </c>
      <c r="H36" s="1075">
        <f t="shared" ref="H36:M36" ca="1" si="1">H22/H32*1000</f>
        <v>339.91462942034417</v>
      </c>
      <c r="I36" s="1075">
        <f t="shared" ca="1" si="1"/>
        <v>338.58177032674911</v>
      </c>
      <c r="J36" s="1075">
        <f t="shared" ca="1" si="1"/>
        <v>334.7970678746326</v>
      </c>
      <c r="K36" s="1075">
        <f t="shared" ca="1" si="1"/>
        <v>331.61262350343441</v>
      </c>
      <c r="L36" s="1075">
        <f t="shared" ca="1" si="1"/>
        <v>321.70903028628567</v>
      </c>
      <c r="M36" s="1075">
        <f t="shared" ca="1" si="1"/>
        <v>294.53402236377542</v>
      </c>
    </row>
    <row r="37" spans="1:15" ht="13" x14ac:dyDescent="0.3">
      <c r="A37" s="130"/>
      <c r="B37" s="478" t="s">
        <v>148</v>
      </c>
      <c r="C37" s="478"/>
      <c r="D37" s="478"/>
      <c r="E37" s="478"/>
      <c r="F37" s="478"/>
      <c r="G37" s="1075">
        <f t="shared" ref="G37:M37" ca="1" si="2">G22/G33*1000</f>
        <v>201.72418695537198</v>
      </c>
      <c r="H37" s="1075">
        <f t="shared" ca="1" si="2"/>
        <v>204.61347098052843</v>
      </c>
      <c r="I37" s="1075">
        <f t="shared" ca="1" si="2"/>
        <v>203.22740404943278</v>
      </c>
      <c r="J37" s="1075">
        <f t="shared" ca="1" si="2"/>
        <v>200.57941986185665</v>
      </c>
      <c r="K37" s="1075">
        <f t="shared" ca="1" si="2"/>
        <v>197.13725335146771</v>
      </c>
      <c r="L37" s="1075">
        <f t="shared" ca="1" si="2"/>
        <v>189.57969948932683</v>
      </c>
      <c r="M37" s="1075">
        <f t="shared" ca="1" si="2"/>
        <v>168.38712179595262</v>
      </c>
    </row>
    <row r="38" spans="1:15" ht="15.5" x14ac:dyDescent="0.3">
      <c r="B38" s="478" t="s">
        <v>149</v>
      </c>
      <c r="G38" s="87">
        <f ca="1">G23/G32*1000</f>
        <v>286.2034621812798</v>
      </c>
      <c r="H38" s="87">
        <f t="shared" ref="H38:M38" ca="1" si="3">H23/H32*1000</f>
        <v>288.92743500729256</v>
      </c>
      <c r="I38" s="87">
        <f t="shared" ca="1" si="3"/>
        <v>287.79450477773673</v>
      </c>
      <c r="J38" s="87">
        <f t="shared" ca="1" si="3"/>
        <v>284.57750769343767</v>
      </c>
      <c r="K38" s="87">
        <f t="shared" ca="1" si="3"/>
        <v>281.87072997791915</v>
      </c>
      <c r="L38" s="87">
        <f t="shared" ca="1" si="3"/>
        <v>273.45267574334275</v>
      </c>
      <c r="M38" s="87">
        <f t="shared" ca="1" si="3"/>
        <v>250.35391900920911</v>
      </c>
      <c r="O38" s="478"/>
    </row>
    <row r="39" spans="1:15" ht="15.5" x14ac:dyDescent="0.3">
      <c r="B39" s="478" t="s">
        <v>150</v>
      </c>
      <c r="G39" s="87">
        <f ca="1">G23/G33*1000</f>
        <v>171.4655589120662</v>
      </c>
      <c r="H39" s="87">
        <f t="shared" ref="H39:M39" ca="1" si="4">H23/H33*1000</f>
        <v>173.9214503334492</v>
      </c>
      <c r="I39" s="87">
        <f t="shared" ca="1" si="4"/>
        <v>172.74329344201783</v>
      </c>
      <c r="J39" s="87">
        <f t="shared" ca="1" si="4"/>
        <v>170.49250688257814</v>
      </c>
      <c r="K39" s="87">
        <f t="shared" ca="1" si="4"/>
        <v>167.56666534874753</v>
      </c>
      <c r="L39" s="87">
        <f t="shared" ca="1" si="4"/>
        <v>161.14274456592779</v>
      </c>
      <c r="M39" s="87">
        <f t="shared" ca="1" si="4"/>
        <v>143.12905352655972</v>
      </c>
      <c r="O39" s="478"/>
    </row>
    <row r="40" spans="1:15" x14ac:dyDescent="0.3">
      <c r="G40" s="93"/>
      <c r="H40" s="93"/>
      <c r="I40" s="93"/>
      <c r="J40" s="93"/>
      <c r="K40" s="93"/>
      <c r="L40" s="93"/>
      <c r="M40" s="93"/>
      <c r="O40" s="478"/>
    </row>
    <row r="41" spans="1:15" ht="15.5" x14ac:dyDescent="0.35">
      <c r="A41" s="130"/>
      <c r="B41" s="78" t="s">
        <v>151</v>
      </c>
      <c r="G41" s="93"/>
      <c r="H41" s="93"/>
      <c r="I41" s="93"/>
      <c r="J41" s="93"/>
      <c r="K41" s="93"/>
      <c r="L41" s="93"/>
      <c r="M41" s="93"/>
      <c r="O41" s="478"/>
    </row>
    <row r="42" spans="1:15" x14ac:dyDescent="0.3">
      <c r="A42" s="130"/>
      <c r="B42" s="664" t="s">
        <v>152</v>
      </c>
      <c r="G42" s="93"/>
      <c r="H42" s="93"/>
      <c r="I42" s="93"/>
      <c r="J42" s="93"/>
      <c r="K42" s="93"/>
      <c r="L42" s="93"/>
      <c r="M42" s="93"/>
      <c r="O42" s="478"/>
    </row>
    <row r="43" spans="1:15" ht="13" x14ac:dyDescent="0.3">
      <c r="A43" s="130">
        <v>9</v>
      </c>
      <c r="B43" s="478" t="s">
        <v>153</v>
      </c>
      <c r="C43" s="478"/>
      <c r="D43" s="478"/>
      <c r="E43" s="478"/>
      <c r="F43" s="478"/>
      <c r="G43" s="1075">
        <f>'Battery Design'!G31</f>
        <v>400</v>
      </c>
      <c r="H43" s="1075">
        <f>'Battery Design'!H31</f>
        <v>400</v>
      </c>
      <c r="I43" s="1075">
        <f>'Battery Design'!I31</f>
        <v>400</v>
      </c>
      <c r="J43" s="1075">
        <f>'Battery Design'!J31</f>
        <v>400</v>
      </c>
      <c r="K43" s="1075">
        <f>'Battery Design'!K31</f>
        <v>400</v>
      </c>
      <c r="L43" s="1075">
        <f>'Battery Design'!L31</f>
        <v>400</v>
      </c>
      <c r="M43" s="1075">
        <f>'Battery Design'!M31</f>
        <v>400</v>
      </c>
      <c r="O43" s="478"/>
    </row>
    <row r="44" spans="1:15" ht="13" x14ac:dyDescent="0.3">
      <c r="A44" s="130">
        <v>8</v>
      </c>
      <c r="B44" s="478" t="s">
        <v>154</v>
      </c>
      <c r="C44" s="478"/>
      <c r="D44" s="478"/>
      <c r="E44" s="478"/>
      <c r="F44" s="478"/>
      <c r="G44" s="1075">
        <f>'Battery Design'!G29</f>
        <v>20</v>
      </c>
      <c r="H44" s="1075">
        <f>'Battery Design'!H29</f>
        <v>20</v>
      </c>
      <c r="I44" s="1075">
        <f>'Battery Design'!I29</f>
        <v>20</v>
      </c>
      <c r="J44" s="1075">
        <f>'Battery Design'!J29</f>
        <v>20</v>
      </c>
      <c r="K44" s="1075">
        <f>'Battery Design'!K29</f>
        <v>20</v>
      </c>
      <c r="L44" s="1075">
        <f>'Battery Design'!L29</f>
        <v>20</v>
      </c>
      <c r="M44" s="1075">
        <f>'Battery Design'!M29</f>
        <v>20</v>
      </c>
      <c r="O44" s="478"/>
    </row>
    <row r="45" spans="1:15" ht="13" x14ac:dyDescent="0.3">
      <c r="A45" s="130"/>
      <c r="B45" s="478" t="s">
        <v>155</v>
      </c>
      <c r="C45" s="478"/>
      <c r="D45" s="478"/>
      <c r="E45" s="478"/>
      <c r="F45" s="478"/>
      <c r="G45" s="1072">
        <f ca="1">'Battery Design'!G359</f>
        <v>371.32048846307276</v>
      </c>
      <c r="H45" s="1072">
        <f ca="1">'Battery Design'!H359</f>
        <v>371.32048846307276</v>
      </c>
      <c r="I45" s="1072">
        <f ca="1">'Battery Design'!I359</f>
        <v>371.32048846307276</v>
      </c>
      <c r="J45" s="1072">
        <f ca="1">'Battery Design'!J359</f>
        <v>371.32048846307276</v>
      </c>
      <c r="K45" s="1072">
        <f ca="1">'Battery Design'!K359</f>
        <v>371.32048846307276</v>
      </c>
      <c r="L45" s="1072">
        <f ca="1">'Battery Design'!L359</f>
        <v>371.32048846307276</v>
      </c>
      <c r="M45" s="1072">
        <f ca="1">'Battery Design'!M359</f>
        <v>371.32048846307276</v>
      </c>
      <c r="O45" s="478"/>
    </row>
    <row r="46" spans="1:15" ht="13" x14ac:dyDescent="0.3">
      <c r="A46" s="130"/>
      <c r="B46" s="478" t="s">
        <v>156</v>
      </c>
      <c r="C46" s="478"/>
      <c r="D46" s="478"/>
      <c r="E46" s="478"/>
      <c r="F46" s="478"/>
      <c r="G46" s="1072">
        <f ca="1">'Battery Design'!G358</f>
        <v>366.68124488915322</v>
      </c>
      <c r="H46" s="1072">
        <f ca="1">'Battery Design'!H358</f>
        <v>366.68124488915322</v>
      </c>
      <c r="I46" s="1072">
        <f ca="1">'Battery Design'!I358</f>
        <v>367.11916387785027</v>
      </c>
      <c r="J46" s="1072">
        <f ca="1">'Battery Design'!J358</f>
        <v>367.65945476249624</v>
      </c>
      <c r="K46" s="1072">
        <f ca="1">'Battery Design'!K358</f>
        <v>368.28574818539863</v>
      </c>
      <c r="L46" s="1072">
        <f ca="1">'Battery Design'!L358</f>
        <v>369.03843276594796</v>
      </c>
      <c r="M46" s="1072">
        <f ca="1">'Battery Design'!M358</f>
        <v>370.03571135223439</v>
      </c>
      <c r="O46" s="478"/>
    </row>
    <row r="47" spans="1:15" x14ac:dyDescent="0.3">
      <c r="B47" s="478" t="s">
        <v>157</v>
      </c>
      <c r="C47" s="478"/>
      <c r="D47" s="478"/>
      <c r="E47" s="478"/>
      <c r="F47" s="478"/>
      <c r="G47" s="1072">
        <f ca="1">'Battery Design'!G464</f>
        <v>272.71642985239049</v>
      </c>
      <c r="H47" s="1072">
        <f ca="1">'Battery Design'!H464</f>
        <v>272.71642985239049</v>
      </c>
      <c r="I47" s="1072">
        <f ca="1">'Battery Design'!I464</f>
        <v>272.39111939487981</v>
      </c>
      <c r="J47" s="1072">
        <f ca="1">'Battery Design'!J464</f>
        <v>271.99082929772283</v>
      </c>
      <c r="K47" s="1072">
        <f ca="1">'Battery Design'!K464</f>
        <v>271.52829153100703</v>
      </c>
      <c r="L47" s="1072">
        <f ca="1">'Battery Design'!L464</f>
        <v>270.97448699448086</v>
      </c>
      <c r="M47" s="1072">
        <f ca="1">'Battery Design'!M464</f>
        <v>270.24418706661311</v>
      </c>
      <c r="O47" s="478"/>
    </row>
    <row r="48" spans="1:15" ht="13" x14ac:dyDescent="0.3">
      <c r="A48" s="130"/>
      <c r="B48" s="478" t="s">
        <v>158</v>
      </c>
      <c r="C48" s="478"/>
      <c r="D48" s="478"/>
      <c r="E48" s="478"/>
      <c r="F48" s="478"/>
      <c r="G48" s="1072">
        <f ca="1">G47*G46/1000</f>
        <v>99.999999999999972</v>
      </c>
      <c r="H48" s="1072">
        <f t="shared" ref="H48:M48" ca="1" si="5">H47*H46/1000</f>
        <v>99.999999999999972</v>
      </c>
      <c r="I48" s="1072">
        <f t="shared" ca="1" si="5"/>
        <v>99.999999999999957</v>
      </c>
      <c r="J48" s="1072">
        <f t="shared" ca="1" si="5"/>
        <v>99.999999999999957</v>
      </c>
      <c r="K48" s="1072">
        <f t="shared" ca="1" si="5"/>
        <v>99.999999999999957</v>
      </c>
      <c r="L48" s="1072">
        <f t="shared" ca="1" si="5"/>
        <v>99.999999999999957</v>
      </c>
      <c r="M48" s="1072">
        <f t="shared" ca="1" si="5"/>
        <v>100.00000000000048</v>
      </c>
      <c r="O48" s="478"/>
    </row>
    <row r="49" spans="1:15" ht="15.5" x14ac:dyDescent="0.3">
      <c r="A49" s="130"/>
      <c r="B49" s="478" t="s">
        <v>159</v>
      </c>
      <c r="C49" s="478"/>
      <c r="D49" s="478"/>
      <c r="E49" s="478"/>
      <c r="F49" s="478"/>
      <c r="G49" s="1071">
        <f ca="1">G48*('Battery Design'!G459/100)</f>
        <v>84.999999999999972</v>
      </c>
      <c r="H49" s="1071">
        <f ca="1">H48*('Battery Design'!H459/100)</f>
        <v>84.999999999999972</v>
      </c>
      <c r="I49" s="1071">
        <f ca="1">I48*('Battery Design'!I459/100)</f>
        <v>84.999999999999957</v>
      </c>
      <c r="J49" s="1071">
        <f ca="1">J48*('Battery Design'!J459/100)</f>
        <v>84.999999999999957</v>
      </c>
      <c r="K49" s="1071">
        <f ca="1">K48*('Battery Design'!K459/100)</f>
        <v>84.999999999999957</v>
      </c>
      <c r="L49" s="1071">
        <f ca="1">L48*('Battery Design'!L459/100)</f>
        <v>84.999999999999957</v>
      </c>
      <c r="M49" s="1071">
        <f ca="1">M48*('Battery Design'!M459/100)</f>
        <v>85.000000000000412</v>
      </c>
      <c r="O49" s="478"/>
    </row>
    <row r="50" spans="1:15" ht="13" x14ac:dyDescent="0.3">
      <c r="A50" s="130"/>
      <c r="B50" s="478" t="s">
        <v>160</v>
      </c>
      <c r="C50" s="478"/>
      <c r="D50" s="478"/>
      <c r="E50" s="478"/>
      <c r="F50" s="478"/>
      <c r="G50" s="1072">
        <f ca="1">'Battery Design'!G476</f>
        <v>480.27467992176258</v>
      </c>
      <c r="H50" s="1072">
        <f ca="1">'Battery Design'!H476</f>
        <v>480.27467992176258</v>
      </c>
      <c r="I50" s="1072">
        <f ca="1">'Battery Design'!I476</f>
        <v>525.15774318809815</v>
      </c>
      <c r="J50" s="1072">
        <f ca="1">'Battery Design'!J476</f>
        <v>593.83376160044793</v>
      </c>
      <c r="K50" s="1072">
        <f ca="1">'Battery Design'!K476</f>
        <v>700.21713621164781</v>
      </c>
      <c r="L50" s="1072">
        <f ca="1">'Battery Design'!L476</f>
        <v>893.31582663602194</v>
      </c>
      <c r="M50" s="1072">
        <f ca="1">'Battery Design'!M476</f>
        <v>1411.1752017052218</v>
      </c>
      <c r="O50" s="478"/>
    </row>
    <row r="51" spans="1:15" ht="13" x14ac:dyDescent="0.3">
      <c r="A51" s="130"/>
      <c r="B51" s="478" t="s">
        <v>161</v>
      </c>
      <c r="C51" s="478"/>
      <c r="D51" s="478"/>
      <c r="E51" s="478"/>
      <c r="F51" s="478"/>
      <c r="G51" s="1072">
        <f ca="1">'Battery Design'!G361</f>
        <v>299.99999999999977</v>
      </c>
      <c r="H51" s="1072">
        <f ca="1">'Battery Design'!H361</f>
        <v>299.99999999999977</v>
      </c>
      <c r="I51" s="1072">
        <f ca="1">'Battery Design'!I361</f>
        <v>300.00000000000006</v>
      </c>
      <c r="J51" s="1072">
        <f ca="1">'Battery Design'!J361</f>
        <v>300.00000000000017</v>
      </c>
      <c r="K51" s="1072">
        <f ca="1">'Battery Design'!K361</f>
        <v>299.99999999999983</v>
      </c>
      <c r="L51" s="1072">
        <f ca="1">'Battery Design'!L361</f>
        <v>300.00000000000006</v>
      </c>
      <c r="M51" s="1072">
        <f ca="1">'Battery Design'!M361</f>
        <v>299.99999999999915</v>
      </c>
      <c r="O51" s="478"/>
    </row>
    <row r="52" spans="1:15" ht="13" x14ac:dyDescent="0.3">
      <c r="A52" s="130"/>
      <c r="B52" s="478"/>
      <c r="C52" s="478"/>
      <c r="D52" s="478"/>
      <c r="E52" s="478"/>
      <c r="F52" s="478"/>
      <c r="G52" s="1072"/>
      <c r="H52" s="1072"/>
      <c r="I52" s="1072"/>
      <c r="J52" s="1072"/>
      <c r="K52" s="1072"/>
      <c r="L52" s="1072"/>
      <c r="M52" s="1072"/>
      <c r="O52" s="478"/>
    </row>
    <row r="53" spans="1:15" x14ac:dyDescent="0.3">
      <c r="A53" s="130"/>
      <c r="B53" s="664" t="s">
        <v>162</v>
      </c>
      <c r="G53" s="87"/>
      <c r="H53" s="87"/>
      <c r="I53" s="87"/>
      <c r="J53" s="87"/>
      <c r="K53" s="87"/>
      <c r="L53" s="87"/>
      <c r="M53" s="87"/>
      <c r="O53" s="478"/>
    </row>
    <row r="54" spans="1:15" ht="13" x14ac:dyDescent="0.3">
      <c r="A54" s="130"/>
      <c r="B54" s="353" t="s">
        <v>163</v>
      </c>
      <c r="G54" s="87">
        <f ca="1">'Battery Design'!G406</f>
        <v>2151.8917842490696</v>
      </c>
      <c r="H54" s="87">
        <f ca="1">'Battery Design'!H406</f>
        <v>2151.8917842490696</v>
      </c>
      <c r="I54" s="87">
        <f ca="1">'Battery Design'!I406</f>
        <v>2145.4883370495336</v>
      </c>
      <c r="J54" s="87">
        <f ca="1">'Battery Design'!J406</f>
        <v>2157.2715249111479</v>
      </c>
      <c r="K54" s="87">
        <f ca="1">'Battery Design'!K406</f>
        <v>2136.2895781958341</v>
      </c>
      <c r="L54" s="87">
        <f ca="1">'Battery Design'!L406</f>
        <v>2146.4724738105833</v>
      </c>
      <c r="M54" s="87">
        <f ca="1">'Battery Design'!M406</f>
        <v>2139.2047291165618</v>
      </c>
      <c r="O54" s="478"/>
    </row>
    <row r="55" spans="1:15" ht="13" x14ac:dyDescent="0.3">
      <c r="A55" s="130"/>
      <c r="B55" s="353" t="s">
        <v>164</v>
      </c>
      <c r="G55" s="87">
        <f ca="1">'Battery Design'!G407</f>
        <v>1206.2265431149503</v>
      </c>
      <c r="H55" s="87">
        <f ca="1">'Battery Design'!H407</f>
        <v>1206.2265431149503</v>
      </c>
      <c r="I55" s="87">
        <f ca="1">'Battery Design'!I407</f>
        <v>1210.3654687412456</v>
      </c>
      <c r="J55" s="87">
        <f ca="1">'Battery Design'!J407</f>
        <v>1214.6708064429542</v>
      </c>
      <c r="K55" s="87">
        <f ca="1">'Battery Design'!K407</f>
        <v>1226.2179396579152</v>
      </c>
      <c r="L55" s="87">
        <f ca="1">'Battery Design'!L407</f>
        <v>1243.5368665873896</v>
      </c>
      <c r="M55" s="87">
        <f ca="1">'Battery Design'!M407</f>
        <v>1305.2554542594539</v>
      </c>
      <c r="O55" s="478"/>
    </row>
    <row r="56" spans="1:15" ht="13" x14ac:dyDescent="0.3">
      <c r="A56" s="130"/>
      <c r="B56" s="353" t="s">
        <v>165</v>
      </c>
      <c r="G56" s="87">
        <f ca="1">'Battery Design'!G408</f>
        <v>111.94681098558664</v>
      </c>
      <c r="H56" s="87">
        <f ca="1">'Battery Design'!H408</f>
        <v>111.94681098558664</v>
      </c>
      <c r="I56" s="87">
        <f ca="1">'Battery Design'!I408</f>
        <v>112.34294903204086</v>
      </c>
      <c r="J56" s="87">
        <f ca="1">'Battery Design'!J408</f>
        <v>112.60746167095701</v>
      </c>
      <c r="K56" s="87">
        <f ca="1">'Battery Design'!K408</f>
        <v>113.73757834592625</v>
      </c>
      <c r="L56" s="87">
        <f ca="1">'Battery Design'!L408</f>
        <v>115.09935909179779</v>
      </c>
      <c r="M56" s="87">
        <f ca="1">'Battery Design'!M408</f>
        <v>120.30071668868865</v>
      </c>
    </row>
    <row r="57" spans="1:15" ht="13" x14ac:dyDescent="0.3">
      <c r="A57" s="130">
        <v>10</v>
      </c>
      <c r="B57" s="478" t="s">
        <v>166</v>
      </c>
      <c r="C57" s="478"/>
      <c r="D57" s="478"/>
      <c r="E57" s="478"/>
      <c r="F57" s="478"/>
      <c r="G57" s="1072">
        <f ca="1">'Battery Design'!G438</f>
        <v>294.19151558886949</v>
      </c>
      <c r="H57" s="1072">
        <f ca="1">'Battery Design'!H438</f>
        <v>294.19151558886949</v>
      </c>
      <c r="I57" s="1072">
        <f ca="1">'Battery Design'!I438</f>
        <v>295.34962825522098</v>
      </c>
      <c r="J57" s="1072">
        <f ca="1">'Battery Design'!J438</f>
        <v>298.68839842243108</v>
      </c>
      <c r="K57" s="1072">
        <f ca="1">'Battery Design'!K438</f>
        <v>301.55667460278181</v>
      </c>
      <c r="L57" s="1072">
        <f ca="1">'Battery Design'!L438</f>
        <v>310.83989128626871</v>
      </c>
      <c r="M57" s="1072">
        <f ca="1">'Battery Design'!M438</f>
        <v>339.51935059132722</v>
      </c>
    </row>
    <row r="58" spans="1:15" ht="13" x14ac:dyDescent="0.3">
      <c r="A58" s="130">
        <v>11</v>
      </c>
      <c r="B58" s="478" t="s">
        <v>167</v>
      </c>
      <c r="C58" s="478"/>
      <c r="D58" s="478"/>
      <c r="E58" s="478"/>
      <c r="F58" s="478"/>
      <c r="G58" s="1072">
        <f ca="1">'Battery Design'!G446</f>
        <v>488.72637525178504</v>
      </c>
      <c r="H58" s="1072">
        <f ca="1">'Battery Design'!H446</f>
        <v>488.72637525178504</v>
      </c>
      <c r="I58" s="1072">
        <f ca="1">'Battery Design'!I446</f>
        <v>492.05962388653103</v>
      </c>
      <c r="J58" s="1072">
        <f ca="1">'Battery Design'!J446</f>
        <v>498.55563481473871</v>
      </c>
      <c r="K58" s="1072">
        <f ca="1">'Battery Design'!K446</f>
        <v>507.26079571431472</v>
      </c>
      <c r="L58" s="1072">
        <f ca="1">'Battery Design'!L446</f>
        <v>527.48263801119629</v>
      </c>
      <c r="M58" s="1072">
        <f ca="1">'Battery Design'!M446</f>
        <v>593.86964355372754</v>
      </c>
      <c r="O58" s="478"/>
    </row>
    <row r="59" spans="1:15" ht="13" x14ac:dyDescent="0.3">
      <c r="A59" s="130"/>
      <c r="B59" s="478"/>
      <c r="C59" s="478"/>
      <c r="D59" s="478"/>
      <c r="E59" s="478"/>
      <c r="F59" s="478"/>
      <c r="G59" s="1074"/>
      <c r="H59" s="1074"/>
      <c r="I59" s="1074"/>
      <c r="J59" s="1074"/>
      <c r="K59" s="1074"/>
      <c r="L59" s="1074"/>
      <c r="M59" s="1074"/>
      <c r="O59" s="478"/>
    </row>
    <row r="60" spans="1:15" x14ac:dyDescent="0.3">
      <c r="A60" s="130"/>
      <c r="B60" s="664" t="s">
        <v>168</v>
      </c>
      <c r="C60" s="478"/>
      <c r="D60" s="478"/>
      <c r="E60" s="478"/>
      <c r="F60" s="478"/>
      <c r="G60" s="1074"/>
      <c r="H60" s="1074"/>
      <c r="I60" s="1074"/>
      <c r="J60" s="1074"/>
      <c r="K60" s="1074"/>
      <c r="L60" s="1074"/>
      <c r="M60" s="1074"/>
      <c r="O60" s="478"/>
    </row>
    <row r="61" spans="1:15" ht="13" x14ac:dyDescent="0.3">
      <c r="A61" s="130"/>
      <c r="B61" s="353" t="s">
        <v>169</v>
      </c>
      <c r="G61" s="93">
        <f t="shared" ref="G61:M61" ca="1" si="6">G50/G48</f>
        <v>4.8027467992176271</v>
      </c>
      <c r="H61" s="93">
        <f t="shared" ca="1" si="6"/>
        <v>4.8027467992176271</v>
      </c>
      <c r="I61" s="93">
        <f t="shared" ca="1" si="6"/>
        <v>5.2515774318809836</v>
      </c>
      <c r="J61" s="93">
        <f t="shared" ca="1" si="6"/>
        <v>5.9383376160044818</v>
      </c>
      <c r="K61" s="93">
        <f t="shared" ca="1" si="6"/>
        <v>7.0021713621164814</v>
      </c>
      <c r="L61" s="93">
        <f t="shared" ca="1" si="6"/>
        <v>8.9331582663602234</v>
      </c>
      <c r="M61" s="93">
        <f t="shared" ca="1" si="6"/>
        <v>14.111752017052149</v>
      </c>
    </row>
    <row r="62" spans="1:15" ht="13" x14ac:dyDescent="0.3">
      <c r="A62" s="130">
        <v>5</v>
      </c>
      <c r="B62" s="353" t="s">
        <v>170</v>
      </c>
      <c r="G62" s="93">
        <f t="shared" ref="G62:M62" ca="1" si="7">G51/G48</f>
        <v>2.9999999999999987</v>
      </c>
      <c r="H62" s="93">
        <f t="shared" ca="1" si="7"/>
        <v>2.9999999999999987</v>
      </c>
      <c r="I62" s="93">
        <f t="shared" ca="1" si="7"/>
        <v>3.0000000000000018</v>
      </c>
      <c r="J62" s="93">
        <f t="shared" ca="1" si="7"/>
        <v>3.0000000000000031</v>
      </c>
      <c r="K62" s="93">
        <f t="shared" ca="1" si="7"/>
        <v>2.9999999999999996</v>
      </c>
      <c r="L62" s="93">
        <f t="shared" ca="1" si="7"/>
        <v>3.0000000000000018</v>
      </c>
      <c r="M62" s="93">
        <f t="shared" ca="1" si="7"/>
        <v>2.9999999999999769</v>
      </c>
    </row>
    <row r="63" spans="1:15" ht="13" x14ac:dyDescent="0.3">
      <c r="A63" s="130">
        <v>6</v>
      </c>
      <c r="B63" s="478" t="s">
        <v>171</v>
      </c>
      <c r="C63" s="478"/>
      <c r="D63" s="478"/>
      <c r="E63" s="478"/>
      <c r="F63" s="478"/>
      <c r="G63" s="1072">
        <f t="shared" ref="G63:M63" ca="1" si="8">G48*1000/G57</f>
        <v>339.91462942034417</v>
      </c>
      <c r="H63" s="1072">
        <f t="shared" ca="1" si="8"/>
        <v>339.91462942034417</v>
      </c>
      <c r="I63" s="1072">
        <f t="shared" ca="1" si="8"/>
        <v>338.58177032674911</v>
      </c>
      <c r="J63" s="1072">
        <f t="shared" ca="1" si="8"/>
        <v>334.7970678746326</v>
      </c>
      <c r="K63" s="1072">
        <f t="shared" ca="1" si="8"/>
        <v>331.61262350343435</v>
      </c>
      <c r="L63" s="1072">
        <f t="shared" ca="1" si="8"/>
        <v>321.70903028628567</v>
      </c>
      <c r="M63" s="1072">
        <f t="shared" ca="1" si="8"/>
        <v>294.53402236377542</v>
      </c>
    </row>
    <row r="64" spans="1:15" ht="13" x14ac:dyDescent="0.3">
      <c r="A64" s="130">
        <v>7</v>
      </c>
      <c r="B64" s="478" t="s">
        <v>172</v>
      </c>
      <c r="C64" s="478"/>
      <c r="D64" s="478"/>
      <c r="E64" s="478"/>
      <c r="F64" s="478"/>
      <c r="G64" s="1072">
        <f t="shared" ref="G64:M64" ca="1" si="9">G48*1000/G58</f>
        <v>204.61347098052843</v>
      </c>
      <c r="H64" s="1072">
        <f t="shared" ca="1" si="9"/>
        <v>204.61347098052843</v>
      </c>
      <c r="I64" s="1072">
        <f t="shared" ca="1" si="9"/>
        <v>203.22740404943275</v>
      </c>
      <c r="J64" s="1072">
        <f t="shared" ca="1" si="9"/>
        <v>200.57941986185665</v>
      </c>
      <c r="K64" s="1072">
        <f t="shared" ca="1" si="9"/>
        <v>197.13725335146768</v>
      </c>
      <c r="L64" s="1072">
        <f t="shared" ca="1" si="9"/>
        <v>189.57969948932683</v>
      </c>
      <c r="M64" s="1072">
        <f t="shared" ca="1" si="9"/>
        <v>168.38712179595259</v>
      </c>
    </row>
    <row r="65" spans="1:13" ht="15.5" x14ac:dyDescent="0.3">
      <c r="A65" s="130"/>
      <c r="B65" s="478" t="s">
        <v>173</v>
      </c>
      <c r="C65" s="478"/>
      <c r="D65" s="478"/>
      <c r="E65" s="478"/>
      <c r="F65" s="478"/>
      <c r="G65" s="1072">
        <f t="shared" ref="G65:M65" ca="1" si="10">G49/G57*1000</f>
        <v>288.9274350072925</v>
      </c>
      <c r="H65" s="1072">
        <f t="shared" ca="1" si="10"/>
        <v>288.9274350072925</v>
      </c>
      <c r="I65" s="1072">
        <f t="shared" ca="1" si="10"/>
        <v>287.79450477773673</v>
      </c>
      <c r="J65" s="1072">
        <f t="shared" ca="1" si="10"/>
        <v>284.57750769343767</v>
      </c>
      <c r="K65" s="1072">
        <f t="shared" ca="1" si="10"/>
        <v>281.87072997791915</v>
      </c>
      <c r="L65" s="1072">
        <f t="shared" ca="1" si="10"/>
        <v>273.45267574334275</v>
      </c>
      <c r="M65" s="1072">
        <f t="shared" ca="1" si="10"/>
        <v>250.35391900920911</v>
      </c>
    </row>
    <row r="66" spans="1:13" ht="15.5" x14ac:dyDescent="0.3">
      <c r="A66" s="130"/>
      <c r="B66" s="478" t="s">
        <v>174</v>
      </c>
      <c r="C66" s="478"/>
      <c r="D66" s="478"/>
      <c r="E66" s="478"/>
      <c r="F66" s="478"/>
      <c r="G66" s="1072">
        <f t="shared" ref="G66:M66" ca="1" si="11">G49/G58*1000</f>
        <v>173.92145033344917</v>
      </c>
      <c r="H66" s="1072">
        <f t="shared" ca="1" si="11"/>
        <v>173.92145033344917</v>
      </c>
      <c r="I66" s="1072">
        <f t="shared" ca="1" si="11"/>
        <v>172.74329344201783</v>
      </c>
      <c r="J66" s="1072">
        <f t="shared" ca="1" si="11"/>
        <v>170.49250688257814</v>
      </c>
      <c r="K66" s="1072">
        <f t="shared" ca="1" si="11"/>
        <v>167.56666534874753</v>
      </c>
      <c r="L66" s="1072">
        <f t="shared" ca="1" si="11"/>
        <v>161.14274456592779</v>
      </c>
      <c r="M66" s="1072">
        <f t="shared" ca="1" si="11"/>
        <v>143.12905352655972</v>
      </c>
    </row>
    <row r="67" spans="1:13" ht="13" x14ac:dyDescent="0.3">
      <c r="A67" s="130"/>
    </row>
    <row r="68" spans="1:13" ht="15.5" x14ac:dyDescent="0.35">
      <c r="A68" s="130"/>
      <c r="B68" s="78" t="s">
        <v>175</v>
      </c>
    </row>
    <row r="69" spans="1:13" x14ac:dyDescent="0.3">
      <c r="A69" s="130"/>
      <c r="B69" s="664" t="s">
        <v>176</v>
      </c>
    </row>
    <row r="70" spans="1:13" ht="13" x14ac:dyDescent="0.3">
      <c r="A70" s="130"/>
      <c r="B70" s="478" t="s">
        <v>177</v>
      </c>
      <c r="G70" s="87">
        <f>'Battery Design'!G25</f>
        <v>20</v>
      </c>
      <c r="H70" s="87">
        <f>'Battery Design'!H25</f>
        <v>20</v>
      </c>
      <c r="I70" s="87">
        <f>'Battery Design'!I25</f>
        <v>20</v>
      </c>
      <c r="J70" s="87">
        <f>'Battery Design'!J25</f>
        <v>20</v>
      </c>
      <c r="K70" s="87">
        <f>'Battery Design'!K25</f>
        <v>20</v>
      </c>
      <c r="L70" s="87">
        <f>'Battery Design'!L25</f>
        <v>20</v>
      </c>
      <c r="M70" s="87">
        <f>'Battery Design'!M25</f>
        <v>20</v>
      </c>
    </row>
    <row r="71" spans="1:13" ht="13" x14ac:dyDescent="0.3">
      <c r="A71" s="130"/>
      <c r="B71" s="478" t="s">
        <v>178</v>
      </c>
      <c r="G71" s="84">
        <f ca="1">'Battery Design'!G149*'Battery Design'!G25/'Battery Design'!G26</f>
        <v>37.132048846307278</v>
      </c>
      <c r="H71" s="84">
        <f ca="1">'Battery Design'!H149*'Battery Design'!H25/'Battery Design'!H26</f>
        <v>37.132048846307278</v>
      </c>
      <c r="I71" s="84">
        <f ca="1">'Battery Design'!I149*'Battery Design'!I25/'Battery Design'!I26</f>
        <v>37.132048846307278</v>
      </c>
      <c r="J71" s="84">
        <f ca="1">'Battery Design'!J149*'Battery Design'!J25/'Battery Design'!J26</f>
        <v>37.132048846307278</v>
      </c>
      <c r="K71" s="84">
        <f ca="1">'Battery Design'!K149*'Battery Design'!K25/'Battery Design'!K26</f>
        <v>37.132048846307278</v>
      </c>
      <c r="L71" s="84">
        <f ca="1">'Battery Design'!L149*'Battery Design'!L25/'Battery Design'!L26</f>
        <v>37.132048846307278</v>
      </c>
      <c r="M71" s="84">
        <f ca="1">'Battery Design'!M149*'Battery Design'!M25/'Battery Design'!M26</f>
        <v>37.132048846307278</v>
      </c>
    </row>
    <row r="72" spans="1:13" ht="13" x14ac:dyDescent="0.3">
      <c r="A72" s="130"/>
      <c r="B72" s="478" t="s">
        <v>179</v>
      </c>
      <c r="G72" s="84">
        <f ca="1">G46/('Battery Design'!G29/'Battery Design'!G30)</f>
        <v>36.668124488915325</v>
      </c>
      <c r="H72" s="84">
        <f ca="1">H46/('Battery Design'!H29/'Battery Design'!H30)</f>
        <v>36.668124488915325</v>
      </c>
      <c r="I72" s="84">
        <f ca="1">I46/('Battery Design'!I29/'Battery Design'!I30)</f>
        <v>36.711916387785024</v>
      </c>
      <c r="J72" s="84">
        <f ca="1">J46/('Battery Design'!J29/'Battery Design'!J30)</f>
        <v>36.765945476249627</v>
      </c>
      <c r="K72" s="84">
        <f ca="1">K46/('Battery Design'!K29/'Battery Design'!K30)</f>
        <v>36.828574818539863</v>
      </c>
      <c r="L72" s="84">
        <f ca="1">L46/('Battery Design'!L29/'Battery Design'!L30)</f>
        <v>36.903843276594799</v>
      </c>
      <c r="M72" s="84">
        <f ca="1">M46/('Battery Design'!M29/'Battery Design'!M30)</f>
        <v>37.003571135223439</v>
      </c>
    </row>
    <row r="73" spans="1:13" ht="13" x14ac:dyDescent="0.3">
      <c r="A73" s="130"/>
      <c r="B73" s="478" t="s">
        <v>180</v>
      </c>
      <c r="G73" s="87">
        <f ca="1">'Battery Design'!G310</f>
        <v>136.35821492619525</v>
      </c>
      <c r="H73" s="87">
        <f ca="1">'Battery Design'!H310</f>
        <v>136.35821492619525</v>
      </c>
      <c r="I73" s="87">
        <f ca="1">'Battery Design'!I310</f>
        <v>136.1955596974399</v>
      </c>
      <c r="J73" s="87">
        <f ca="1">'Battery Design'!J310</f>
        <v>135.99541464886141</v>
      </c>
      <c r="K73" s="87">
        <f ca="1">'Battery Design'!K310</f>
        <v>135.76414576550351</v>
      </c>
      <c r="L73" s="87">
        <f ca="1">'Battery Design'!L310</f>
        <v>135.48724349724043</v>
      </c>
      <c r="M73" s="87">
        <f ca="1">'Battery Design'!M310</f>
        <v>135.12209353330655</v>
      </c>
    </row>
    <row r="74" spans="1:13" ht="13" x14ac:dyDescent="0.3">
      <c r="A74" s="130"/>
      <c r="B74" s="478" t="s">
        <v>181</v>
      </c>
      <c r="G74" s="84">
        <f ca="1">G73*G72/1000</f>
        <v>4.9999999999999991</v>
      </c>
      <c r="H74" s="84">
        <f t="shared" ref="H74:M74" ca="1" si="12">H73*H72/1000</f>
        <v>4.9999999999999991</v>
      </c>
      <c r="I74" s="84">
        <f t="shared" ca="1" si="12"/>
        <v>4.9999999999999973</v>
      </c>
      <c r="J74" s="84">
        <f t="shared" ca="1" si="12"/>
        <v>4.9999999999999982</v>
      </c>
      <c r="K74" s="84">
        <f t="shared" ca="1" si="12"/>
        <v>4.9999999999999982</v>
      </c>
      <c r="L74" s="84">
        <f t="shared" ca="1" si="12"/>
        <v>4.9999999999999982</v>
      </c>
      <c r="M74" s="84">
        <f t="shared" ca="1" si="12"/>
        <v>5.000000000000024</v>
      </c>
    </row>
    <row r="75" spans="1:13" ht="15.5" x14ac:dyDescent="0.3">
      <c r="A75" s="130"/>
      <c r="B75" s="478" t="s">
        <v>182</v>
      </c>
      <c r="G75" s="93">
        <f ca="1">G74*Dashboard!$I$34/100</f>
        <v>4.2499999999999991</v>
      </c>
      <c r="H75" s="93">
        <f ca="1">H74*Dashboard!$I$34/100</f>
        <v>4.2499999999999991</v>
      </c>
      <c r="I75" s="93">
        <f ca="1">I74*Dashboard!$I$34/100</f>
        <v>4.2499999999999973</v>
      </c>
      <c r="J75" s="93">
        <f ca="1">J74*Dashboard!$I$34/100</f>
        <v>4.2499999999999982</v>
      </c>
      <c r="K75" s="93">
        <f ca="1">K74*Dashboard!$I$34/100</f>
        <v>4.2499999999999982</v>
      </c>
      <c r="L75" s="93">
        <f ca="1">L74*Dashboard!$I$34/100</f>
        <v>4.2499999999999982</v>
      </c>
      <c r="M75" s="93">
        <f ca="1">M74*Dashboard!$I$34/100</f>
        <v>4.2500000000000204</v>
      </c>
    </row>
    <row r="76" spans="1:13" ht="13" x14ac:dyDescent="0.3">
      <c r="A76" s="130"/>
      <c r="B76" s="478" t="s">
        <v>183</v>
      </c>
      <c r="G76" s="84">
        <f ca="1">'Battery Design'!G476/'Battery Design'!G29</f>
        <v>24.013733996088128</v>
      </c>
      <c r="H76" s="84">
        <f ca="1">'Battery Design'!H476/'Battery Design'!H29</f>
        <v>24.013733996088128</v>
      </c>
      <c r="I76" s="84">
        <f ca="1">'Battery Design'!I476/'Battery Design'!I29</f>
        <v>26.257887159404909</v>
      </c>
      <c r="J76" s="84">
        <f ca="1">'Battery Design'!J476/'Battery Design'!J29</f>
        <v>29.691688080022395</v>
      </c>
      <c r="K76" s="84">
        <f ca="1">'Battery Design'!K476/'Battery Design'!K29</f>
        <v>35.010856810582389</v>
      </c>
      <c r="L76" s="84">
        <f ca="1">'Battery Design'!L476/'Battery Design'!L29</f>
        <v>44.665791331801096</v>
      </c>
      <c r="M76" s="84">
        <f ca="1">'Battery Design'!M476/'Battery Design'!M29</f>
        <v>70.558760085261085</v>
      </c>
    </row>
    <row r="77" spans="1:13" ht="13" x14ac:dyDescent="0.3">
      <c r="A77" s="130"/>
      <c r="B77" s="478" t="s">
        <v>184</v>
      </c>
      <c r="G77" s="174">
        <f>'Battery Design'!G22/'Battery Design'!G29</f>
        <v>15</v>
      </c>
      <c r="H77" s="174">
        <f>'Battery Design'!H22/'Battery Design'!H29</f>
        <v>15</v>
      </c>
      <c r="I77" s="174">
        <f>'Battery Design'!I22/'Battery Design'!I29</f>
        <v>15</v>
      </c>
      <c r="J77" s="174">
        <f>'Battery Design'!J22/'Battery Design'!J29</f>
        <v>15</v>
      </c>
      <c r="K77" s="174">
        <f>'Battery Design'!K22/'Battery Design'!K29</f>
        <v>15</v>
      </c>
      <c r="L77" s="174">
        <f>'Battery Design'!L22/'Battery Design'!L29</f>
        <v>15</v>
      </c>
      <c r="M77" s="174">
        <f>'Battery Design'!M22/'Battery Design'!M29</f>
        <v>15</v>
      </c>
    </row>
    <row r="78" spans="1:13" ht="13" x14ac:dyDescent="0.3">
      <c r="A78" s="130"/>
      <c r="B78" s="478"/>
    </row>
    <row r="79" spans="1:13" x14ac:dyDescent="0.3">
      <c r="A79" s="130"/>
      <c r="B79" s="664" t="s">
        <v>185</v>
      </c>
    </row>
    <row r="80" spans="1:13" ht="13" x14ac:dyDescent="0.3">
      <c r="A80" s="130"/>
      <c r="B80" s="353" t="s">
        <v>186</v>
      </c>
      <c r="G80" s="134">
        <f ca="1">'Battery Design'!G347</f>
        <v>281.30663577873759</v>
      </c>
      <c r="H80" s="134">
        <f ca="1">'Battery Design'!H347</f>
        <v>281.30663577873759</v>
      </c>
      <c r="I80" s="134">
        <f ca="1">'Battery Design'!I347</f>
        <v>282.34136718531141</v>
      </c>
      <c r="J80" s="134">
        <f ca="1">'Battery Design'!J347</f>
        <v>283.41770161073856</v>
      </c>
      <c r="K80" s="134">
        <f ca="1">'Battery Design'!K347</f>
        <v>286.30448491447879</v>
      </c>
      <c r="L80" s="134">
        <f ca="1">'Battery Design'!L347</f>
        <v>290.63421664684739</v>
      </c>
      <c r="M80" s="134">
        <f ca="1">'Battery Design'!M347</f>
        <v>306.06386356486348</v>
      </c>
    </row>
    <row r="81" spans="1:13" ht="13" x14ac:dyDescent="0.3">
      <c r="A81" s="130"/>
      <c r="B81" s="353" t="s">
        <v>187</v>
      </c>
      <c r="G81" s="134">
        <f ca="1">'Battery Design'!G348</f>
        <v>410.81835684981388</v>
      </c>
      <c r="H81" s="134">
        <f ca="1">'Battery Design'!H348</f>
        <v>410.81835684981388</v>
      </c>
      <c r="I81" s="134">
        <f ca="1">'Battery Design'!I348</f>
        <v>409.5376674099067</v>
      </c>
      <c r="J81" s="134">
        <f ca="1">'Battery Design'!J348</f>
        <v>411.89430498222953</v>
      </c>
      <c r="K81" s="134">
        <f ca="1">'Battery Design'!K348</f>
        <v>407.69791563916675</v>
      </c>
      <c r="L81" s="134">
        <f ca="1">'Battery Design'!L348</f>
        <v>409.73449476211664</v>
      </c>
      <c r="M81" s="134">
        <f ca="1">'Battery Design'!M348</f>
        <v>408.28094582331227</v>
      </c>
    </row>
    <row r="82" spans="1:13" ht="13" x14ac:dyDescent="0.3">
      <c r="A82" s="130"/>
      <c r="B82" s="353" t="s">
        <v>188</v>
      </c>
      <c r="G82" s="134">
        <f ca="1">'Battery Design'!G349</f>
        <v>71.746810985586635</v>
      </c>
      <c r="H82" s="134">
        <f ca="1">'Battery Design'!H349</f>
        <v>71.746810985586635</v>
      </c>
      <c r="I82" s="134">
        <f ca="1">'Battery Design'!I349</f>
        <v>72.14294903204086</v>
      </c>
      <c r="J82" s="134">
        <f ca="1">'Battery Design'!J349</f>
        <v>72.407461670957005</v>
      </c>
      <c r="K82" s="134">
        <f ca="1">'Battery Design'!K349</f>
        <v>73.537578345926249</v>
      </c>
      <c r="L82" s="134">
        <f ca="1">'Battery Design'!L349</f>
        <v>74.899359091797791</v>
      </c>
      <c r="M82" s="134">
        <f ca="1">'Battery Design'!M349</f>
        <v>80.100716688688649</v>
      </c>
    </row>
    <row r="83" spans="1:13" ht="13" x14ac:dyDescent="0.3">
      <c r="A83" s="130"/>
      <c r="B83" s="478" t="s">
        <v>189</v>
      </c>
      <c r="G83" s="1077">
        <f ca="1">'Battery Design'!G350</f>
        <v>8.2914869275865648</v>
      </c>
      <c r="H83" s="1077">
        <f ca="1">'Battery Design'!H350</f>
        <v>8.2914869275865648</v>
      </c>
      <c r="I83" s="1077">
        <f ca="1">'Battery Design'!I350</f>
        <v>8.3418477093577827</v>
      </c>
      <c r="J83" s="1077">
        <f ca="1">'Battery Design'!J350</f>
        <v>8.4527121966303085</v>
      </c>
      <c r="K83" s="1077">
        <f ca="1">'Battery Design'!K350</f>
        <v>8.5837283780282227</v>
      </c>
      <c r="L83" s="1077">
        <f ca="1">'Battery Design'!L350</f>
        <v>8.9192301863024017</v>
      </c>
      <c r="M83" s="1077">
        <f ca="1">'Battery Design'!M350</f>
        <v>10.009389057707685</v>
      </c>
    </row>
    <row r="84" spans="1:13" ht="13" x14ac:dyDescent="0.3">
      <c r="A84" s="130"/>
      <c r="B84" s="478" t="s">
        <v>190</v>
      </c>
      <c r="G84" s="1077">
        <f ca="1">G83*G44</f>
        <v>165.82973855173128</v>
      </c>
      <c r="H84" s="1077">
        <f t="shared" ref="H84:M84" ca="1" si="13">H83*H44</f>
        <v>165.82973855173128</v>
      </c>
      <c r="I84" s="1077">
        <f t="shared" ca="1" si="13"/>
        <v>166.83695418715564</v>
      </c>
      <c r="J84" s="1077">
        <f t="shared" ca="1" si="13"/>
        <v>169.05424393260617</v>
      </c>
      <c r="K84" s="1077">
        <f t="shared" ca="1" si="13"/>
        <v>171.67456756056447</v>
      </c>
      <c r="L84" s="1077">
        <f t="shared" ca="1" si="13"/>
        <v>178.38460372604803</v>
      </c>
      <c r="M84" s="1077">
        <f t="shared" ca="1" si="13"/>
        <v>200.1877811541537</v>
      </c>
    </row>
    <row r="85" spans="1:13" ht="13" x14ac:dyDescent="0.3">
      <c r="A85" s="130"/>
      <c r="B85" s="478" t="s">
        <v>191</v>
      </c>
      <c r="G85" s="463">
        <f ca="1">'Battery Design'!G351</f>
        <v>16.865533059203628</v>
      </c>
      <c r="H85" s="463">
        <f ca="1">'Battery Design'!H351</f>
        <v>16.865533059203628</v>
      </c>
      <c r="I85" s="463">
        <f ca="1">'Battery Design'!I351</f>
        <v>17.023352317048847</v>
      </c>
      <c r="J85" s="463">
        <f ca="1">'Battery Design'!J351</f>
        <v>17.28676460426567</v>
      </c>
      <c r="K85" s="463">
        <f ca="1">'Battery Design'!K351</f>
        <v>17.706761933287698</v>
      </c>
      <c r="L85" s="463">
        <f ca="1">'Battery Design'!L351</f>
        <v>18.575883405210778</v>
      </c>
      <c r="M85" s="463">
        <f ca="1">'Battery Design'!M351</f>
        <v>21.514128593591003</v>
      </c>
    </row>
    <row r="86" spans="1:13" ht="13" x14ac:dyDescent="0.3">
      <c r="A86" s="130"/>
      <c r="B86" s="478" t="s">
        <v>192</v>
      </c>
      <c r="G86" s="463"/>
      <c r="H86" s="463"/>
      <c r="I86" s="463"/>
      <c r="J86" s="463"/>
      <c r="K86" s="463"/>
      <c r="L86" s="463"/>
      <c r="M86" s="463"/>
    </row>
    <row r="87" spans="1:13" ht="13" x14ac:dyDescent="0.3">
      <c r="A87" s="130"/>
      <c r="B87" s="478"/>
    </row>
    <row r="88" spans="1:13" x14ac:dyDescent="0.3">
      <c r="A88" s="130"/>
      <c r="B88" s="664" t="s">
        <v>193</v>
      </c>
    </row>
    <row r="89" spans="1:13" ht="13" x14ac:dyDescent="0.3">
      <c r="A89" s="130"/>
      <c r="B89" s="478" t="s">
        <v>194</v>
      </c>
      <c r="G89" s="87">
        <f t="shared" ref="G89:M89" ca="1" si="14">G74/G83*1000</f>
        <v>603.02814726325198</v>
      </c>
      <c r="H89" s="87">
        <f t="shared" ca="1" si="14"/>
        <v>603.02814726325198</v>
      </c>
      <c r="I89" s="87">
        <f t="shared" ca="1" si="14"/>
        <v>599.38759064026772</v>
      </c>
      <c r="J89" s="87">
        <f t="shared" ca="1" si="14"/>
        <v>591.52611418536867</v>
      </c>
      <c r="K89" s="87">
        <f t="shared" ca="1" si="14"/>
        <v>582.49746261758492</v>
      </c>
      <c r="L89" s="87">
        <f t="shared" ca="1" si="14"/>
        <v>560.58649631878404</v>
      </c>
      <c r="M89" s="87">
        <f t="shared" ca="1" si="14"/>
        <v>499.53098747318614</v>
      </c>
    </row>
    <row r="90" spans="1:13" ht="13" x14ac:dyDescent="0.3">
      <c r="A90" s="130"/>
      <c r="B90" s="478" t="s">
        <v>195</v>
      </c>
      <c r="G90" s="87">
        <f t="shared" ref="G90:M90" ca="1" si="15">G74/G85*1000</f>
        <v>296.46261297809781</v>
      </c>
      <c r="H90" s="87">
        <f t="shared" ca="1" si="15"/>
        <v>296.46261297809781</v>
      </c>
      <c r="I90" s="87">
        <f t="shared" ca="1" si="15"/>
        <v>293.71418195889123</v>
      </c>
      <c r="J90" s="87">
        <f t="shared" ca="1" si="15"/>
        <v>289.23862356326651</v>
      </c>
      <c r="K90" s="87">
        <f t="shared" ca="1" si="15"/>
        <v>282.37799880283507</v>
      </c>
      <c r="L90" s="87">
        <f t="shared" ca="1" si="15"/>
        <v>269.16620280882216</v>
      </c>
      <c r="M90" s="87">
        <f t="shared" ca="1" si="15"/>
        <v>232.40541573640633</v>
      </c>
    </row>
    <row r="91" spans="1:13" ht="15.5" x14ac:dyDescent="0.3">
      <c r="A91" s="130"/>
      <c r="B91" s="478" t="s">
        <v>196</v>
      </c>
      <c r="G91" s="87">
        <f t="shared" ref="G91:M91" ca="1" si="16">G75/G83*1000</f>
        <v>512.57392517376411</v>
      </c>
      <c r="H91" s="87">
        <f t="shared" ca="1" si="16"/>
        <v>512.57392517376411</v>
      </c>
      <c r="I91" s="87">
        <f t="shared" ca="1" si="16"/>
        <v>509.47945204422751</v>
      </c>
      <c r="J91" s="87">
        <f t="shared" ca="1" si="16"/>
        <v>502.79719705756332</v>
      </c>
      <c r="K91" s="87">
        <f t="shared" ca="1" si="16"/>
        <v>495.12284322494719</v>
      </c>
      <c r="L91" s="87">
        <f t="shared" ca="1" si="16"/>
        <v>476.49852187096639</v>
      </c>
      <c r="M91" s="87">
        <f t="shared" ca="1" si="16"/>
        <v>424.60133935220824</v>
      </c>
    </row>
    <row r="92" spans="1:13" ht="15.5" x14ac:dyDescent="0.3">
      <c r="A92" s="130"/>
      <c r="B92" s="478" t="s">
        <v>197</v>
      </c>
      <c r="G92" s="87">
        <f t="shared" ref="G92:M92" ca="1" si="17">G75/G85*1000</f>
        <v>251.99322103138311</v>
      </c>
      <c r="H92" s="87">
        <f t="shared" ca="1" si="17"/>
        <v>251.99322103138311</v>
      </c>
      <c r="I92" s="87">
        <f t="shared" ca="1" si="17"/>
        <v>249.6570546650575</v>
      </c>
      <c r="J92" s="87">
        <f t="shared" ca="1" si="17"/>
        <v>245.85283002877654</v>
      </c>
      <c r="K92" s="87">
        <f t="shared" ca="1" si="17"/>
        <v>240.02129898240975</v>
      </c>
      <c r="L92" s="87">
        <f t="shared" ca="1" si="17"/>
        <v>228.79127238749882</v>
      </c>
      <c r="M92" s="87">
        <f t="shared" ca="1" si="17"/>
        <v>197.54460337594537</v>
      </c>
    </row>
    <row r="93" spans="1:13" ht="13" x14ac:dyDescent="0.3">
      <c r="A93" s="130"/>
    </row>
    <row r="94" spans="1:13" ht="15.5" x14ac:dyDescent="0.35">
      <c r="A94" s="130"/>
      <c r="B94" s="27" t="s">
        <v>198</v>
      </c>
    </row>
    <row r="95" spans="1:13" x14ac:dyDescent="0.3">
      <c r="A95" s="130"/>
      <c r="B95" s="664" t="s">
        <v>199</v>
      </c>
    </row>
    <row r="96" spans="1:13" ht="13" x14ac:dyDescent="0.3">
      <c r="A96" s="130"/>
      <c r="B96" s="61" t="s">
        <v>200</v>
      </c>
      <c r="G96" s="93">
        <f ca="1">'Battery Design'!G149</f>
        <v>3.7132048846307275</v>
      </c>
      <c r="H96" s="93">
        <f ca="1">'Battery Design'!H149</f>
        <v>3.7132048846307275</v>
      </c>
      <c r="I96" s="93">
        <f ca="1">'Battery Design'!I149</f>
        <v>3.7132048846307275</v>
      </c>
      <c r="J96" s="93">
        <f ca="1">'Battery Design'!J149</f>
        <v>3.7132048846307275</v>
      </c>
      <c r="K96" s="93">
        <f ca="1">'Battery Design'!K149</f>
        <v>3.7132048846307275</v>
      </c>
      <c r="L96" s="93">
        <f ca="1">'Battery Design'!L149</f>
        <v>3.7132048846307275</v>
      </c>
      <c r="M96" s="93">
        <f ca="1">'Battery Design'!M149</f>
        <v>3.7132048846307275</v>
      </c>
    </row>
    <row r="97" spans="1:13" ht="13" x14ac:dyDescent="0.3">
      <c r="A97" s="130">
        <v>13</v>
      </c>
      <c r="B97" s="478" t="s">
        <v>201</v>
      </c>
      <c r="G97" s="93">
        <f ca="1">G72/('Battery Design'!G25/'Battery Design'!G26)</f>
        <v>3.6668124488915326</v>
      </c>
      <c r="H97" s="93">
        <f ca="1">H72/('Battery Design'!H25/'Battery Design'!H26)</f>
        <v>3.6668124488915326</v>
      </c>
      <c r="I97" s="93">
        <f ca="1">I72/('Battery Design'!I25/'Battery Design'!I26)</f>
        <v>3.6711916387785024</v>
      </c>
      <c r="J97" s="93">
        <f ca="1">J72/('Battery Design'!J25/'Battery Design'!J26)</f>
        <v>3.6765945476249628</v>
      </c>
      <c r="K97" s="93">
        <f ca="1">K72/('Battery Design'!K25/'Battery Design'!K26)</f>
        <v>3.6828574818539863</v>
      </c>
      <c r="L97" s="93">
        <f ca="1">L72/('Battery Design'!L25/'Battery Design'!L26)</f>
        <v>3.6903843276594799</v>
      </c>
      <c r="M97" s="93">
        <f ca="1">M72/('Battery Design'!M25/'Battery Design'!M26)</f>
        <v>3.7003571135223439</v>
      </c>
    </row>
    <row r="98" spans="1:13" ht="13" x14ac:dyDescent="0.3">
      <c r="A98" s="130">
        <v>12</v>
      </c>
      <c r="B98" s="100" t="s">
        <v>202</v>
      </c>
      <c r="C98" s="100"/>
      <c r="D98" s="100"/>
      <c r="E98" s="100"/>
      <c r="F98" s="100"/>
      <c r="G98" s="658">
        <f ca="1">'Battery Design'!G35</f>
        <v>68.179107463097623</v>
      </c>
      <c r="H98" s="658">
        <f ca="1">'Battery Design'!H35</f>
        <v>68.179107463097623</v>
      </c>
      <c r="I98" s="658">
        <f ca="1">'Battery Design'!I35</f>
        <v>68.097779848719952</v>
      </c>
      <c r="J98" s="658">
        <f ca="1">'Battery Design'!J35</f>
        <v>67.997707324430706</v>
      </c>
      <c r="K98" s="658">
        <f ca="1">'Battery Design'!K35</f>
        <v>67.882072882751757</v>
      </c>
      <c r="L98" s="658">
        <f ca="1">'Battery Design'!L35</f>
        <v>67.743621748620214</v>
      </c>
      <c r="M98" s="658">
        <f ca="1">'Battery Design'!M35</f>
        <v>67.561046766653277</v>
      </c>
    </row>
    <row r="99" spans="1:13" ht="13" x14ac:dyDescent="0.3">
      <c r="A99" s="130"/>
      <c r="B99" s="353" t="s">
        <v>203</v>
      </c>
      <c r="G99" s="101">
        <f ca="1">G97*G98/1000</f>
        <v>0.24999999999999997</v>
      </c>
      <c r="H99" s="101">
        <f t="shared" ref="H99:M99" ca="1" si="18">H97*H98/1000</f>
        <v>0.24999999999999997</v>
      </c>
      <c r="I99" s="101">
        <f t="shared" ca="1" si="18"/>
        <v>0.24999999999999989</v>
      </c>
      <c r="J99" s="101">
        <f t="shared" ca="1" si="18"/>
        <v>0.24999999999999994</v>
      </c>
      <c r="K99" s="101">
        <f t="shared" ca="1" si="18"/>
        <v>0.24999999999999992</v>
      </c>
      <c r="L99" s="101">
        <f t="shared" ca="1" si="18"/>
        <v>0.24999999999999992</v>
      </c>
      <c r="M99" s="101">
        <f t="shared" ca="1" si="18"/>
        <v>0.25000000000000122</v>
      </c>
    </row>
    <row r="100" spans="1:13" ht="15.5" x14ac:dyDescent="0.4">
      <c r="A100" s="130"/>
      <c r="B100" s="353" t="s">
        <v>204</v>
      </c>
      <c r="G100" s="101">
        <f ca="1">G99*Dashboard!$I$34/100</f>
        <v>0.21249999999999997</v>
      </c>
      <c r="H100" s="101">
        <f ca="1">H99*Dashboard!$I$34/100</f>
        <v>0.21249999999999997</v>
      </c>
      <c r="I100" s="101">
        <f ca="1">I99*Dashboard!$I$34/100</f>
        <v>0.21249999999999988</v>
      </c>
      <c r="J100" s="101">
        <f ca="1">J99*Dashboard!$I$34/100</f>
        <v>0.21249999999999997</v>
      </c>
      <c r="K100" s="101">
        <f ca="1">K99*Dashboard!$I$34/100</f>
        <v>0.21249999999999994</v>
      </c>
      <c r="L100" s="101">
        <f ca="1">L99*Dashboard!$I$34/100</f>
        <v>0.21249999999999994</v>
      </c>
      <c r="M100" s="101">
        <f ca="1">M99*Dashboard!$I$34/100</f>
        <v>0.21250000000000102</v>
      </c>
    </row>
    <row r="101" spans="1:13" ht="13" x14ac:dyDescent="0.3">
      <c r="A101" s="130"/>
      <c r="B101" s="353" t="s">
        <v>205</v>
      </c>
      <c r="G101" s="84">
        <f t="shared" ref="G101:M101" ca="1" si="19">G76/G70</f>
        <v>1.2006866998044063</v>
      </c>
      <c r="H101" s="84">
        <f t="shared" ca="1" si="19"/>
        <v>1.2006866998044063</v>
      </c>
      <c r="I101" s="84">
        <f t="shared" ca="1" si="19"/>
        <v>1.3128943579702455</v>
      </c>
      <c r="J101" s="84">
        <f t="shared" ca="1" si="19"/>
        <v>1.4845844040011198</v>
      </c>
      <c r="K101" s="84">
        <f t="shared" ca="1" si="19"/>
        <v>1.7505428405291195</v>
      </c>
      <c r="L101" s="84">
        <f t="shared" ca="1" si="19"/>
        <v>2.233289566590055</v>
      </c>
      <c r="M101" s="84">
        <f t="shared" ca="1" si="19"/>
        <v>3.5279380042630542</v>
      </c>
    </row>
    <row r="102" spans="1:13" ht="13" x14ac:dyDescent="0.3">
      <c r="A102" s="130"/>
      <c r="B102" s="353" t="s">
        <v>206</v>
      </c>
      <c r="G102" s="84">
        <f t="shared" ref="G102:M102" si="20">G77/G70</f>
        <v>0.75</v>
      </c>
      <c r="H102" s="84">
        <f t="shared" si="20"/>
        <v>0.75</v>
      </c>
      <c r="I102" s="84">
        <f t="shared" si="20"/>
        <v>0.75</v>
      </c>
      <c r="J102" s="84">
        <f t="shared" si="20"/>
        <v>0.75</v>
      </c>
      <c r="K102" s="84">
        <f t="shared" si="20"/>
        <v>0.75</v>
      </c>
      <c r="L102" s="84">
        <f t="shared" si="20"/>
        <v>0.75</v>
      </c>
      <c r="M102" s="84">
        <f t="shared" si="20"/>
        <v>0.75</v>
      </c>
    </row>
    <row r="103" spans="1:13" ht="13" x14ac:dyDescent="0.3">
      <c r="A103" s="130"/>
      <c r="G103" s="454"/>
    </row>
    <row r="104" spans="1:13" x14ac:dyDescent="0.3">
      <c r="A104" s="130"/>
      <c r="B104" s="664" t="s">
        <v>207</v>
      </c>
      <c r="G104" s="454"/>
    </row>
    <row r="105" spans="1:13" ht="13" x14ac:dyDescent="0.3">
      <c r="A105" s="130"/>
      <c r="B105" s="100" t="s">
        <v>208</v>
      </c>
      <c r="C105" s="100"/>
      <c r="D105" s="100"/>
      <c r="E105" s="100"/>
      <c r="F105" s="100"/>
      <c r="G105" s="1072">
        <f ca="1">'Battery Design'!G306</f>
        <v>273.30663577873759</v>
      </c>
      <c r="H105" s="1072">
        <f ca="1">'Battery Design'!H306</f>
        <v>273.30663577873759</v>
      </c>
      <c r="I105" s="1072">
        <f ca="1">'Battery Design'!I306</f>
        <v>274.34136718531141</v>
      </c>
      <c r="J105" s="1072">
        <f ca="1">'Battery Design'!J306</f>
        <v>275.41770161073856</v>
      </c>
      <c r="K105" s="1072">
        <f ca="1">'Battery Design'!K306</f>
        <v>278.30448491447879</v>
      </c>
      <c r="L105" s="1072">
        <f ca="1">'Battery Design'!L306</f>
        <v>282.63421664684739</v>
      </c>
      <c r="M105" s="1072">
        <f ca="1">'Battery Design'!M306</f>
        <v>298.06386356486348</v>
      </c>
    </row>
    <row r="106" spans="1:13" ht="13" x14ac:dyDescent="0.3">
      <c r="A106" s="130"/>
      <c r="B106" s="100" t="s">
        <v>209</v>
      </c>
      <c r="C106" s="100"/>
      <c r="D106" s="100"/>
      <c r="E106" s="100"/>
      <c r="F106" s="100"/>
      <c r="G106" s="1072">
        <f ca="1">'Battery Design'!G305</f>
        <v>70.346810985586643</v>
      </c>
      <c r="H106" s="1072">
        <f ca="1">'Battery Design'!H305</f>
        <v>70.346810985586643</v>
      </c>
      <c r="I106" s="1072">
        <f ca="1">'Battery Design'!I305</f>
        <v>70.742949032040869</v>
      </c>
      <c r="J106" s="1072">
        <f ca="1">'Battery Design'!J305</f>
        <v>71.007461670957014</v>
      </c>
      <c r="K106" s="1072">
        <f ca="1">'Battery Design'!K305</f>
        <v>72.137578345926258</v>
      </c>
      <c r="L106" s="1072">
        <f ca="1">'Battery Design'!L305</f>
        <v>73.4993590917978</v>
      </c>
      <c r="M106" s="1072">
        <f ca="1">'Battery Design'!M305</f>
        <v>78.700716688688658</v>
      </c>
    </row>
    <row r="107" spans="1:13" ht="13" x14ac:dyDescent="0.3">
      <c r="A107" s="130"/>
      <c r="B107" s="100" t="s">
        <v>210</v>
      </c>
      <c r="C107" s="100"/>
      <c r="D107" s="100"/>
      <c r="E107" s="100"/>
      <c r="F107" s="100"/>
      <c r="G107" s="1071">
        <f ca="1">'Battery Design'!G81</f>
        <v>20.110917842490693</v>
      </c>
      <c r="H107" s="1071">
        <f ca="1">'Battery Design'!H81</f>
        <v>20.110917842490693</v>
      </c>
      <c r="I107" s="1071">
        <f ca="1">'Battery Design'!I81</f>
        <v>20.046883370495337</v>
      </c>
      <c r="J107" s="1071">
        <f ca="1">'Battery Design'!J81</f>
        <v>20.164715249111477</v>
      </c>
      <c r="K107" s="1071">
        <f ca="1">'Battery Design'!K81</f>
        <v>19.954895781958339</v>
      </c>
      <c r="L107" s="1071">
        <f ca="1">'Battery Design'!L81</f>
        <v>20.056724738105832</v>
      </c>
      <c r="M107" s="1071">
        <f ca="1">'Battery Design'!M81</f>
        <v>19.984047291165613</v>
      </c>
    </row>
    <row r="108" spans="1:13" ht="13" x14ac:dyDescent="0.3">
      <c r="A108" s="130"/>
      <c r="B108" s="100" t="s">
        <v>211</v>
      </c>
      <c r="C108" s="100"/>
      <c r="D108" s="100"/>
      <c r="E108" s="100"/>
      <c r="F108" s="100"/>
      <c r="G108" s="1074">
        <f ca="1">'Battery Design'!G307/1000</f>
        <v>0.38665753916138867</v>
      </c>
      <c r="H108" s="1074">
        <f ca="1">'Battery Design'!H307/1000</f>
        <v>0.38665753916138867</v>
      </c>
      <c r="I108" s="1074">
        <f ca="1">'Battery Design'!I307/1000</f>
        <v>0.38906424632669606</v>
      </c>
      <c r="J108" s="1074">
        <f ca="1">'Battery Design'!J307/1000</f>
        <v>0.39435552648341804</v>
      </c>
      <c r="K108" s="1074">
        <f ca="1">'Battery Design'!K307/1000</f>
        <v>0.40061870986605758</v>
      </c>
      <c r="L108" s="1074">
        <f ca="1">'Battery Design'!L307/1000</f>
        <v>0.41664704320989582</v>
      </c>
      <c r="M108" s="1074">
        <f ca="1">'Battery Design'!M307/1000</f>
        <v>0.46878257754476188</v>
      </c>
    </row>
    <row r="109" spans="1:13" ht="13" x14ac:dyDescent="0.3">
      <c r="A109" s="130"/>
      <c r="B109" s="498" t="s">
        <v>212</v>
      </c>
      <c r="C109" s="100"/>
      <c r="D109" s="100"/>
      <c r="E109" s="100"/>
      <c r="F109" s="100"/>
      <c r="G109" s="1072">
        <f ca="1">'Battery Design'!G485</f>
        <v>154.66301566455547</v>
      </c>
      <c r="H109" s="1072">
        <f ca="1">'Battery Design'!H485</f>
        <v>154.66301566455547</v>
      </c>
      <c r="I109" s="1072">
        <f ca="1">'Battery Design'!I485</f>
        <v>155.62569853067842</v>
      </c>
      <c r="J109" s="1072">
        <f ca="1">'Battery Design'!J485</f>
        <v>157.74221059336722</v>
      </c>
      <c r="K109" s="1072">
        <f ca="1">'Battery Design'!K485</f>
        <v>160.24748394642302</v>
      </c>
      <c r="L109" s="1072">
        <f ca="1">'Battery Design'!L485</f>
        <v>166.65881728395831</v>
      </c>
      <c r="M109" s="1072">
        <f ca="1">'Battery Design'!M485</f>
        <v>187.51303101790475</v>
      </c>
    </row>
    <row r="110" spans="1:13" ht="13" x14ac:dyDescent="0.3">
      <c r="A110" s="130"/>
      <c r="B110" s="498" t="s">
        <v>213</v>
      </c>
      <c r="C110" s="100"/>
      <c r="D110" s="100"/>
      <c r="E110" s="100"/>
      <c r="F110" s="100"/>
      <c r="G110" s="1071">
        <f ca="1">'Battery Design'!G481</f>
        <v>0.74412404318622261</v>
      </c>
      <c r="H110" s="1071">
        <f ca="1">'Battery Design'!H481</f>
        <v>0.74412404318622261</v>
      </c>
      <c r="I110" s="1071">
        <f ca="1">'Battery Design'!I481</f>
        <v>0.75173532434814561</v>
      </c>
      <c r="J110" s="1071">
        <f ca="1">'Battery Design'!J481</f>
        <v>0.76416940449658188</v>
      </c>
      <c r="K110" s="1071">
        <f ca="1">'Battery Design'!K481</f>
        <v>0.78446214023554905</v>
      </c>
      <c r="L110" s="1071">
        <f ca="1">'Battery Design'!L481</f>
        <v>0.82582956133947338</v>
      </c>
      <c r="M110" s="1071">
        <f ca="1">'Battery Design'!M481</f>
        <v>0.96623717413132604</v>
      </c>
    </row>
    <row r="111" spans="1:13" ht="13" x14ac:dyDescent="0.3">
      <c r="A111" s="130"/>
      <c r="B111" s="498" t="s">
        <v>214</v>
      </c>
      <c r="C111" s="100"/>
      <c r="D111" s="100"/>
      <c r="E111" s="100"/>
      <c r="F111" s="100"/>
      <c r="G111" s="1072">
        <f ca="1">'Battery Design'!G482</f>
        <v>297.64961727448906</v>
      </c>
      <c r="H111" s="1072">
        <f ca="1">'Battery Design'!H482</f>
        <v>297.64961727448906</v>
      </c>
      <c r="I111" s="1072">
        <f ca="1">'Battery Design'!I482</f>
        <v>300.69412973925824</v>
      </c>
      <c r="J111" s="1072">
        <f ca="1">'Battery Design'!J482</f>
        <v>305.66776179863274</v>
      </c>
      <c r="K111" s="1072">
        <f ca="1">'Battery Design'!K482</f>
        <v>313.78485609421961</v>
      </c>
      <c r="L111" s="1072">
        <f ca="1">'Battery Design'!L482</f>
        <v>330.33182453578934</v>
      </c>
      <c r="M111" s="1072">
        <f ca="1">'Battery Design'!M482</f>
        <v>386.49486965253044</v>
      </c>
    </row>
    <row r="112" spans="1:13" ht="13" x14ac:dyDescent="0.3">
      <c r="A112" s="130"/>
      <c r="B112" s="498"/>
      <c r="C112" s="100"/>
      <c r="D112" s="100"/>
      <c r="E112" s="100"/>
      <c r="F112" s="100"/>
      <c r="G112" s="1072"/>
      <c r="H112" s="1072"/>
      <c r="I112" s="1072"/>
      <c r="J112" s="1072"/>
      <c r="K112" s="1072"/>
      <c r="L112" s="1072"/>
      <c r="M112" s="1072"/>
    </row>
    <row r="113" spans="1:14" x14ac:dyDescent="0.3">
      <c r="A113" s="130"/>
      <c r="B113" s="664" t="s">
        <v>215</v>
      </c>
    </row>
    <row r="114" spans="1:14" ht="13" x14ac:dyDescent="0.3">
      <c r="A114" s="130">
        <v>18</v>
      </c>
      <c r="B114" s="498" t="s">
        <v>216</v>
      </c>
      <c r="C114" s="100"/>
      <c r="D114" s="100"/>
      <c r="E114" s="100"/>
      <c r="F114" s="100"/>
      <c r="G114" s="1072">
        <f t="shared" ref="G114:M114" ca="1" si="21">G48*1000/G109</f>
        <v>646.56698675064843</v>
      </c>
      <c r="H114" s="1072">
        <f t="shared" ca="1" si="21"/>
        <v>646.56698675064843</v>
      </c>
      <c r="I114" s="1072">
        <f t="shared" ca="1" si="21"/>
        <v>642.56739692825863</v>
      </c>
      <c r="J114" s="1072">
        <f t="shared" ca="1" si="21"/>
        <v>633.94572463411885</v>
      </c>
      <c r="K114" s="1072">
        <f t="shared" ca="1" si="21"/>
        <v>624.03475884484931</v>
      </c>
      <c r="L114" s="1072">
        <f t="shared" ca="1" si="21"/>
        <v>600.02825910864919</v>
      </c>
      <c r="M114" s="1072">
        <f t="shared" ca="1" si="21"/>
        <v>533.29626990271379</v>
      </c>
    </row>
    <row r="115" spans="1:14" ht="13" x14ac:dyDescent="0.3">
      <c r="A115" s="130">
        <v>19</v>
      </c>
      <c r="B115" s="498" t="s">
        <v>217</v>
      </c>
      <c r="C115" s="100"/>
      <c r="D115" s="100"/>
      <c r="E115" s="100"/>
      <c r="F115" s="100"/>
      <c r="G115" s="1072">
        <f ca="1">'Battery Design'!G486</f>
        <v>335.9654916262873</v>
      </c>
      <c r="H115" s="1072">
        <f ca="1">'Battery Design'!H486</f>
        <v>335.9654916262873</v>
      </c>
      <c r="I115" s="1072">
        <f ca="1">'Battery Design'!I486</f>
        <v>332.56385845215283</v>
      </c>
      <c r="J115" s="1072">
        <f ca="1">'Battery Design'!J486</f>
        <v>327.15259015727594</v>
      </c>
      <c r="K115" s="1072">
        <f ca="1">'Battery Design'!K486</f>
        <v>318.68969473138986</v>
      </c>
      <c r="L115" s="1072">
        <f ca="1">'Battery Design'!L486</f>
        <v>302.72590338677946</v>
      </c>
      <c r="M115" s="1072">
        <f ca="1">'Battery Design'!M486</f>
        <v>258.73564658155294</v>
      </c>
    </row>
    <row r="116" spans="1:14" ht="15.5" x14ac:dyDescent="0.3">
      <c r="A116" s="130"/>
      <c r="B116" s="478" t="s">
        <v>218</v>
      </c>
      <c r="G116" s="87">
        <f t="shared" ref="G116:M116" ca="1" si="22">G100/G108*1000</f>
        <v>549.58193873805124</v>
      </c>
      <c r="H116" s="87">
        <f t="shared" ca="1" si="22"/>
        <v>549.58193873805124</v>
      </c>
      <c r="I116" s="87">
        <f t="shared" ca="1" si="22"/>
        <v>546.18228738901973</v>
      </c>
      <c r="J116" s="87">
        <f t="shared" ca="1" si="22"/>
        <v>538.85386593900125</v>
      </c>
      <c r="K116" s="87">
        <f t="shared" ca="1" si="22"/>
        <v>530.42954501812198</v>
      </c>
      <c r="L116" s="87">
        <f t="shared" ca="1" si="22"/>
        <v>510.02402024235181</v>
      </c>
      <c r="M116" s="87">
        <f t="shared" ca="1" si="22"/>
        <v>453.30182941730675</v>
      </c>
    </row>
    <row r="117" spans="1:14" ht="15.5" x14ac:dyDescent="0.3">
      <c r="A117" s="130"/>
      <c r="B117" s="478" t="s">
        <v>219</v>
      </c>
      <c r="G117" s="87">
        <f t="shared" ref="G117:M117" ca="1" si="23">G100/G110*1000</f>
        <v>285.57066788234425</v>
      </c>
      <c r="H117" s="87">
        <f t="shared" ca="1" si="23"/>
        <v>285.57066788234425</v>
      </c>
      <c r="I117" s="87">
        <f t="shared" ca="1" si="23"/>
        <v>282.67927968432986</v>
      </c>
      <c r="J117" s="87">
        <f t="shared" ca="1" si="23"/>
        <v>278.07970163368469</v>
      </c>
      <c r="K117" s="87">
        <f t="shared" ca="1" si="23"/>
        <v>270.88624052168143</v>
      </c>
      <c r="L117" s="87">
        <f t="shared" ca="1" si="23"/>
        <v>257.31701787876261</v>
      </c>
      <c r="M117" s="87">
        <f t="shared" ca="1" si="23"/>
        <v>219.92529959431999</v>
      </c>
    </row>
    <row r="118" spans="1:14" ht="13" x14ac:dyDescent="0.3">
      <c r="A118" s="130"/>
    </row>
    <row r="119" spans="1:14" x14ac:dyDescent="0.3">
      <c r="A119" s="130"/>
      <c r="B119" s="664" t="s">
        <v>220</v>
      </c>
    </row>
    <row r="120" spans="1:14" ht="13" x14ac:dyDescent="0.3">
      <c r="A120" s="130">
        <v>14</v>
      </c>
      <c r="B120" s="498" t="s">
        <v>113</v>
      </c>
      <c r="C120" s="100"/>
      <c r="D120" s="100"/>
      <c r="E120" s="100"/>
      <c r="F120" s="100"/>
      <c r="G120" s="1071">
        <f ca="1">'Battery Design'!G276</f>
        <v>120</v>
      </c>
      <c r="H120" s="1074">
        <f ca="1">'Battery Design'!H276</f>
        <v>120</v>
      </c>
      <c r="I120" s="1071">
        <f ca="1">'Battery Design'!I276</f>
        <v>108.28682636679949</v>
      </c>
      <c r="J120" s="1071">
        <f ca="1">'Battery Design'!J276</f>
        <v>93.859128158890144</v>
      </c>
      <c r="K120" s="1071">
        <f ca="1">'Battery Design'!K276</f>
        <v>77.09682591912636</v>
      </c>
      <c r="L120" s="1071">
        <f ca="1">'Battery Design'!L276</f>
        <v>56.979291521262034</v>
      </c>
      <c r="M120" s="1071">
        <f ca="1">'Battery Design'!M276</f>
        <v>30.309835647059309</v>
      </c>
    </row>
    <row r="121" spans="1:14" ht="13" x14ac:dyDescent="0.3">
      <c r="A121" s="130">
        <v>16</v>
      </c>
      <c r="B121" s="498" t="s">
        <v>221</v>
      </c>
      <c r="C121" s="100"/>
      <c r="D121" s="100"/>
      <c r="E121" s="100"/>
      <c r="F121" s="100"/>
      <c r="G121" s="1071">
        <f ca="1">'Battery Design'!G277</f>
        <v>152.69056152957771</v>
      </c>
      <c r="H121" s="1071">
        <f ca="1">'Battery Design'!H277</f>
        <v>152.69056152957771</v>
      </c>
      <c r="I121" s="1071">
        <f ca="1">'Battery Design'!I277</f>
        <v>137.78646936835412</v>
      </c>
      <c r="J121" s="1071">
        <f ca="1">'Battery Design'!J277</f>
        <v>119.42835819381278</v>
      </c>
      <c r="K121" s="1071">
        <f ca="1">'Battery Design'!K277</f>
        <v>98.099647014495872</v>
      </c>
      <c r="L121" s="1071">
        <f ca="1">'Battery Design'!L277</f>
        <v>72.501666816158377</v>
      </c>
      <c r="M121" s="1071">
        <f ca="1">'Battery Design'!M277</f>
        <v>38.566881873489137</v>
      </c>
    </row>
    <row r="122" spans="1:14" ht="13" x14ac:dyDescent="0.3">
      <c r="A122" s="130">
        <v>15</v>
      </c>
      <c r="B122" s="100" t="s">
        <v>222</v>
      </c>
      <c r="C122" s="100"/>
      <c r="D122" s="100"/>
      <c r="E122" s="100"/>
      <c r="F122" s="100"/>
      <c r="G122" s="1074">
        <f ca="1">'Battery Design'!G278</f>
        <v>8.0691897467962015</v>
      </c>
      <c r="H122" s="1074">
        <f ca="1">'Battery Design'!H278</f>
        <v>8.0691897467962015</v>
      </c>
      <c r="I122" s="1074">
        <f ca="1">'Battery Design'!I278</f>
        <v>7.281557908600659</v>
      </c>
      <c r="J122" s="1074">
        <f ca="1">'Battery Design'!J278</f>
        <v>6.3113926215245577</v>
      </c>
      <c r="K122" s="1074">
        <f ca="1">'Battery Design'!K278</f>
        <v>5.1842409768095497</v>
      </c>
      <c r="L122" s="1074">
        <f ca="1">'Battery Design'!L278</f>
        <v>3.8314726243589945</v>
      </c>
      <c r="M122" s="1074">
        <f ca="1">'Battery Design'!M278</f>
        <v>2.0381317919194082</v>
      </c>
    </row>
    <row r="123" spans="1:14" ht="13" x14ac:dyDescent="0.3">
      <c r="A123" s="130">
        <v>17</v>
      </c>
      <c r="B123" s="100" t="s">
        <v>223</v>
      </c>
      <c r="C123" s="100"/>
      <c r="D123" s="100"/>
      <c r="E123" s="100"/>
      <c r="F123" s="100"/>
      <c r="G123" s="1074">
        <f ca="1">'Battery Design'!G279</f>
        <v>8.8761087214758234</v>
      </c>
      <c r="H123" s="1074">
        <f ca="1">'Battery Design'!H279</f>
        <v>8.8761087214758234</v>
      </c>
      <c r="I123" s="1074">
        <f ca="1">'Battery Design'!I279</f>
        <v>8.0097136994607254</v>
      </c>
      <c r="J123" s="1074">
        <f ca="1">'Battery Design'!J279</f>
        <v>6.942531883677014</v>
      </c>
      <c r="K123" s="1074">
        <f ca="1">'Battery Design'!K279</f>
        <v>5.7026650744905059</v>
      </c>
      <c r="L123" s="1074">
        <f ca="1">'Battery Design'!L279</f>
        <v>4.2146198867948934</v>
      </c>
      <c r="M123" s="1074">
        <f ca="1">'Battery Design'!M279</f>
        <v>2.2419449711113488</v>
      </c>
    </row>
    <row r="124" spans="1:14" ht="13" x14ac:dyDescent="0.3">
      <c r="A124" s="130"/>
      <c r="G124" s="537"/>
      <c r="H124" s="537"/>
      <c r="I124" s="537"/>
      <c r="J124" s="537"/>
      <c r="K124" s="537"/>
      <c r="L124" s="537"/>
      <c r="M124" s="537"/>
    </row>
    <row r="125" spans="1:14" ht="13.5" thickBot="1" x14ac:dyDescent="0.35">
      <c r="A125" s="130"/>
      <c r="G125" s="537"/>
      <c r="H125" s="537"/>
      <c r="I125" s="537"/>
      <c r="J125" s="537"/>
      <c r="K125" s="537"/>
      <c r="L125" s="537"/>
      <c r="M125" s="537"/>
    </row>
    <row r="126" spans="1:14" ht="20.5" thickBot="1" x14ac:dyDescent="0.45">
      <c r="A126" s="130"/>
      <c r="B126" s="1453" t="s">
        <v>224</v>
      </c>
      <c r="C126" s="1454"/>
      <c r="D126" s="1454"/>
      <c r="E126" s="1454"/>
      <c r="F126" s="1454"/>
      <c r="G126" s="1454"/>
      <c r="H126" s="1454"/>
      <c r="I126" s="1454"/>
      <c r="J126" s="1454"/>
      <c r="K126" s="1454"/>
      <c r="L126" s="1454"/>
      <c r="M126" s="1455"/>
    </row>
    <row r="127" spans="1:14" ht="13" x14ac:dyDescent="0.3">
      <c r="A127" s="130"/>
      <c r="G127" s="537"/>
      <c r="H127" s="537"/>
      <c r="I127" s="537"/>
      <c r="J127" s="537"/>
      <c r="K127" s="537"/>
      <c r="L127" s="537"/>
      <c r="M127" s="537"/>
    </row>
    <row r="128" spans="1:14" ht="13" x14ac:dyDescent="0.3">
      <c r="A128" s="130">
        <v>24</v>
      </c>
      <c r="B128" s="353" t="s">
        <v>103</v>
      </c>
      <c r="G128" s="497">
        <f ca="1">'Manufacturing Costs'!G400*G48/1000000</f>
        <v>49.999999999999986</v>
      </c>
      <c r="H128" s="497">
        <f ca="1">'Manufacturing Costs'!H400*H48/1000000</f>
        <v>49.999999999999986</v>
      </c>
      <c r="I128" s="497">
        <f ca="1">'Manufacturing Costs'!I400*I48/1000000</f>
        <v>49.999999999999979</v>
      </c>
      <c r="J128" s="497">
        <f ca="1">'Manufacturing Costs'!J400*J48/1000000</f>
        <v>49.999999999999979</v>
      </c>
      <c r="K128" s="497">
        <f ca="1">'Manufacturing Costs'!K400*K48/1000000</f>
        <v>49.999999999999979</v>
      </c>
      <c r="L128" s="497">
        <f ca="1">'Manufacturing Costs'!L400*L48/1000000</f>
        <v>49.999999999999979</v>
      </c>
      <c r="M128" s="497">
        <f ca="1">'Manufacturing Costs'!M400*M48/1000000</f>
        <v>50.000000000000242</v>
      </c>
      <c r="N128" s="737"/>
    </row>
    <row r="129" spans="1:13" ht="13" x14ac:dyDescent="0.3">
      <c r="A129" s="130"/>
      <c r="B129" s="353" t="s">
        <v>91</v>
      </c>
      <c r="G129" s="329">
        <f>'Manufacturing Costs'!G400</f>
        <v>500000</v>
      </c>
      <c r="H129" s="329">
        <f>'Manufacturing Costs'!H400</f>
        <v>500000</v>
      </c>
      <c r="I129" s="329">
        <f>'Manufacturing Costs'!I400</f>
        <v>500000</v>
      </c>
      <c r="J129" s="329">
        <f>'Manufacturing Costs'!J400</f>
        <v>500000</v>
      </c>
      <c r="K129" s="329">
        <f>'Manufacturing Costs'!K400</f>
        <v>500000</v>
      </c>
      <c r="L129" s="329">
        <f>'Manufacturing Costs'!L400</f>
        <v>500000</v>
      </c>
      <c r="M129" s="329">
        <f>'Manufacturing Costs'!M400</f>
        <v>500000</v>
      </c>
    </row>
    <row r="130" spans="1:13" ht="13" x14ac:dyDescent="0.3">
      <c r="A130" s="130">
        <v>25</v>
      </c>
      <c r="B130" s="353" t="s">
        <v>225</v>
      </c>
      <c r="G130" s="329">
        <f>'Manufacturing Costs'!G402</f>
        <v>500000</v>
      </c>
      <c r="H130" s="329">
        <f>'Manufacturing Costs'!H402</f>
        <v>500000</v>
      </c>
      <c r="I130" s="329">
        <f>'Manufacturing Costs'!I402</f>
        <v>500000</v>
      </c>
      <c r="J130" s="329">
        <f>'Manufacturing Costs'!J402</f>
        <v>500000</v>
      </c>
      <c r="K130" s="329">
        <f>'Manufacturing Costs'!K402</f>
        <v>500000</v>
      </c>
      <c r="L130" s="329">
        <f>'Manufacturing Costs'!L402</f>
        <v>500000</v>
      </c>
      <c r="M130" s="329">
        <f>'Manufacturing Costs'!M402</f>
        <v>500000</v>
      </c>
    </row>
    <row r="131" spans="1:13" ht="13" x14ac:dyDescent="0.3">
      <c r="A131" s="130"/>
      <c r="B131" s="353" t="s">
        <v>226</v>
      </c>
      <c r="G131" s="329">
        <f>'Manufacturing Costs'!G11</f>
        <v>10000000</v>
      </c>
      <c r="H131" s="329">
        <f>'Manufacturing Costs'!H11</f>
        <v>10000000</v>
      </c>
      <c r="I131" s="329">
        <f>'Manufacturing Costs'!I11</f>
        <v>10000000</v>
      </c>
      <c r="J131" s="329">
        <f>'Manufacturing Costs'!J11</f>
        <v>10000000</v>
      </c>
      <c r="K131" s="329">
        <f>'Manufacturing Costs'!K11</f>
        <v>10000000</v>
      </c>
      <c r="L131" s="329">
        <f>'Manufacturing Costs'!L11</f>
        <v>10000000</v>
      </c>
      <c r="M131" s="329">
        <f>'Manufacturing Costs'!M11</f>
        <v>10000000</v>
      </c>
    </row>
    <row r="132" spans="1:13" ht="13" x14ac:dyDescent="0.3">
      <c r="A132" s="130"/>
      <c r="B132" s="353" t="s">
        <v>227</v>
      </c>
      <c r="G132" s="329">
        <f>'Manufacturing Costs'!G13</f>
        <v>200000000</v>
      </c>
      <c r="H132" s="329">
        <f>'Manufacturing Costs'!H13</f>
        <v>200000000</v>
      </c>
      <c r="I132" s="329">
        <f>'Manufacturing Costs'!I13</f>
        <v>200000000</v>
      </c>
      <c r="J132" s="329">
        <f>'Manufacturing Costs'!J13</f>
        <v>200000000</v>
      </c>
      <c r="K132" s="329">
        <f>'Manufacturing Costs'!K13</f>
        <v>200000000</v>
      </c>
      <c r="L132" s="329">
        <f>'Manufacturing Costs'!L13</f>
        <v>200000000</v>
      </c>
      <c r="M132" s="329">
        <f>'Manufacturing Costs'!M13</f>
        <v>200000000</v>
      </c>
    </row>
    <row r="133" spans="1:13" ht="13.5" thickBot="1" x14ac:dyDescent="0.35">
      <c r="A133" s="130"/>
    </row>
    <row r="134" spans="1:13" ht="20.5" thickBot="1" x14ac:dyDescent="0.45">
      <c r="A134" s="130"/>
      <c r="B134" s="1453" t="s">
        <v>228</v>
      </c>
      <c r="C134" s="1454"/>
      <c r="D134" s="1454"/>
      <c r="E134" s="1454"/>
      <c r="F134" s="1454"/>
      <c r="G134" s="1454"/>
      <c r="H134" s="1454"/>
      <c r="I134" s="1454"/>
      <c r="J134" s="1454"/>
      <c r="K134" s="1454"/>
      <c r="L134" s="1454"/>
      <c r="M134" s="1455"/>
    </row>
    <row r="135" spans="1:13" ht="13" x14ac:dyDescent="0.3">
      <c r="A135" s="130"/>
    </row>
    <row r="136" spans="1:13" ht="13" x14ac:dyDescent="0.3">
      <c r="A136" s="130"/>
      <c r="B136" s="130" t="str">
        <f>'Manufacturing Costs'!B409</f>
        <v>Pack manufacturing strategy: All manufacturing in-house (Default)</v>
      </c>
      <c r="C136"/>
      <c r="D136" s="628">
        <f>'Manufacturing Costs'!E409</f>
        <v>1</v>
      </c>
      <c r="E136" s="353" t="s">
        <v>229</v>
      </c>
      <c r="F136"/>
    </row>
    <row r="137" spans="1:13" ht="13" x14ac:dyDescent="0.3">
      <c r="A137" s="130"/>
      <c r="B137"/>
      <c r="C137"/>
      <c r="D137" s="1086"/>
      <c r="E137"/>
      <c r="F137"/>
    </row>
    <row r="138" spans="1:13" ht="13" x14ac:dyDescent="0.3">
      <c r="A138" s="130"/>
      <c r="B138" s="130" t="str">
        <f>'Manufacturing Costs'!B411</f>
        <v>Pack cost option: Cost to consumer - includes pack profit/warranty (Default)</v>
      </c>
      <c r="C138"/>
      <c r="D138" s="628">
        <f>'Manufacturing Costs'!E411</f>
        <v>1</v>
      </c>
      <c r="E138" s="353" t="s">
        <v>229</v>
      </c>
      <c r="F138"/>
    </row>
    <row r="139" spans="1:13" ht="13" x14ac:dyDescent="0.3">
      <c r="A139" s="130"/>
      <c r="B139"/>
      <c r="C139"/>
      <c r="D139"/>
      <c r="E139"/>
      <c r="F139"/>
    </row>
    <row r="140" spans="1:13" ht="13" x14ac:dyDescent="0.3">
      <c r="A140" s="130"/>
      <c r="B140" s="1456" t="s">
        <v>230</v>
      </c>
      <c r="C140" s="1457"/>
      <c r="D140" s="882" t="s">
        <v>231</v>
      </c>
      <c r="E140"/>
      <c r="F140"/>
    </row>
    <row r="141" spans="1:13" ht="13" x14ac:dyDescent="0.3">
      <c r="A141" s="130"/>
      <c r="B141" s="681"/>
      <c r="C141" s="681"/>
      <c r="D141" s="1091"/>
      <c r="E141"/>
      <c r="F141"/>
    </row>
    <row r="142" spans="1:13" ht="13" x14ac:dyDescent="0.3">
      <c r="A142" s="130"/>
      <c r="B142" s="353" t="s">
        <v>232</v>
      </c>
      <c r="C142"/>
      <c r="D142" s="628" t="str">
        <f>'Manufacturing Costs'!E415</f>
        <v/>
      </c>
      <c r="E142" s="130"/>
      <c r="F142"/>
    </row>
    <row r="143" spans="1:13" ht="13" x14ac:dyDescent="0.3">
      <c r="A143" s="130"/>
      <c r="B143" s="353" t="s">
        <v>233</v>
      </c>
      <c r="C143"/>
      <c r="D143" s="628" t="str">
        <f>'Manufacturing Costs'!E416</f>
        <v/>
      </c>
      <c r="E143" s="130"/>
      <c r="F143"/>
    </row>
    <row r="144" spans="1:13" ht="13" x14ac:dyDescent="0.3">
      <c r="A144" s="130"/>
      <c r="B144" s="353" t="s">
        <v>234</v>
      </c>
      <c r="C144"/>
      <c r="D144" s="628" t="str">
        <f>'Manufacturing Costs'!E417</f>
        <v>x</v>
      </c>
      <c r="E144" s="130"/>
      <c r="F144"/>
    </row>
    <row r="145" spans="1:14" ht="13" x14ac:dyDescent="0.3">
      <c r="A145" s="130"/>
      <c r="B145" s="353" t="s">
        <v>235</v>
      </c>
      <c r="C145"/>
      <c r="D145" s="628" t="str">
        <f>'Manufacturing Costs'!E418</f>
        <v>x</v>
      </c>
      <c r="E145" s="130"/>
      <c r="F145"/>
    </row>
    <row r="146" spans="1:14" ht="13" x14ac:dyDescent="0.3">
      <c r="A146" s="130"/>
    </row>
    <row r="147" spans="1:14" ht="15.5" x14ac:dyDescent="0.35">
      <c r="A147" s="130"/>
      <c r="B147" s="6" t="s">
        <v>236</v>
      </c>
    </row>
    <row r="148" spans="1:14" x14ac:dyDescent="0.3">
      <c r="A148" s="130"/>
      <c r="B148" s="665" t="s">
        <v>237</v>
      </c>
    </row>
    <row r="149" spans="1:14" ht="13" x14ac:dyDescent="0.3">
      <c r="A149" s="130"/>
      <c r="B149" s="353" t="s">
        <v>238</v>
      </c>
      <c r="C149" s="353" t="str">
        <f>"±" &amp; SUM('Manufacturing Costs'!G515:G516) &amp; "% error"</f>
        <v>±15% error</v>
      </c>
      <c r="G149" s="1078">
        <f ca="1">'Manufacturing Costs'!G514</f>
        <v>11169.0575007933</v>
      </c>
      <c r="H149" s="1078">
        <f ca="1">'Manufacturing Costs'!H514</f>
        <v>11169.0575007933</v>
      </c>
      <c r="I149" s="1078">
        <f ca="1">'Manufacturing Costs'!I514</f>
        <v>11258.998998697507</v>
      </c>
      <c r="J149" s="1078">
        <f ca="1">'Manufacturing Costs'!J514</f>
        <v>11406.009696136083</v>
      </c>
      <c r="K149" s="1078">
        <f ca="1">'Manufacturing Costs'!K514</f>
        <v>11641.926159031185</v>
      </c>
      <c r="L149" s="1078">
        <f ca="1">'Manufacturing Costs'!L514</f>
        <v>12133.429473784283</v>
      </c>
      <c r="M149" s="1078">
        <f ca="1">'Manufacturing Costs'!M514</f>
        <v>13791.350772872518</v>
      </c>
      <c r="N149" s="737"/>
    </row>
    <row r="150" spans="1:14" ht="13" x14ac:dyDescent="0.3">
      <c r="A150" s="130"/>
      <c r="B150" s="353" t="s">
        <v>239</v>
      </c>
      <c r="G150" s="1079">
        <f t="shared" ref="G150:M150" ca="1" si="24">G149/G22</f>
        <v>111.69057500793303</v>
      </c>
      <c r="H150" s="1079">
        <f t="shared" ca="1" si="24"/>
        <v>111.69057500793303</v>
      </c>
      <c r="I150" s="1079">
        <f t="shared" ca="1" si="24"/>
        <v>112.58998998697511</v>
      </c>
      <c r="J150" s="1079">
        <f t="shared" ca="1" si="24"/>
        <v>114.06009696136088</v>
      </c>
      <c r="K150" s="1079">
        <f t="shared" ca="1" si="24"/>
        <v>116.4192615903119</v>
      </c>
      <c r="L150" s="1079">
        <f t="shared" ca="1" si="24"/>
        <v>121.33429473784288</v>
      </c>
      <c r="M150" s="1079">
        <f t="shared" ca="1" si="24"/>
        <v>137.91350772872451</v>
      </c>
    </row>
    <row r="151" spans="1:14" ht="15.5" x14ac:dyDescent="0.4">
      <c r="A151" s="130"/>
      <c r="B151" s="353" t="s">
        <v>240</v>
      </c>
      <c r="G151" s="1079">
        <f t="shared" ref="G151:M151" ca="1" si="25">G149/G23</f>
        <v>131.4006764799212</v>
      </c>
      <c r="H151" s="1079">
        <f t="shared" ca="1" si="25"/>
        <v>131.4006764799212</v>
      </c>
      <c r="I151" s="1079">
        <f t="shared" ca="1" si="25"/>
        <v>132.45881174938251</v>
      </c>
      <c r="J151" s="1079">
        <f t="shared" ca="1" si="25"/>
        <v>134.18834936630694</v>
      </c>
      <c r="K151" s="1079">
        <f t="shared" ca="1" si="25"/>
        <v>136.96383716507285</v>
      </c>
      <c r="L151" s="1079">
        <f t="shared" ca="1" si="25"/>
        <v>142.74622910334458</v>
      </c>
      <c r="M151" s="1079">
        <f t="shared" ca="1" si="25"/>
        <v>162.2511855632053</v>
      </c>
    </row>
    <row r="152" spans="1:14" ht="13" x14ac:dyDescent="0.3">
      <c r="A152" s="130"/>
    </row>
    <row r="153" spans="1:14" x14ac:dyDescent="0.3">
      <c r="A153" s="130"/>
      <c r="B153" s="665" t="s">
        <v>241</v>
      </c>
    </row>
    <row r="154" spans="1:14" ht="13" x14ac:dyDescent="0.3">
      <c r="A154" s="130">
        <v>20</v>
      </c>
      <c r="B154" s="353" t="s">
        <v>242</v>
      </c>
      <c r="G154" s="1078">
        <f ca="1">'Manufacturing Costs'!G507</f>
        <v>11009.0575007933</v>
      </c>
      <c r="H154" s="1078">
        <f ca="1">'Manufacturing Costs'!H507</f>
        <v>11009.0575007933</v>
      </c>
      <c r="I154" s="1078">
        <f ca="1">'Manufacturing Costs'!I507</f>
        <v>11098.998998697507</v>
      </c>
      <c r="J154" s="1078">
        <f ca="1">'Manufacturing Costs'!J507</f>
        <v>11246.009696136083</v>
      </c>
      <c r="K154" s="1078">
        <f ca="1">'Manufacturing Costs'!K507</f>
        <v>11481.926159031185</v>
      </c>
      <c r="L154" s="1078">
        <f ca="1">'Manufacturing Costs'!L507</f>
        <v>11973.429473784283</v>
      </c>
      <c r="M154" s="1078">
        <f ca="1">'Manufacturing Costs'!M507</f>
        <v>13631.350772872518</v>
      </c>
    </row>
    <row r="155" spans="1:14" ht="13" x14ac:dyDescent="0.3">
      <c r="A155" s="130">
        <v>21</v>
      </c>
      <c r="B155" s="353" t="s">
        <v>243</v>
      </c>
      <c r="G155" s="1079">
        <f t="shared" ref="G155:M155" ca="1" si="26">G154/G48</f>
        <v>110.09057500793304</v>
      </c>
      <c r="H155" s="1079">
        <f t="shared" ca="1" si="26"/>
        <v>110.09057500793304</v>
      </c>
      <c r="I155" s="1079">
        <f t="shared" ca="1" si="26"/>
        <v>110.98998998697512</v>
      </c>
      <c r="J155" s="1079">
        <f t="shared" ca="1" si="26"/>
        <v>112.46009696136088</v>
      </c>
      <c r="K155" s="1079">
        <f t="shared" ca="1" si="26"/>
        <v>114.8192615903119</v>
      </c>
      <c r="L155" s="1079">
        <f t="shared" ca="1" si="26"/>
        <v>119.73429473784287</v>
      </c>
      <c r="M155" s="1079">
        <f t="shared" ca="1" si="26"/>
        <v>136.31350772872452</v>
      </c>
    </row>
    <row r="156" spans="1:14" ht="15.5" x14ac:dyDescent="0.4">
      <c r="A156" s="130">
        <v>22</v>
      </c>
      <c r="B156" s="353" t="s">
        <v>244</v>
      </c>
      <c r="G156" s="1079">
        <f t="shared" ref="G156:M156" ca="1" si="27">G154/G49</f>
        <v>129.51832353874477</v>
      </c>
      <c r="H156" s="1079">
        <f t="shared" ca="1" si="27"/>
        <v>129.51832353874477</v>
      </c>
      <c r="I156" s="1079">
        <f t="shared" ca="1" si="27"/>
        <v>130.57645880820604</v>
      </c>
      <c r="J156" s="1079">
        <f t="shared" ca="1" si="27"/>
        <v>132.30599642513045</v>
      </c>
      <c r="K156" s="1079">
        <f t="shared" ca="1" si="27"/>
        <v>135.08148422389635</v>
      </c>
      <c r="L156" s="1079">
        <f t="shared" ca="1" si="27"/>
        <v>140.86387616216811</v>
      </c>
      <c r="M156" s="1079">
        <f t="shared" ca="1" si="27"/>
        <v>160.36883262202883</v>
      </c>
    </row>
    <row r="157" spans="1:14" ht="13" x14ac:dyDescent="0.3">
      <c r="A157" s="130"/>
      <c r="G157" s="1079"/>
      <c r="H157" s="1079"/>
      <c r="I157" s="1079"/>
      <c r="J157" s="1079"/>
      <c r="K157" s="1079"/>
      <c r="L157" s="1079"/>
      <c r="M157" s="1079"/>
    </row>
    <row r="158" spans="1:14" x14ac:dyDescent="0.3">
      <c r="A158" s="130"/>
      <c r="B158" s="665" t="s">
        <v>245</v>
      </c>
      <c r="G158" s="1079"/>
      <c r="H158" s="1079"/>
      <c r="I158" s="1079"/>
      <c r="J158" s="1079"/>
      <c r="K158" s="1079"/>
      <c r="L158" s="1079"/>
      <c r="M158" s="1079"/>
    </row>
    <row r="159" spans="1:14" ht="13" x14ac:dyDescent="0.3">
      <c r="A159" s="130"/>
      <c r="B159" s="353" t="s">
        <v>246</v>
      </c>
      <c r="G159" s="1078">
        <f ca="1">'Manufacturing Costs'!G477</f>
        <v>440.19082406339953</v>
      </c>
      <c r="H159" s="1078">
        <f ca="1">'Manufacturing Costs'!H477</f>
        <v>440.19082406339953</v>
      </c>
      <c r="I159" s="1078">
        <f ca="1">'Manufacturing Costs'!I477</f>
        <v>444.30029971983743</v>
      </c>
      <c r="J159" s="1078">
        <f ca="1">'Manufacturing Costs'!J477</f>
        <v>450.94539665617594</v>
      </c>
      <c r="K159" s="1078">
        <f ca="1">'Manufacturing Costs'!K477</f>
        <v>461.7437442210574</v>
      </c>
      <c r="L159" s="1078">
        <f ca="1">'Manufacturing Costs'!L477</f>
        <v>484.01408869543673</v>
      </c>
      <c r="M159" s="1078">
        <f ca="1">'Manufacturing Costs'!M477</f>
        <v>558.99723726334105</v>
      </c>
    </row>
    <row r="160" spans="1:14" ht="13" x14ac:dyDescent="0.3">
      <c r="A160" s="130"/>
      <c r="B160" s="353" t="s">
        <v>247</v>
      </c>
      <c r="G160" s="1079">
        <f ca="1">'Manufacturing Costs'!G478</f>
        <v>8803.8164812679897</v>
      </c>
      <c r="H160" s="1079">
        <f ca="1">'Manufacturing Costs'!H478</f>
        <v>8803.8164812679897</v>
      </c>
      <c r="I160" s="1079">
        <f ca="1">'Manufacturing Costs'!I478</f>
        <v>8886.0059943967481</v>
      </c>
      <c r="J160" s="1079">
        <f ca="1">'Manufacturing Costs'!J478</f>
        <v>9018.9079331235189</v>
      </c>
      <c r="K160" s="1079">
        <f ca="1">'Manufacturing Costs'!K478</f>
        <v>9234.8748844211477</v>
      </c>
      <c r="L160" s="1079">
        <f ca="1">'Manufacturing Costs'!L478</f>
        <v>9680.281773908735</v>
      </c>
      <c r="M160" s="1079">
        <f ca="1">'Manufacturing Costs'!M478</f>
        <v>11179.944745266821</v>
      </c>
    </row>
    <row r="161" spans="1:15" ht="13" x14ac:dyDescent="0.3">
      <c r="A161" s="130"/>
      <c r="B161" s="353" t="s">
        <v>248</v>
      </c>
      <c r="G161" s="1079">
        <f t="shared" ref="G161:M161" ca="1" si="28">G159/G74</f>
        <v>88.038164812679923</v>
      </c>
      <c r="H161" s="1079">
        <f t="shared" ca="1" si="28"/>
        <v>88.038164812679923</v>
      </c>
      <c r="I161" s="1079">
        <f t="shared" ca="1" si="28"/>
        <v>88.860059943967528</v>
      </c>
      <c r="J161" s="1079">
        <f t="shared" ca="1" si="28"/>
        <v>90.18907933123522</v>
      </c>
      <c r="K161" s="1079">
        <f t="shared" ca="1" si="28"/>
        <v>92.348748844211514</v>
      </c>
      <c r="L161" s="1079">
        <f t="shared" ca="1" si="28"/>
        <v>96.802817739087374</v>
      </c>
      <c r="M161" s="1079">
        <f t="shared" ca="1" si="28"/>
        <v>111.79944745266768</v>
      </c>
    </row>
    <row r="162" spans="1:15" ht="15.5" x14ac:dyDescent="0.4">
      <c r="A162" s="130"/>
      <c r="B162" s="353" t="s">
        <v>249</v>
      </c>
      <c r="G162" s="1079">
        <f t="shared" ref="G162:M162" ca="1" si="29">G159/G75</f>
        <v>103.57431154432932</v>
      </c>
      <c r="H162" s="1079">
        <f t="shared" ca="1" si="29"/>
        <v>103.57431154432932</v>
      </c>
      <c r="I162" s="1079">
        <f t="shared" ca="1" si="29"/>
        <v>104.54124699290298</v>
      </c>
      <c r="J162" s="1079">
        <f t="shared" ca="1" si="29"/>
        <v>106.10479921321792</v>
      </c>
      <c r="K162" s="1079">
        <f t="shared" ca="1" si="29"/>
        <v>108.64558687554296</v>
      </c>
      <c r="L162" s="1079">
        <f t="shared" ca="1" si="29"/>
        <v>113.88566792833809</v>
      </c>
      <c r="M162" s="1079">
        <f t="shared" ca="1" si="29"/>
        <v>131.52876170902078</v>
      </c>
    </row>
    <row r="163" spans="1:15" ht="13" x14ac:dyDescent="0.3">
      <c r="A163" s="130"/>
      <c r="G163" s="1079"/>
      <c r="H163" s="1079"/>
      <c r="I163" s="1079"/>
      <c r="J163" s="1079"/>
      <c r="K163" s="1079"/>
      <c r="L163" s="1079"/>
      <c r="M163" s="1079"/>
    </row>
    <row r="164" spans="1:15" x14ac:dyDescent="0.3">
      <c r="A164" s="130"/>
      <c r="B164" s="665" t="s">
        <v>250</v>
      </c>
    </row>
    <row r="165" spans="1:15" ht="13" x14ac:dyDescent="0.3">
      <c r="A165" s="130"/>
      <c r="B165" s="353" t="s">
        <v>251</v>
      </c>
      <c r="G165" s="1078">
        <f ca="1">'Manufacturing Costs'!G447</f>
        <v>19.754801507026581</v>
      </c>
      <c r="H165" s="1078">
        <f ca="1">'Manufacturing Costs'!H447</f>
        <v>19.754801507026581</v>
      </c>
      <c r="I165" s="1078">
        <f ca="1">'Manufacturing Costs'!I447</f>
        <v>19.96170420080384</v>
      </c>
      <c r="J165" s="1078">
        <f ca="1">'Manufacturing Costs'!J447</f>
        <v>20.294638774661919</v>
      </c>
      <c r="K165" s="1078">
        <f ca="1">'Manufacturing Costs'!K447</f>
        <v>20.837840683259593</v>
      </c>
      <c r="L165" s="1078">
        <f ca="1">'Manufacturing Costs'!L447</f>
        <v>21.960027182004595</v>
      </c>
      <c r="M165" s="1078">
        <f ca="1">'Manufacturing Costs'!M447</f>
        <v>25.731202812226652</v>
      </c>
    </row>
    <row r="166" spans="1:15" ht="13" x14ac:dyDescent="0.3">
      <c r="A166" s="130"/>
      <c r="B166" s="353" t="s">
        <v>252</v>
      </c>
      <c r="G166" s="1079">
        <f t="shared" ref="G166:M166" ca="1" si="30">G165*G70</f>
        <v>395.09603014053164</v>
      </c>
      <c r="H166" s="1079">
        <f t="shared" ca="1" si="30"/>
        <v>395.09603014053164</v>
      </c>
      <c r="I166" s="1079">
        <f t="shared" ca="1" si="30"/>
        <v>399.23408401607679</v>
      </c>
      <c r="J166" s="1079">
        <f t="shared" ca="1" si="30"/>
        <v>405.89277549323839</v>
      </c>
      <c r="K166" s="1079">
        <f t="shared" ca="1" si="30"/>
        <v>416.75681366519188</v>
      </c>
      <c r="L166" s="1079">
        <f t="shared" ca="1" si="30"/>
        <v>439.20054364009189</v>
      </c>
      <c r="M166" s="1079">
        <f t="shared" ca="1" si="30"/>
        <v>514.62405624453299</v>
      </c>
    </row>
    <row r="167" spans="1:15" ht="13" x14ac:dyDescent="0.3">
      <c r="A167" s="130"/>
      <c r="B167" s="353" t="s">
        <v>253</v>
      </c>
      <c r="G167" s="1079">
        <f ca="1">'Manufacturing Costs'!G448</f>
        <v>7901.9206028106328</v>
      </c>
      <c r="H167" s="1079">
        <f ca="1">'Manufacturing Costs'!H448</f>
        <v>7901.9206028106328</v>
      </c>
      <c r="I167" s="1079">
        <f ca="1">'Manufacturing Costs'!I448</f>
        <v>7984.6816803215361</v>
      </c>
      <c r="J167" s="1079">
        <f ca="1">'Manufacturing Costs'!J448</f>
        <v>8117.8555098647676</v>
      </c>
      <c r="K167" s="1079">
        <f ca="1">'Manufacturing Costs'!K448</f>
        <v>8335.1362733038368</v>
      </c>
      <c r="L167" s="1079">
        <f ca="1">'Manufacturing Costs'!L448</f>
        <v>8784.0108728018386</v>
      </c>
      <c r="M167" s="1079">
        <f ca="1">'Manufacturing Costs'!M448</f>
        <v>10292.481124890661</v>
      </c>
    </row>
    <row r="168" spans="1:15" ht="13" x14ac:dyDescent="0.3">
      <c r="A168" s="130">
        <v>23</v>
      </c>
      <c r="B168" s="353" t="s">
        <v>115</v>
      </c>
      <c r="G168" s="1079">
        <f ca="1">G165/G99</f>
        <v>79.019206028106339</v>
      </c>
      <c r="H168" s="1079">
        <f t="shared" ref="H168:M168" ca="1" si="31">H165/H99</f>
        <v>79.019206028106339</v>
      </c>
      <c r="I168" s="1079">
        <f t="shared" ca="1" si="31"/>
        <v>79.84681680321539</v>
      </c>
      <c r="J168" s="1079">
        <f t="shared" ca="1" si="31"/>
        <v>81.178555098647692</v>
      </c>
      <c r="K168" s="1079">
        <f t="shared" ca="1" si="31"/>
        <v>83.3513627330384</v>
      </c>
      <c r="L168" s="1079">
        <f t="shared" ca="1" si="31"/>
        <v>87.840108728018407</v>
      </c>
      <c r="M168" s="1079">
        <f t="shared" ca="1" si="31"/>
        <v>102.92481124890611</v>
      </c>
    </row>
    <row r="169" spans="1:15" ht="15.5" x14ac:dyDescent="0.4">
      <c r="A169" s="130"/>
      <c r="B169" s="353" t="s">
        <v>254</v>
      </c>
      <c r="G169" s="1079">
        <f t="shared" ref="G169:M169" ca="1" si="32">G165/G100</f>
        <v>92.963771797772168</v>
      </c>
      <c r="H169" s="1079">
        <f t="shared" ca="1" si="32"/>
        <v>92.963771797772168</v>
      </c>
      <c r="I169" s="1079">
        <f t="shared" ca="1" si="32"/>
        <v>93.937431533194598</v>
      </c>
      <c r="J169" s="1079">
        <f t="shared" ca="1" si="32"/>
        <v>95.504182468997286</v>
      </c>
      <c r="K169" s="1079">
        <f t="shared" ca="1" si="32"/>
        <v>98.060426744751055</v>
      </c>
      <c r="L169" s="1079">
        <f t="shared" ca="1" si="32"/>
        <v>103.34130438590401</v>
      </c>
      <c r="M169" s="1079">
        <f t="shared" ca="1" si="32"/>
        <v>121.08801323400719</v>
      </c>
    </row>
    <row r="170" spans="1:15" ht="13" x14ac:dyDescent="0.3">
      <c r="A170" s="130"/>
    </row>
    <row r="171" spans="1:15" x14ac:dyDescent="0.3">
      <c r="A171" s="130"/>
      <c r="B171" s="665" t="s">
        <v>255</v>
      </c>
      <c r="G171" s="497"/>
      <c r="H171" s="497"/>
      <c r="I171" s="497"/>
      <c r="J171" s="497"/>
      <c r="K171" s="497"/>
      <c r="L171" s="497"/>
      <c r="M171" s="497"/>
      <c r="O171" s="498"/>
    </row>
    <row r="172" spans="1:15" ht="13" x14ac:dyDescent="0.3">
      <c r="A172" s="130"/>
      <c r="B172" s="353" t="s">
        <v>256</v>
      </c>
      <c r="G172" s="93">
        <f ca="1">G160/G154</f>
        <v>0.79968848201888276</v>
      </c>
      <c r="H172" s="93">
        <f t="shared" ref="H172:M172" ca="1" si="33">H160/H154</f>
        <v>0.79968848201888276</v>
      </c>
      <c r="I172" s="93">
        <f t="shared" ca="1" si="33"/>
        <v>0.80061328012008481</v>
      </c>
      <c r="J172" s="93">
        <f t="shared" ca="1" si="33"/>
        <v>0.80196515713677941</v>
      </c>
      <c r="K172" s="93">
        <f t="shared" ca="1" si="33"/>
        <v>0.804296662120353</v>
      </c>
      <c r="L172" s="93">
        <f t="shared" ca="1" si="33"/>
        <v>0.80848029339493965</v>
      </c>
      <c r="M172" s="93">
        <f t="shared" ca="1" si="33"/>
        <v>0.82016411517454368</v>
      </c>
      <c r="O172" s="498"/>
    </row>
    <row r="173" spans="1:15" ht="13" x14ac:dyDescent="0.3">
      <c r="A173" s="130"/>
      <c r="B173" s="353" t="s">
        <v>257</v>
      </c>
      <c r="G173" s="93">
        <f ca="1">G167/G160</f>
        <v>0.8975562609265727</v>
      </c>
      <c r="H173" s="93">
        <f t="shared" ref="H173:M173" ca="1" si="34">H167/H160</f>
        <v>0.8975562609265727</v>
      </c>
      <c r="I173" s="93">
        <f t="shared" ca="1" si="34"/>
        <v>0.89856811770737488</v>
      </c>
      <c r="J173" s="93">
        <f t="shared" ca="1" si="34"/>
        <v>0.90009295693667313</v>
      </c>
      <c r="K173" s="93">
        <f t="shared" ca="1" si="34"/>
        <v>0.90257165122668492</v>
      </c>
      <c r="L173" s="93">
        <f t="shared" ca="1" si="34"/>
        <v>0.90741272598876044</v>
      </c>
      <c r="M173" s="93">
        <f t="shared" ca="1" si="34"/>
        <v>0.92062003519723301</v>
      </c>
      <c r="O173" s="498"/>
    </row>
    <row r="174" spans="1:15" ht="13" x14ac:dyDescent="0.3">
      <c r="A174" s="130"/>
      <c r="B174" s="478" t="s">
        <v>258</v>
      </c>
      <c r="C174" s="90"/>
      <c r="D174" s="90"/>
      <c r="E174" s="90"/>
      <c r="F174" s="90"/>
      <c r="G174" s="93">
        <f ca="1">G167/G154</f>
        <v>0.71776540382691523</v>
      </c>
      <c r="H174" s="93">
        <f t="shared" ref="H174:M174" ca="1" si="35">H167/H154</f>
        <v>0.71776540382691523</v>
      </c>
      <c r="I174" s="93">
        <f t="shared" ca="1" si="35"/>
        <v>0.71940556812903189</v>
      </c>
      <c r="J174" s="93">
        <f t="shared" ca="1" si="35"/>
        <v>0.72184318964742755</v>
      </c>
      <c r="K174" s="93">
        <f t="shared" ca="1" si="35"/>
        <v>0.72593536640607814</v>
      </c>
      <c r="L174" s="93">
        <f t="shared" ca="1" si="35"/>
        <v>0.73362530693769501</v>
      </c>
      <c r="M174" s="93">
        <f t="shared" ca="1" si="35"/>
        <v>0.75505951657949588</v>
      </c>
      <c r="O174" s="498"/>
    </row>
    <row r="175" spans="1:15" ht="13" x14ac:dyDescent="0.3">
      <c r="A175" s="130"/>
      <c r="B175" s="478"/>
      <c r="C175" s="90"/>
      <c r="D175" s="90"/>
      <c r="E175" s="90"/>
      <c r="F175" s="90"/>
      <c r="G175" s="501"/>
      <c r="H175" s="501"/>
      <c r="I175" s="501"/>
      <c r="J175" s="501"/>
      <c r="K175" s="501"/>
      <c r="L175" s="501"/>
      <c r="M175" s="501"/>
      <c r="O175" s="498"/>
    </row>
    <row r="176" spans="1:15" ht="13.5" thickBot="1" x14ac:dyDescent="0.35">
      <c r="A176" s="130"/>
      <c r="O176" s="498"/>
    </row>
    <row r="177" spans="1:32" ht="20.5" thickBot="1" x14ac:dyDescent="0.45">
      <c r="A177" s="130"/>
      <c r="B177" s="1453" t="s">
        <v>259</v>
      </c>
      <c r="C177" s="1454"/>
      <c r="D177" s="1454"/>
      <c r="E177" s="1454"/>
      <c r="F177" s="1454"/>
      <c r="G177" s="1454"/>
      <c r="H177" s="1454"/>
      <c r="I177" s="1454"/>
      <c r="J177" s="1454"/>
      <c r="K177" s="1454"/>
      <c r="L177" s="1454"/>
      <c r="M177" s="1455"/>
      <c r="N177" s="737"/>
      <c r="O177" s="498"/>
    </row>
    <row r="178" spans="1:32" ht="14.5" thickBot="1" x14ac:dyDescent="0.35">
      <c r="A178" s="130"/>
      <c r="G178" s="96"/>
      <c r="H178" s="96"/>
      <c r="I178" s="96"/>
      <c r="J178" s="96"/>
      <c r="K178" s="96"/>
      <c r="L178" s="96"/>
      <c r="M178" s="96"/>
    </row>
    <row r="179" spans="1:32" ht="18.5" thickBot="1" x14ac:dyDescent="0.45">
      <c r="A179" s="130"/>
      <c r="B179" s="1442" t="s">
        <v>260</v>
      </c>
      <c r="C179" s="1443"/>
      <c r="D179" s="1443"/>
      <c r="E179" s="1443"/>
      <c r="F179" s="1443"/>
      <c r="G179" s="1443"/>
      <c r="H179" s="1443"/>
      <c r="I179" s="1443"/>
      <c r="J179" s="1443"/>
      <c r="K179" s="1443"/>
      <c r="L179" s="1443"/>
      <c r="M179" s="1444"/>
    </row>
    <row r="180" spans="1:32" ht="20.25" customHeight="1" thickBot="1" x14ac:dyDescent="0.45">
      <c r="A180" s="130"/>
      <c r="B180" s="1439" t="str">
        <f>Chem!C5</f>
        <v>Li(Ni0.8Mn0.1Co0.1)O2 / Graphite</v>
      </c>
      <c r="C180" s="1440"/>
      <c r="D180" s="1440"/>
      <c r="E180" s="1440"/>
      <c r="F180" s="1440"/>
      <c r="G180" s="1440"/>
      <c r="H180" s="1440"/>
      <c r="I180" s="1440"/>
      <c r="J180" s="1440"/>
      <c r="K180" s="1440"/>
      <c r="L180" s="1440"/>
      <c r="M180" s="1441"/>
    </row>
    <row r="181" spans="1:32" ht="15" customHeight="1" x14ac:dyDescent="0.3">
      <c r="A181" s="130"/>
      <c r="B181" s="1430" t="s">
        <v>261</v>
      </c>
      <c r="C181" s="1431"/>
      <c r="D181" s="1431"/>
      <c r="E181" s="1431"/>
      <c r="F181" s="1431"/>
      <c r="G181" s="1431"/>
      <c r="H181" s="1431"/>
      <c r="I181" s="1431"/>
      <c r="J181" s="1431"/>
      <c r="K181" s="1431"/>
      <c r="L181" s="1431"/>
      <c r="M181" s="1432"/>
    </row>
    <row r="182" spans="1:32" ht="13" x14ac:dyDescent="0.3">
      <c r="A182" s="130"/>
      <c r="B182" s="1433"/>
      <c r="C182" s="1434"/>
      <c r="D182" s="1434"/>
      <c r="E182" s="1434"/>
      <c r="F182" s="1434"/>
      <c r="G182" s="1434"/>
      <c r="H182" s="1434"/>
      <c r="I182" s="1434"/>
      <c r="J182" s="1434"/>
      <c r="K182" s="1434"/>
      <c r="L182" s="1434"/>
      <c r="M182" s="1435"/>
    </row>
    <row r="183" spans="1:32" ht="13.5" thickBot="1" x14ac:dyDescent="0.35">
      <c r="A183" s="130"/>
      <c r="B183" s="1433"/>
      <c r="C183" s="1434"/>
      <c r="D183" s="1434"/>
      <c r="E183" s="1434"/>
      <c r="F183" s="1434"/>
      <c r="G183" s="1434"/>
      <c r="H183" s="1434"/>
      <c r="I183" s="1434"/>
      <c r="J183" s="1434"/>
      <c r="K183" s="1434"/>
      <c r="L183" s="1434"/>
      <c r="M183" s="1435"/>
    </row>
    <row r="184" spans="1:32" ht="9.75" customHeight="1" x14ac:dyDescent="0.3">
      <c r="A184" s="130"/>
      <c r="B184" s="1433"/>
      <c r="C184" s="1434"/>
      <c r="D184" s="1434"/>
      <c r="E184" s="1434"/>
      <c r="F184" s="1434"/>
      <c r="G184" s="1434"/>
      <c r="H184" s="1434"/>
      <c r="I184" s="1434"/>
      <c r="J184" s="1434"/>
      <c r="K184" s="1434"/>
      <c r="L184" s="1434"/>
      <c r="M184" s="1435"/>
      <c r="Z184" s="1262" t="s">
        <v>262</v>
      </c>
      <c r="AA184" s="481"/>
      <c r="AB184" s="481"/>
      <c r="AC184" s="481"/>
      <c r="AD184" s="481"/>
      <c r="AE184" s="481"/>
      <c r="AF184" s="482"/>
    </row>
    <row r="185" spans="1:32" ht="9" hidden="1" customHeight="1" thickBot="1" x14ac:dyDescent="0.35">
      <c r="A185" s="130"/>
      <c r="B185" s="1433"/>
      <c r="C185" s="1434"/>
      <c r="D185" s="1434"/>
      <c r="E185" s="1434"/>
      <c r="F185" s="1434"/>
      <c r="G185" s="1434"/>
      <c r="H185" s="1434"/>
      <c r="I185" s="1434"/>
      <c r="J185" s="1434"/>
      <c r="K185" s="1434"/>
      <c r="L185" s="1434"/>
      <c r="M185" s="1435"/>
      <c r="Z185" s="491"/>
      <c r="AA185" s="9"/>
      <c r="AB185" s="9"/>
      <c r="AC185" s="9"/>
      <c r="AD185" s="9"/>
      <c r="AE185" s="9"/>
      <c r="AF185" s="769"/>
    </row>
    <row r="186" spans="1:32" ht="27" hidden="1" customHeight="1" thickBot="1" x14ac:dyDescent="0.4">
      <c r="A186" s="130"/>
      <c r="B186" s="1433"/>
      <c r="C186" s="1434"/>
      <c r="D186" s="1434"/>
      <c r="E186" s="1434"/>
      <c r="F186" s="1434"/>
      <c r="G186" s="1434"/>
      <c r="H186" s="1434"/>
      <c r="I186" s="1434"/>
      <c r="J186" s="1434"/>
      <c r="K186" s="1434"/>
      <c r="L186" s="1434"/>
      <c r="M186" s="1435"/>
      <c r="O186" s="174"/>
      <c r="Z186" s="480" t="s">
        <v>263</v>
      </c>
      <c r="AA186" s="308"/>
      <c r="AB186" s="481"/>
      <c r="AC186" s="308"/>
      <c r="AD186" s="308"/>
      <c r="AE186" s="308" t="s">
        <v>264</v>
      </c>
      <c r="AF186" s="482"/>
    </row>
    <row r="187" spans="1:32" ht="16" thickBot="1" x14ac:dyDescent="0.4">
      <c r="A187" s="130"/>
      <c r="B187" s="1436"/>
      <c r="C187" s="1437"/>
      <c r="D187" s="1437"/>
      <c r="E187" s="1437"/>
      <c r="F187" s="1437"/>
      <c r="G187" s="1437"/>
      <c r="H187" s="1437"/>
      <c r="I187" s="1437"/>
      <c r="J187" s="1437"/>
      <c r="K187" s="1437"/>
      <c r="L187" s="1437"/>
      <c r="M187" s="1438"/>
      <c r="O187" s="174"/>
      <c r="Z187" s="1263" t="s">
        <v>265</v>
      </c>
      <c r="AA187" s="300" t="s">
        <v>266</v>
      </c>
      <c r="AB187" s="300" t="s">
        <v>267</v>
      </c>
      <c r="AC187" s="300" t="s">
        <v>268</v>
      </c>
      <c r="AD187" s="300" t="s">
        <v>269</v>
      </c>
      <c r="AE187" s="300" t="s">
        <v>270</v>
      </c>
      <c r="AF187" s="1264" t="s">
        <v>271</v>
      </c>
    </row>
    <row r="188" spans="1:32" ht="18.75" customHeight="1" thickBot="1" x14ac:dyDescent="0.4">
      <c r="A188" s="130"/>
      <c r="B188" s="1173" t="s">
        <v>268</v>
      </c>
      <c r="C188" s="1174" t="s">
        <v>265</v>
      </c>
      <c r="D188" s="1174" t="s">
        <v>272</v>
      </c>
      <c r="E188" s="1174" t="s">
        <v>273</v>
      </c>
      <c r="F188" s="1175" t="s">
        <v>269</v>
      </c>
      <c r="G188" s="1427" t="s">
        <v>274</v>
      </c>
      <c r="H188" s="1428"/>
      <c r="I188" s="1428"/>
      <c r="J188" s="1428"/>
      <c r="K188" s="1428"/>
      <c r="L188" s="1428"/>
      <c r="M188" s="1429"/>
      <c r="Z188" s="1259" t="s">
        <v>14</v>
      </c>
      <c r="AA188" s="1260">
        <f t="array" aca="1" ref="AA188" ca="1">SUM(IF(INDIRECT(Z188&amp;"!" &amp; AB188 &amp;  ":" &amp; AB188) = $AE$186, 1, 0))</f>
        <v>4</v>
      </c>
      <c r="AB188" s="1260" t="s">
        <v>275</v>
      </c>
      <c r="AC188" s="1260" t="s">
        <v>276</v>
      </c>
      <c r="AD188" s="1260" t="s">
        <v>277</v>
      </c>
      <c r="AE188" s="1260">
        <f ca="1">AA188</f>
        <v>4</v>
      </c>
      <c r="AF188" s="1261">
        <v>1</v>
      </c>
    </row>
    <row r="189" spans="1:32" ht="18.75" customHeight="1" x14ac:dyDescent="0.35">
      <c r="A189" s="130"/>
      <c r="B189" s="1176" t="s">
        <v>278</v>
      </c>
      <c r="C189" s="1177" t="s">
        <v>14</v>
      </c>
      <c r="D189" s="1178">
        <v>1</v>
      </c>
      <c r="E189" s="1179"/>
      <c r="F189" s="1180"/>
      <c r="G189" s="1181">
        <v>1</v>
      </c>
      <c r="H189" s="1182">
        <v>2</v>
      </c>
      <c r="I189" s="1182">
        <v>3</v>
      </c>
      <c r="J189" s="1182">
        <v>4</v>
      </c>
      <c r="K189" s="1182">
        <v>5</v>
      </c>
      <c r="L189" s="1182">
        <v>6</v>
      </c>
      <c r="M189" s="1183">
        <v>7</v>
      </c>
      <c r="Z189" s="485" t="str">
        <f>"'Battery Design'"</f>
        <v>'Battery Design'</v>
      </c>
      <c r="AA189" s="484">
        <f t="array" aca="1" ref="AA189" ca="1">SUM(IF(INDIRECT(Z189&amp;"!" &amp; AB189 &amp;  ":" &amp; AB189) = $AE$186, 1, 0))</f>
        <v>5</v>
      </c>
      <c r="AB189" s="484" t="s">
        <v>275</v>
      </c>
      <c r="AC189" s="484" t="s">
        <v>276</v>
      </c>
      <c r="AD189" s="484" t="s">
        <v>279</v>
      </c>
      <c r="AE189" s="484">
        <f t="shared" ref="AE189:AE194" ca="1" si="36">AE188+ AA189 + IF(AA189=0, 1, 0)</f>
        <v>9</v>
      </c>
      <c r="AF189" s="483">
        <v>7</v>
      </c>
    </row>
    <row r="190" spans="1:32" ht="15" customHeight="1" x14ac:dyDescent="0.35">
      <c r="A190" s="130"/>
      <c r="B190" s="1184" t="str">
        <f t="shared" ref="B190:B221" ca="1" si="37">IFERROR(IF(BB196= "", IF(ISBLANK(INDIRECT(C190 &amp;"!$" &amp;INDEX($AC$188:$AC$211, MATCH(C190, $Z$188:$Z$198, 0))&amp;  D190)), "", INDIRECT(C190 &amp;"!$" &amp;INDEX($AC$188:$AC$211, MATCH(C190, $Z$188:$Z$198, 0))&amp;  D190)), INDIRECT(C190 &amp;"!$" &amp;DD196&amp;  D190)), "")</f>
        <v>Couple Name</v>
      </c>
      <c r="C190" s="1185" t="str">
        <f ca="1">IF(ROW(E190) - ROW(B189)&gt; INDEX($AE$188:$AE$213, MATCH(C189, $Z$188:$Z$198, 0)), INDEX($Z$188:$Z$198, MATCH(C189, $Z$188:$Z$198, 0) + 1), C189)</f>
        <v>Chem</v>
      </c>
      <c r="D190" s="1185">
        <f t="shared" ref="D190:D221" ca="1" si="38">IFERROR(MATCH("x",INDIRECT(C190&amp;"!$"&amp;INDEX($AB$188:$AB$211,MATCH(C190,$Z$188:$Z$198,0))&amp;IF(NOT(C190=C189),1,D189+1)&amp;":$"&amp;INDEX($AB$188:$AB$211,MATCH(C190,$Z$188:$Z$198,0))&amp;"20000"),0)+IF(NOT(C190=C189),0,D189), "")</f>
        <v>5</v>
      </c>
      <c r="E190" s="1185">
        <f t="shared" ref="E190:E221" ca="1" si="39">IFERROR(INDEX( $AF$188:$AF$203,MATCH(C190, $Z$188:$Z$202, 0)), "")</f>
        <v>1</v>
      </c>
      <c r="F190" s="1186" t="str">
        <f t="shared" ref="F190:F221" ca="1" si="40">IFERROR(IF(NOT(E190 = 1), "",  IF(ISBLANK(INDIRECT(C190 &amp;"!$" &amp;INDEX($AD$188:$AD$211, MATCH(C190, $Z$188:$Z$198, 0))&amp;  D190)), "",INDIRECT(C190 &amp;"!$" &amp;INDEX($AD$188:$AD$211, MATCH(C190, $Z$188:$Z$198, 0))&amp;  D190))),  "")</f>
        <v>Li(Ni0.8Mn0.1Co0.1)O2 / Graphite</v>
      </c>
      <c r="G190" s="1186" t="str">
        <f t="shared" ref="G190:M199" ca="1" si="41">IFERROR(IF(NOT($E190 = 7), "",INDIRECT($C190 &amp;"!" &amp;ADDRESS($D190,  COLUMN(INDIRECT(INDEX($AD$188:$AD$211, MATCH($C190, $Z$188:$Z$198, 0)) &amp; $D190)) +  G$189 - 1))), "")</f>
        <v/>
      </c>
      <c r="H190" s="1186" t="str">
        <f t="shared" ca="1" si="41"/>
        <v/>
      </c>
      <c r="I190" s="1186" t="str">
        <f t="shared" ca="1" si="41"/>
        <v/>
      </c>
      <c r="J190" s="1186" t="str">
        <f t="shared" ca="1" si="41"/>
        <v/>
      </c>
      <c r="K190" s="1186" t="str">
        <f t="shared" ca="1" si="41"/>
        <v/>
      </c>
      <c r="L190" s="1186" t="str">
        <f t="shared" ca="1" si="41"/>
        <v/>
      </c>
      <c r="M190" s="1186" t="str">
        <f t="shared" ca="1" si="41"/>
        <v/>
      </c>
      <c r="Z190" s="485" t="s">
        <v>22</v>
      </c>
      <c r="AA190" s="484">
        <f t="array" aca="1" ref="AA190" ca="1">SUM(IF(INDIRECT(Z190&amp;"!" &amp; AB190 &amp;  ":" &amp; AB190) = $AE$186, 1, 0))</f>
        <v>3</v>
      </c>
      <c r="AB190" s="484" t="s">
        <v>275</v>
      </c>
      <c r="AC190" s="484" t="s">
        <v>276</v>
      </c>
      <c r="AD190" s="484" t="s">
        <v>279</v>
      </c>
      <c r="AE190" s="484">
        <f t="shared" ca="1" si="36"/>
        <v>12</v>
      </c>
      <c r="AF190" s="483">
        <v>7</v>
      </c>
    </row>
    <row r="191" spans="1:32" ht="15" customHeight="1" x14ac:dyDescent="0.35">
      <c r="A191" s="130"/>
      <c r="B191" s="1184" t="str">
        <f t="shared" ca="1" si="37"/>
        <v>Positive electrode active material weight %</v>
      </c>
      <c r="C191" s="1185" t="str">
        <f t="shared" ref="C191:C222" ca="1" si="42">IFERROR(IF(ROW(E191) - ROW($E$190) &gt; INDEX($AE$188:$AE$213, MATCH(C190, $Z$188:$Z$198, 0)), INDEX($Z$188:$Z$198, MATCH(C190, $Z$188:$Z$198, 0) + 1), C190), "")</f>
        <v>Chem</v>
      </c>
      <c r="D191" s="1185">
        <f t="shared" ca="1" si="38"/>
        <v>11</v>
      </c>
      <c r="E191" s="1185">
        <f t="shared" ca="1" si="39"/>
        <v>1</v>
      </c>
      <c r="F191" s="1186">
        <f t="shared" ca="1" si="40"/>
        <v>96</v>
      </c>
      <c r="G191" s="1186" t="str">
        <f t="shared" ca="1" si="41"/>
        <v/>
      </c>
      <c r="H191" s="1186" t="str">
        <f t="shared" ca="1" si="41"/>
        <v/>
      </c>
      <c r="I191" s="1186" t="str">
        <f t="shared" ca="1" si="41"/>
        <v/>
      </c>
      <c r="J191" s="1186" t="str">
        <f t="shared" ca="1" si="41"/>
        <v/>
      </c>
      <c r="K191" s="1186" t="str">
        <f t="shared" ca="1" si="41"/>
        <v/>
      </c>
      <c r="L191" s="1186" t="str">
        <f t="shared" ca="1" si="41"/>
        <v/>
      </c>
      <c r="M191" s="1186" t="str">
        <f t="shared" ca="1" si="41"/>
        <v/>
      </c>
      <c r="Z191" s="485" t="s">
        <v>23</v>
      </c>
      <c r="AA191" s="484">
        <f t="array" aca="1" ref="AA191" ca="1">SUM(IF(INDIRECT(Z191&amp;"!" &amp; AB191 &amp;  ":" &amp; AB191) = $AE$186, 1, 0))</f>
        <v>1</v>
      </c>
      <c r="AB191" s="484" t="s">
        <v>275</v>
      </c>
      <c r="AC191" s="484" t="s">
        <v>276</v>
      </c>
      <c r="AD191" s="484" t="s">
        <v>280</v>
      </c>
      <c r="AE191" s="484">
        <f t="shared" ca="1" si="36"/>
        <v>13</v>
      </c>
      <c r="AF191" s="483">
        <v>7</v>
      </c>
    </row>
    <row r="192" spans="1:32" ht="15" customHeight="1" x14ac:dyDescent="0.35">
      <c r="A192" s="130"/>
      <c r="B192" s="1184" t="str">
        <f t="shared" ca="1" si="37"/>
        <v>Positive foil material</v>
      </c>
      <c r="C192" s="1185" t="str">
        <f t="shared" ca="1" si="42"/>
        <v>Chem</v>
      </c>
      <c r="D192" s="1185">
        <f t="shared" ca="1" si="38"/>
        <v>30</v>
      </c>
      <c r="E192" s="1185">
        <f t="shared" ca="1" si="39"/>
        <v>1</v>
      </c>
      <c r="F192" s="1186" t="str">
        <f t="shared" ca="1" si="40"/>
        <v>Aluminum</v>
      </c>
      <c r="G192" s="1186" t="str">
        <f t="shared" ca="1" si="41"/>
        <v/>
      </c>
      <c r="H192" s="1186" t="str">
        <f t="shared" ca="1" si="41"/>
        <v/>
      </c>
      <c r="I192" s="1186" t="str">
        <f t="shared" ca="1" si="41"/>
        <v/>
      </c>
      <c r="J192" s="1186" t="str">
        <f t="shared" ca="1" si="41"/>
        <v/>
      </c>
      <c r="K192" s="1186" t="str">
        <f t="shared" ca="1" si="41"/>
        <v/>
      </c>
      <c r="L192" s="1186" t="str">
        <f t="shared" ca="1" si="41"/>
        <v/>
      </c>
      <c r="M192" s="1186" t="str">
        <f t="shared" ca="1" si="41"/>
        <v/>
      </c>
      <c r="Z192" s="485" t="str">
        <f>"'Manufacturing Costs'"</f>
        <v>'Manufacturing Costs'</v>
      </c>
      <c r="AA192" s="484">
        <f t="array" aca="1" ref="AA192" ca="1">SUM(IF(INDIRECT(Z192&amp;"!" &amp; AB192 &amp;  ":" &amp; AB192) = $AE$186, 1, 0))</f>
        <v>3</v>
      </c>
      <c r="AB192" s="484" t="s">
        <v>275</v>
      </c>
      <c r="AC192" s="484" t="s">
        <v>276</v>
      </c>
      <c r="AD192" s="484" t="s">
        <v>279</v>
      </c>
      <c r="AE192" s="484">
        <f t="shared" ca="1" si="36"/>
        <v>16</v>
      </c>
      <c r="AF192" s="483">
        <v>7</v>
      </c>
    </row>
    <row r="193" spans="1:32" ht="15" customHeight="1" x14ac:dyDescent="0.35">
      <c r="A193" s="130"/>
      <c r="B193" s="1184" t="str">
        <f t="shared" ca="1" si="37"/>
        <v>Positive foil thickness, µm</v>
      </c>
      <c r="C193" s="1185" t="str">
        <f t="shared" ca="1" si="42"/>
        <v>Chem</v>
      </c>
      <c r="D193" s="1185">
        <f t="shared" ca="1" si="38"/>
        <v>31</v>
      </c>
      <c r="E193" s="1185">
        <f t="shared" ca="1" si="39"/>
        <v>1</v>
      </c>
      <c r="F193" s="1186">
        <f t="shared" ca="1" si="40"/>
        <v>15</v>
      </c>
      <c r="G193" s="1186" t="str">
        <f t="shared" ca="1" si="41"/>
        <v/>
      </c>
      <c r="H193" s="1186" t="str">
        <f t="shared" ca="1" si="41"/>
        <v/>
      </c>
      <c r="I193" s="1186" t="str">
        <f t="shared" ca="1" si="41"/>
        <v/>
      </c>
      <c r="J193" s="1186" t="str">
        <f t="shared" ca="1" si="41"/>
        <v/>
      </c>
      <c r="K193" s="1186" t="str">
        <f t="shared" ca="1" si="41"/>
        <v/>
      </c>
      <c r="L193" s="1186" t="str">
        <f t="shared" ca="1" si="41"/>
        <v/>
      </c>
      <c r="M193" s="1186" t="str">
        <f t="shared" ca="1" si="41"/>
        <v/>
      </c>
      <c r="Z193" s="488" t="str">
        <f>"'Cost Breakdown'"</f>
        <v>'Cost Breakdown'</v>
      </c>
      <c r="AA193" s="484">
        <f t="array" aca="1" ref="AA193" ca="1">SUM(IF(INDIRECT(Z193&amp;"!" &amp; AB193 &amp;  ":" &amp; AB193) = $AE$186, 1, 0))</f>
        <v>2</v>
      </c>
      <c r="AB193" s="484" t="s">
        <v>275</v>
      </c>
      <c r="AC193" s="484" t="s">
        <v>276</v>
      </c>
      <c r="AD193" s="484" t="s">
        <v>279</v>
      </c>
      <c r="AE193" s="484">
        <f t="shared" ca="1" si="36"/>
        <v>18</v>
      </c>
      <c r="AF193" s="483">
        <v>7</v>
      </c>
    </row>
    <row r="194" spans="1:32" ht="15" customHeight="1" x14ac:dyDescent="0.3">
      <c r="A194" s="130"/>
      <c r="B194" s="1184" t="str">
        <f ca="1">IFERROR(IF(BB200= "", IF(ISBLANK(INDIRECT(C194 &amp;"!$" &amp;INDEX($AC$188:$AC$211, MATCH(C194, $Z$188:$Z$198, 0))&amp;  D194)), "", INDIRECT(C194 &amp;"!$" &amp;INDEX($AC$188:$AC$211, MATCH(C194, $Z$188:$Z$198, 0))&amp;  D194)), INDIRECT(C194 &amp;"!$" &amp;DD200&amp;  D194)), "")</f>
        <v/>
      </c>
      <c r="C194" s="1185" t="str">
        <f t="shared" ca="1" si="42"/>
        <v>Chem</v>
      </c>
      <c r="D194" s="1185" t="str">
        <f t="shared" ca="1" si="38"/>
        <v/>
      </c>
      <c r="E194" s="1185">
        <f t="shared" ca="1" si="39"/>
        <v>1</v>
      </c>
      <c r="F194" s="1186" t="str">
        <f t="shared" ca="1" si="40"/>
        <v/>
      </c>
      <c r="G194" s="1186" t="str">
        <f t="shared" ca="1" si="41"/>
        <v/>
      </c>
      <c r="H194" s="1186" t="str">
        <f t="shared" ca="1" si="41"/>
        <v/>
      </c>
      <c r="I194" s="1186" t="str">
        <f t="shared" ca="1" si="41"/>
        <v/>
      </c>
      <c r="J194" s="1186" t="str">
        <f t="shared" ca="1" si="41"/>
        <v/>
      </c>
      <c r="K194" s="1186" t="str">
        <f t="shared" ca="1" si="41"/>
        <v/>
      </c>
      <c r="L194" s="1186" t="str">
        <f t="shared" ca="1" si="41"/>
        <v/>
      </c>
      <c r="M194" s="1186" t="str">
        <f t="shared" ca="1" si="41"/>
        <v/>
      </c>
      <c r="Z194" s="491" t="s">
        <v>18</v>
      </c>
      <c r="AA194" s="484">
        <f t="array" aca="1" ref="AA194" ca="1">SUM(IF(INDIRECT(Z194&amp;"!" &amp; AB194 &amp;  ":" &amp; AB194) = $AE$186, 1, 0))</f>
        <v>2</v>
      </c>
      <c r="AB194" s="489" t="s">
        <v>275</v>
      </c>
      <c r="AC194" s="489" t="s">
        <v>276</v>
      </c>
      <c r="AD194" s="489" t="s">
        <v>279</v>
      </c>
      <c r="AE194" s="489">
        <f t="shared" ca="1" si="36"/>
        <v>20</v>
      </c>
      <c r="AF194" s="490">
        <v>7</v>
      </c>
    </row>
    <row r="195" spans="1:32" ht="15" customHeight="1" x14ac:dyDescent="0.3">
      <c r="A195" s="130"/>
      <c r="B195" s="1184" t="str">
        <f t="shared" ca="1" si="37"/>
        <v>ASI of positive current collector, ohm-cm²</v>
      </c>
      <c r="C195" s="1185" t="str">
        <f t="shared" ca="1" si="42"/>
        <v>'Battery Design'</v>
      </c>
      <c r="D195" s="1185">
        <f t="shared" ca="1" si="38"/>
        <v>225</v>
      </c>
      <c r="E195" s="1185">
        <f t="shared" ca="1" si="39"/>
        <v>7</v>
      </c>
      <c r="F195" s="1186" t="str">
        <f t="shared" ca="1" si="40"/>
        <v/>
      </c>
      <c r="G195" s="1186">
        <f t="shared" ca="1" si="41"/>
        <v>0.6369287687817542</v>
      </c>
      <c r="H195" s="1186">
        <f t="shared" ca="1" si="41"/>
        <v>0.6369287687817542</v>
      </c>
      <c r="I195" s="1186">
        <f t="shared" ca="1" si="41"/>
        <v>0.64299278340068833</v>
      </c>
      <c r="J195" s="1186">
        <f t="shared" ca="1" si="41"/>
        <v>0.64842690510106027</v>
      </c>
      <c r="K195" s="1186">
        <f t="shared" ca="1" si="41"/>
        <v>0.6657128395247548</v>
      </c>
      <c r="L195" s="1186">
        <f t="shared" ca="1" si="41"/>
        <v>0.68996035351781559</v>
      </c>
      <c r="M195" s="1186">
        <f t="shared" ca="1" si="41"/>
        <v>0.78213095594616355</v>
      </c>
      <c r="Z195" s="491"/>
      <c r="AA195" s="489"/>
      <c r="AB195" s="489"/>
      <c r="AC195" s="489"/>
      <c r="AD195" s="489"/>
      <c r="AE195" s="489"/>
      <c r="AF195" s="490"/>
    </row>
    <row r="196" spans="1:32" ht="15" customHeight="1" thickBot="1" x14ac:dyDescent="0.35">
      <c r="A196" s="130"/>
      <c r="B196" s="1184" t="str">
        <f t="shared" ca="1" si="37"/>
        <v>Total cell ASI for energy (C/3 rate), ohm-cm²</v>
      </c>
      <c r="C196" s="1185" t="str">
        <f t="shared" ca="1" si="42"/>
        <v>'Battery Design'</v>
      </c>
      <c r="D196" s="1185">
        <f t="shared" ca="1" si="38"/>
        <v>233</v>
      </c>
      <c r="E196" s="1185">
        <f t="shared" ca="1" si="39"/>
        <v>7</v>
      </c>
      <c r="F196" s="1186" t="str">
        <f t="shared" ca="1" si="40"/>
        <v/>
      </c>
      <c r="G196" s="1186">
        <f t="shared" ca="1" si="41"/>
        <v>17.247990391209456</v>
      </c>
      <c r="H196" s="1186">
        <f t="shared" ca="1" si="41"/>
        <v>17.247990391209456</v>
      </c>
      <c r="I196" s="1186">
        <f t="shared" ca="1" si="41"/>
        <v>17.309446568817684</v>
      </c>
      <c r="J196" s="1186">
        <f t="shared" ca="1" si="41"/>
        <v>17.402024815050272</v>
      </c>
      <c r="K196" s="1186">
        <f t="shared" ca="1" si="41"/>
        <v>17.5613380507348</v>
      </c>
      <c r="L196" s="1186">
        <f t="shared" ca="1" si="41"/>
        <v>17.86823961066327</v>
      </c>
      <c r="M196" s="1186">
        <f t="shared" ca="1" si="41"/>
        <v>18.911099605022557</v>
      </c>
      <c r="Z196" s="492"/>
      <c r="AA196" s="493"/>
      <c r="AB196" s="493"/>
      <c r="AC196" s="493"/>
      <c r="AD196" s="493"/>
      <c r="AE196" s="493"/>
      <c r="AF196" s="494"/>
    </row>
    <row r="197" spans="1:32" ht="15" customHeight="1" thickBot="1" x14ac:dyDescent="0.35">
      <c r="A197" s="130"/>
      <c r="B197" s="1184" t="str">
        <f t="shared" ca="1" si="37"/>
        <v>Negative electrode thickness, µm</v>
      </c>
      <c r="C197" s="1185" t="str">
        <f t="shared" ca="1" si="42"/>
        <v>'Battery Design'</v>
      </c>
      <c r="D197" s="1185">
        <f t="shared" ca="1" si="38"/>
        <v>277</v>
      </c>
      <c r="E197" s="1185">
        <f t="shared" ca="1" si="39"/>
        <v>7</v>
      </c>
      <c r="F197" s="1186" t="str">
        <f t="shared" ca="1" si="40"/>
        <v/>
      </c>
      <c r="G197" s="1186">
        <f t="shared" ca="1" si="41"/>
        <v>152.69056152957771</v>
      </c>
      <c r="H197" s="1186">
        <f t="shared" ca="1" si="41"/>
        <v>152.69056152957771</v>
      </c>
      <c r="I197" s="1186">
        <f t="shared" ca="1" si="41"/>
        <v>137.78646936835412</v>
      </c>
      <c r="J197" s="1186">
        <f t="shared" ca="1" si="41"/>
        <v>119.42835819381278</v>
      </c>
      <c r="K197" s="1186">
        <f t="shared" ca="1" si="41"/>
        <v>98.099647014495872</v>
      </c>
      <c r="L197" s="1186">
        <f t="shared" ca="1" si="41"/>
        <v>72.501666816158377</v>
      </c>
      <c r="M197" s="1186">
        <f t="shared" ca="1" si="41"/>
        <v>38.566881873489137</v>
      </c>
      <c r="Z197" s="785"/>
      <c r="AA197" s="644"/>
      <c r="AB197" s="644"/>
      <c r="AC197" s="644"/>
      <c r="AD197" s="644"/>
      <c r="AE197" s="644"/>
      <c r="AF197" s="1135"/>
    </row>
    <row r="198" spans="1:32" ht="15" customHeight="1" x14ac:dyDescent="0.3">
      <c r="A198" s="130"/>
      <c r="B198" s="1184" t="str">
        <f t="shared" ca="1" si="37"/>
        <v>Positive electrode areal capacity, mAh/cm²</v>
      </c>
      <c r="C198" s="1185" t="str">
        <f t="shared" ca="1" si="42"/>
        <v>'Battery Design'</v>
      </c>
      <c r="D198" s="1185">
        <f t="shared" ca="1" si="38"/>
        <v>278</v>
      </c>
      <c r="E198" s="1185">
        <f t="shared" ca="1" si="39"/>
        <v>7</v>
      </c>
      <c r="F198" s="1186" t="str">
        <f t="shared" ca="1" si="40"/>
        <v/>
      </c>
      <c r="G198" s="1186">
        <f t="shared" ca="1" si="41"/>
        <v>8.0691897467962015</v>
      </c>
      <c r="H198" s="1186">
        <f t="shared" ca="1" si="41"/>
        <v>8.0691897467962015</v>
      </c>
      <c r="I198" s="1186">
        <f t="shared" ca="1" si="41"/>
        <v>7.281557908600659</v>
      </c>
      <c r="J198" s="1186">
        <f t="shared" ca="1" si="41"/>
        <v>6.3113926215245577</v>
      </c>
      <c r="K198" s="1186">
        <f t="shared" ca="1" si="41"/>
        <v>5.1842409768095497</v>
      </c>
      <c r="L198" s="1186">
        <f t="shared" ca="1" si="41"/>
        <v>3.8314726243589945</v>
      </c>
      <c r="M198" s="1186">
        <f t="shared" ca="1" si="41"/>
        <v>2.0381317919194082</v>
      </c>
    </row>
    <row r="199" spans="1:32" ht="15" customHeight="1" x14ac:dyDescent="0.3">
      <c r="A199" s="130"/>
      <c r="B199" s="1184" t="str">
        <f t="shared" ca="1" si="37"/>
        <v>Negative electrode areal capacity, mAh/cm²</v>
      </c>
      <c r="C199" s="1185" t="str">
        <f t="shared" ca="1" si="42"/>
        <v>'Battery Design'</v>
      </c>
      <c r="D199" s="1185">
        <f t="shared" ca="1" si="38"/>
        <v>279</v>
      </c>
      <c r="E199" s="1185">
        <f t="shared" ca="1" si="39"/>
        <v>7</v>
      </c>
      <c r="F199" s="1186" t="str">
        <f t="shared" ca="1" si="40"/>
        <v/>
      </c>
      <c r="G199" s="1186">
        <f t="shared" ca="1" si="41"/>
        <v>8.8761087214758234</v>
      </c>
      <c r="H199" s="1186">
        <f t="shared" ca="1" si="41"/>
        <v>8.8761087214758234</v>
      </c>
      <c r="I199" s="1186">
        <f t="shared" ca="1" si="41"/>
        <v>8.0097136994607254</v>
      </c>
      <c r="J199" s="1186">
        <f t="shared" ca="1" si="41"/>
        <v>6.942531883677014</v>
      </c>
      <c r="K199" s="1186">
        <f t="shared" ca="1" si="41"/>
        <v>5.7026650744905059</v>
      </c>
      <c r="L199" s="1186">
        <f t="shared" ca="1" si="41"/>
        <v>4.2146198867948934</v>
      </c>
      <c r="M199" s="1186">
        <f t="shared" ca="1" si="41"/>
        <v>2.2419449711113488</v>
      </c>
    </row>
    <row r="200" spans="1:32" ht="15" customHeight="1" x14ac:dyDescent="0.3">
      <c r="A200" s="130"/>
      <c r="B200" s="1184" t="str">
        <f t="shared" ca="1" si="37"/>
        <v>Total Cost of BMS, $</v>
      </c>
      <c r="C200" s="1185" t="str">
        <f t="shared" ca="1" si="42"/>
        <v>BMS</v>
      </c>
      <c r="D200" s="1185">
        <f t="shared" ca="1" si="38"/>
        <v>133</v>
      </c>
      <c r="E200" s="1185">
        <f t="shared" ca="1" si="39"/>
        <v>7</v>
      </c>
      <c r="F200" s="1186" t="str">
        <f t="shared" ca="1" si="40"/>
        <v/>
      </c>
      <c r="G200" s="1186">
        <f t="shared" ref="G200:M209" ca="1" si="43">IFERROR(IF(NOT($E200 = 7), "",INDIRECT($C200 &amp;"!" &amp;ADDRESS($D200,  COLUMN(INDIRECT(INDEX($AD$188:$AD$211, MATCH($C200, $Z$188:$Z$198, 0)) &amp; $D200)) +  G$189 - 1))), "")</f>
        <v>355.60113966998904</v>
      </c>
      <c r="H200" s="1186">
        <f t="shared" ca="1" si="43"/>
        <v>355.60113966998904</v>
      </c>
      <c r="I200" s="1186">
        <f t="shared" ca="1" si="43"/>
        <v>355.60113966998904</v>
      </c>
      <c r="J200" s="1186">
        <f t="shared" ca="1" si="43"/>
        <v>355.60113966998904</v>
      </c>
      <c r="K200" s="1186">
        <f t="shared" ca="1" si="43"/>
        <v>355.60113966998904</v>
      </c>
      <c r="L200" s="1186">
        <f t="shared" ca="1" si="43"/>
        <v>355.60113966998904</v>
      </c>
      <c r="M200" s="1186">
        <f t="shared" ca="1" si="43"/>
        <v>355.60113966998904</v>
      </c>
    </row>
    <row r="201" spans="1:32" ht="15" customHeight="1" x14ac:dyDescent="0.3">
      <c r="A201" s="130"/>
      <c r="B201" s="1184" t="str">
        <f t="shared" ca="1" si="37"/>
        <v>Total Mass of BMS, kg</v>
      </c>
      <c r="C201" s="1185" t="str">
        <f t="shared" ca="1" si="42"/>
        <v>BMS</v>
      </c>
      <c r="D201" s="1185">
        <f t="shared" ca="1" si="38"/>
        <v>142</v>
      </c>
      <c r="E201" s="1185">
        <f t="shared" ca="1" si="39"/>
        <v>7</v>
      </c>
      <c r="F201" s="1186" t="str">
        <f t="shared" ca="1" si="40"/>
        <v/>
      </c>
      <c r="G201" s="1186">
        <f t="shared" ca="1" si="43"/>
        <v>3.5776000000000003</v>
      </c>
      <c r="H201" s="1186">
        <f t="shared" ca="1" si="43"/>
        <v>3.5776000000000003</v>
      </c>
      <c r="I201" s="1186">
        <f t="shared" ca="1" si="43"/>
        <v>3.5776000000000003</v>
      </c>
      <c r="J201" s="1186">
        <f t="shared" ca="1" si="43"/>
        <v>3.5776000000000003</v>
      </c>
      <c r="K201" s="1186">
        <f t="shared" ca="1" si="43"/>
        <v>3.5776000000000003</v>
      </c>
      <c r="L201" s="1186">
        <f t="shared" ca="1" si="43"/>
        <v>3.5776000000000003</v>
      </c>
      <c r="M201" s="1186">
        <f t="shared" ca="1" si="43"/>
        <v>3.5776000000000003</v>
      </c>
    </row>
    <row r="202" spans="1:32" ht="15" customHeight="1" x14ac:dyDescent="0.3">
      <c r="A202" s="130"/>
      <c r="B202" s="1184" t="str">
        <f t="shared" ca="1" si="37"/>
        <v>Total Volume of BMS, L</v>
      </c>
      <c r="C202" s="1185" t="str">
        <f t="shared" ca="1" si="42"/>
        <v>BMS</v>
      </c>
      <c r="D202" s="1185">
        <f t="shared" ca="1" si="38"/>
        <v>151</v>
      </c>
      <c r="E202" s="1185">
        <f t="shared" ca="1" si="39"/>
        <v>7</v>
      </c>
      <c r="F202" s="1186" t="str">
        <f t="shared" ca="1" si="40"/>
        <v/>
      </c>
      <c r="G202" s="1186">
        <f t="shared" ca="1" si="43"/>
        <v>3.6146500000000001</v>
      </c>
      <c r="H202" s="1186">
        <f t="shared" ca="1" si="43"/>
        <v>3.6146500000000001</v>
      </c>
      <c r="I202" s="1186">
        <f t="shared" ca="1" si="43"/>
        <v>3.6146500000000001</v>
      </c>
      <c r="J202" s="1186">
        <f t="shared" ca="1" si="43"/>
        <v>3.6146500000000001</v>
      </c>
      <c r="K202" s="1186">
        <f t="shared" ca="1" si="43"/>
        <v>3.6146500000000001</v>
      </c>
      <c r="L202" s="1186">
        <f t="shared" ca="1" si="43"/>
        <v>3.6146500000000001</v>
      </c>
      <c r="M202" s="1186">
        <f t="shared" ca="1" si="43"/>
        <v>3.6146500000000001</v>
      </c>
      <c r="AB202" s="486"/>
      <c r="AC202" s="486"/>
      <c r="AD202" s="486"/>
      <c r="AE202" s="486"/>
    </row>
    <row r="203" spans="1:32" ht="15" customHeight="1" x14ac:dyDescent="0.3">
      <c r="A203" s="130"/>
      <c r="B203" s="1184" t="str">
        <f t="shared" ca="1" si="37"/>
        <v>Efficiency for sustained discharge (adiabatic), %</v>
      </c>
      <c r="C203" s="1185" t="str">
        <f t="shared" ca="1" si="42"/>
        <v>Thermal</v>
      </c>
      <c r="D203" s="1185">
        <f t="shared" ca="1" si="38"/>
        <v>41</v>
      </c>
      <c r="E203" s="1185">
        <f t="shared" ca="1" si="39"/>
        <v>7</v>
      </c>
      <c r="F203" s="1186" t="str">
        <f t="shared" ca="1" si="40"/>
        <v/>
      </c>
      <c r="G203" s="1186">
        <f t="shared" ca="1" si="43"/>
        <v>0</v>
      </c>
      <c r="H203" s="1186">
        <f t="shared" ca="1" si="43"/>
        <v>0</v>
      </c>
      <c r="I203" s="1186">
        <f t="shared" ca="1" si="43"/>
        <v>0</v>
      </c>
      <c r="J203" s="1186">
        <f t="shared" ca="1" si="43"/>
        <v>0</v>
      </c>
      <c r="K203" s="1186">
        <f t="shared" ca="1" si="43"/>
        <v>0</v>
      </c>
      <c r="L203" s="1186">
        <f t="shared" ca="1" si="43"/>
        <v>0</v>
      </c>
      <c r="M203" s="1186">
        <f t="shared" ca="1" si="43"/>
        <v>0</v>
      </c>
      <c r="AB203" s="486"/>
      <c r="AC203" s="486"/>
      <c r="AD203" s="486"/>
      <c r="AE203" s="486"/>
    </row>
    <row r="204" spans="1:32" ht="15" customHeight="1" x14ac:dyDescent="0.3">
      <c r="A204" s="130"/>
      <c r="B204" s="1184" t="str">
        <f t="shared" ca="1" si="37"/>
        <v>Direct labor, hours/year</v>
      </c>
      <c r="C204" s="1185" t="str">
        <f t="shared" ca="1" si="42"/>
        <v>'Manufacturing Costs'</v>
      </c>
      <c r="D204" s="1185">
        <f t="shared" ca="1" si="38"/>
        <v>392</v>
      </c>
      <c r="E204" s="1185">
        <f t="shared" ca="1" si="39"/>
        <v>7</v>
      </c>
      <c r="F204" s="1186" t="str">
        <f t="shared" ca="1" si="40"/>
        <v/>
      </c>
      <c r="G204" s="1372">
        <f t="shared" ca="1" si="43"/>
        <v>3499226.2927403189</v>
      </c>
      <c r="H204" s="1186">
        <f t="shared" ca="1" si="43"/>
        <v>3499226.2927403189</v>
      </c>
      <c r="I204" s="1186">
        <f t="shared" ca="1" si="43"/>
        <v>3552595.4368478567</v>
      </c>
      <c r="J204" s="1186">
        <f t="shared" ca="1" si="43"/>
        <v>3634145.225266227</v>
      </c>
      <c r="K204" s="1186">
        <f t="shared" ca="1" si="43"/>
        <v>3761101.7093964526</v>
      </c>
      <c r="L204" s="1186">
        <f t="shared" ca="1" si="43"/>
        <v>3995375.187452327</v>
      </c>
      <c r="M204" s="1186">
        <f t="shared" ca="1" si="43"/>
        <v>4681223.2994968751</v>
      </c>
    </row>
    <row r="205" spans="1:32" ht="15" customHeight="1" x14ac:dyDescent="0.3">
      <c r="A205" s="130"/>
      <c r="B205" s="1184" t="str">
        <f t="shared" ca="1" si="37"/>
        <v>Capital equipment, million$</v>
      </c>
      <c r="C205" s="1185" t="str">
        <f t="shared" ca="1" si="42"/>
        <v>'Manufacturing Costs'</v>
      </c>
      <c r="D205" s="1185">
        <f t="shared" ca="1" si="38"/>
        <v>393</v>
      </c>
      <c r="E205" s="1185">
        <f t="shared" ca="1" si="39"/>
        <v>7</v>
      </c>
      <c r="F205" s="1186" t="str">
        <f t="shared" ca="1" si="40"/>
        <v/>
      </c>
      <c r="G205" s="1186">
        <f t="shared" ca="1" si="43"/>
        <v>4095.2406168912594</v>
      </c>
      <c r="H205" s="1186">
        <f t="shared" ca="1" si="43"/>
        <v>4095.2406168912594</v>
      </c>
      <c r="I205" s="1186">
        <f t="shared" ca="1" si="43"/>
        <v>4112.310098811462</v>
      </c>
      <c r="J205" s="1186">
        <f t="shared" ca="1" si="43"/>
        <v>4138.9563357044144</v>
      </c>
      <c r="K205" s="1186">
        <f t="shared" ca="1" si="43"/>
        <v>4181.4345446994475</v>
      </c>
      <c r="L205" s="1186">
        <f t="shared" ca="1" si="43"/>
        <v>4264.1594436262949</v>
      </c>
      <c r="M205" s="1186">
        <f t="shared" ca="1" si="43"/>
        <v>4523.6720061989208</v>
      </c>
    </row>
    <row r="206" spans="1:32" ht="15" customHeight="1" x14ac:dyDescent="0.3">
      <c r="A206" s="130"/>
      <c r="B206" s="1184" t="str">
        <f t="shared" ca="1" si="37"/>
        <v>Plant area, m²</v>
      </c>
      <c r="C206" s="1185" t="str">
        <f t="shared" ca="1" si="42"/>
        <v>'Manufacturing Costs'</v>
      </c>
      <c r="D206" s="1185">
        <f t="shared" ca="1" si="38"/>
        <v>394</v>
      </c>
      <c r="E206" s="1185">
        <f t="shared" ca="1" si="39"/>
        <v>7</v>
      </c>
      <c r="F206" s="1186" t="str">
        <f t="shared" ca="1" si="40"/>
        <v/>
      </c>
      <c r="G206" s="1186">
        <f t="shared" ca="1" si="43"/>
        <v>285182.50956367457</v>
      </c>
      <c r="H206" s="1186">
        <f t="shared" ca="1" si="43"/>
        <v>285182.50956367457</v>
      </c>
      <c r="I206" s="1186">
        <f t="shared" ca="1" si="43"/>
        <v>287938.63849253196</v>
      </c>
      <c r="J206" s="1186">
        <f t="shared" ca="1" si="43"/>
        <v>292276.55299887707</v>
      </c>
      <c r="K206" s="1186">
        <f t="shared" ca="1" si="43"/>
        <v>299317.2912121329</v>
      </c>
      <c r="L206" s="1186">
        <f t="shared" ca="1" si="43"/>
        <v>326398.99527173827</v>
      </c>
      <c r="M206" s="1186">
        <f t="shared" ca="1" si="43"/>
        <v>432369.3828512234</v>
      </c>
    </row>
    <row r="207" spans="1:32" ht="15" customHeight="1" x14ac:dyDescent="0.3">
      <c r="A207" s="130"/>
      <c r="B207" s="1184" t="str">
        <f t="shared" ca="1" si="37"/>
        <v>Cost of materials</v>
      </c>
      <c r="C207" s="1185" t="str">
        <f t="shared" ca="1" si="42"/>
        <v>'Cost Breakdown'</v>
      </c>
      <c r="D207" s="1185">
        <f t="shared" ca="1" si="38"/>
        <v>105</v>
      </c>
      <c r="E207" s="1185">
        <f t="shared" ca="1" si="39"/>
        <v>7</v>
      </c>
      <c r="F207" s="1186" t="str">
        <f t="shared" ca="1" si="40"/>
        <v/>
      </c>
      <c r="G207" s="1186">
        <f t="shared" ca="1" si="43"/>
        <v>6374.2676224454053</v>
      </c>
      <c r="H207" s="1186">
        <f t="shared" ca="1" si="43"/>
        <v>6374.2676224454053</v>
      </c>
      <c r="I207" s="1186">
        <f t="shared" ca="1" si="43"/>
        <v>6447.2836003221519</v>
      </c>
      <c r="J207" s="1186">
        <f t="shared" ca="1" si="43"/>
        <v>6565.5168832207373</v>
      </c>
      <c r="K207" s="1186">
        <f t="shared" ca="1" si="43"/>
        <v>6759.8361408674064</v>
      </c>
      <c r="L207" s="1186">
        <f t="shared" ca="1" si="43"/>
        <v>7153.3401276240174</v>
      </c>
      <c r="M207" s="1186">
        <f t="shared" ca="1" si="43"/>
        <v>8491.4738660523963</v>
      </c>
    </row>
    <row r="208" spans="1:32" ht="15" customHeight="1" x14ac:dyDescent="0.3">
      <c r="A208" s="130"/>
      <c r="B208" s="1184" t="str">
        <f t="shared" ca="1" si="37"/>
        <v>Cost of purchased items</v>
      </c>
      <c r="C208" s="1185" t="str">
        <f t="shared" ca="1" si="42"/>
        <v>'Cost Breakdown'</v>
      </c>
      <c r="D208" s="1185">
        <f t="shared" ca="1" si="38"/>
        <v>106</v>
      </c>
      <c r="E208" s="1185">
        <f t="shared" ca="1" si="39"/>
        <v>7</v>
      </c>
      <c r="F208" s="1186" t="str">
        <f t="shared" ca="1" si="40"/>
        <v/>
      </c>
      <c r="G208" s="1186">
        <f t="shared" ca="1" si="43"/>
        <v>1588.7715416083001</v>
      </c>
      <c r="H208" s="1186">
        <f t="shared" ca="1" si="43"/>
        <v>1588.7715416083001</v>
      </c>
      <c r="I208" s="1186">
        <f t="shared" ca="1" si="43"/>
        <v>1589.5209543252715</v>
      </c>
      <c r="J208" s="1186">
        <f t="shared" ca="1" si="43"/>
        <v>1593.1785381979691</v>
      </c>
      <c r="K208" s="1186">
        <f t="shared" ca="1" si="43"/>
        <v>1594.899830175731</v>
      </c>
      <c r="L208" s="1186">
        <f t="shared" ca="1" si="43"/>
        <v>1604.1585927281999</v>
      </c>
      <c r="M208" s="1186">
        <f t="shared" ca="1" si="43"/>
        <v>1630.8202708057784</v>
      </c>
    </row>
    <row r="209" spans="1:13" ht="15" customHeight="1" x14ac:dyDescent="0.3">
      <c r="A209" s="130"/>
      <c r="B209" s="1184" t="str">
        <f t="shared" ca="1" si="37"/>
        <v>Aluminum content, kg/kWh</v>
      </c>
      <c r="C209" s="1185" t="str">
        <f t="shared" ca="1" si="42"/>
        <v>Recycle</v>
      </c>
      <c r="D209" s="1185">
        <f t="shared" ca="1" si="38"/>
        <v>78</v>
      </c>
      <c r="E209" s="1185">
        <f t="shared" ca="1" si="39"/>
        <v>7</v>
      </c>
      <c r="F209" s="1186" t="str">
        <f t="shared" ca="1" si="40"/>
        <v/>
      </c>
      <c r="G209" s="1186">
        <f t="shared" ca="1" si="43"/>
        <v>0.53520695168683352</v>
      </c>
      <c r="H209" s="1186">
        <f t="shared" ca="1" si="43"/>
        <v>0.53520695168683352</v>
      </c>
      <c r="I209" s="1186">
        <f t="shared" ca="1" si="43"/>
        <v>0.54451777498103748</v>
      </c>
      <c r="J209" s="1186">
        <f t="shared" ca="1" si="43"/>
        <v>0.56141027943308941</v>
      </c>
      <c r="K209" s="1186">
        <f t="shared" ca="1" si="43"/>
        <v>0.58499099954843281</v>
      </c>
      <c r="L209" s="1186">
        <f t="shared" ca="1" si="43"/>
        <v>0.63682217438578714</v>
      </c>
      <c r="M209" s="1186">
        <f t="shared" ca="1" si="43"/>
        <v>0.80590018283531839</v>
      </c>
    </row>
    <row r="210" spans="1:13" ht="15" customHeight="1" x14ac:dyDescent="0.3">
      <c r="A210" s="130"/>
      <c r="B210" s="1184" t="str">
        <f t="shared" ca="1" si="37"/>
        <v>Copper content, kg/kWh</v>
      </c>
      <c r="C210" s="1185" t="str">
        <f t="shared" ca="1" si="42"/>
        <v>Recycle</v>
      </c>
      <c r="D210" s="1185">
        <f t="shared" ca="1" si="38"/>
        <v>90</v>
      </c>
      <c r="E210" s="1185">
        <f t="shared" ca="1" si="39"/>
        <v>7</v>
      </c>
      <c r="F210" s="1186" t="str">
        <f t="shared" ca="1" si="40"/>
        <v/>
      </c>
      <c r="G210" s="1186">
        <f t="shared" ref="G210:M219" ca="1" si="44">IFERROR(IF(NOT($E210 = 7), "",INDIRECT($C210 &amp;"!" &amp;ADDRESS($D210,  COLUMN(INDIRECT(INDEX($AD$188:$AD$211, MATCH($C210, $Z$188:$Z$198, 0)) &amp; $D210)) +  G$189 - 1))), "")</f>
        <v>0.36749583621769022</v>
      </c>
      <c r="H210" s="1186">
        <f t="shared" ca="1" si="44"/>
        <v>0.36749583621769022</v>
      </c>
      <c r="I210" s="1186">
        <f t="shared" ca="1" si="44"/>
        <v>0.38617321504295321</v>
      </c>
      <c r="J210" s="1186">
        <f t="shared" ca="1" si="44"/>
        <v>0.41650247884929076</v>
      </c>
      <c r="K210" s="1186">
        <f t="shared" ca="1" si="44"/>
        <v>0.4640247790103833</v>
      </c>
      <c r="L210" s="1186">
        <f t="shared" ca="1" si="44"/>
        <v>0.56004443010304916</v>
      </c>
      <c r="M210" s="1186">
        <f t="shared" ca="1" si="44"/>
        <v>0.87797656250594847</v>
      </c>
    </row>
    <row r="211" spans="1:13" ht="15" customHeight="1" x14ac:dyDescent="0.3">
      <c r="A211" s="130"/>
      <c r="B211" s="1184" t="str">
        <f t="shared" ca="1" si="37"/>
        <v/>
      </c>
      <c r="C211" s="1185">
        <f t="shared" ca="1" si="42"/>
        <v>0</v>
      </c>
      <c r="D211" s="1185" t="str">
        <f t="shared" ca="1" si="38"/>
        <v/>
      </c>
      <c r="E211" s="1185" t="str">
        <f t="shared" ca="1" si="39"/>
        <v/>
      </c>
      <c r="F211" s="1186" t="str">
        <f t="shared" ca="1" si="40"/>
        <v/>
      </c>
      <c r="G211" s="1186" t="str">
        <f t="shared" ca="1" si="44"/>
        <v/>
      </c>
      <c r="H211" s="1186" t="str">
        <f t="shared" ca="1" si="44"/>
        <v/>
      </c>
      <c r="I211" s="1186" t="str">
        <f t="shared" ca="1" si="44"/>
        <v/>
      </c>
      <c r="J211" s="1186" t="str">
        <f t="shared" ca="1" si="44"/>
        <v/>
      </c>
      <c r="K211" s="1186" t="str">
        <f t="shared" ca="1" si="44"/>
        <v/>
      </c>
      <c r="L211" s="1186" t="str">
        <f t="shared" ca="1" si="44"/>
        <v/>
      </c>
      <c r="M211" s="1186" t="str">
        <f t="shared" ca="1" si="44"/>
        <v/>
      </c>
    </row>
    <row r="212" spans="1:13" ht="15" customHeight="1" x14ac:dyDescent="0.3">
      <c r="A212" s="130"/>
      <c r="B212" s="1184" t="str">
        <f t="shared" ca="1" si="37"/>
        <v/>
      </c>
      <c r="C212" s="1185" t="str">
        <f t="shared" ca="1" si="42"/>
        <v/>
      </c>
      <c r="D212" s="1185" t="str">
        <f t="shared" ca="1" si="38"/>
        <v/>
      </c>
      <c r="E212" s="1185" t="str">
        <f t="shared" ca="1" si="39"/>
        <v/>
      </c>
      <c r="F212" s="1186" t="str">
        <f t="shared" ca="1" si="40"/>
        <v/>
      </c>
      <c r="G212" s="1186" t="str">
        <f t="shared" ca="1" si="44"/>
        <v/>
      </c>
      <c r="H212" s="1186" t="str">
        <f t="shared" ca="1" si="44"/>
        <v/>
      </c>
      <c r="I212" s="1186" t="str">
        <f t="shared" ca="1" si="44"/>
        <v/>
      </c>
      <c r="J212" s="1186" t="str">
        <f t="shared" ca="1" si="44"/>
        <v/>
      </c>
      <c r="K212" s="1186" t="str">
        <f t="shared" ca="1" si="44"/>
        <v/>
      </c>
      <c r="L212" s="1186" t="str">
        <f t="shared" ca="1" si="44"/>
        <v/>
      </c>
      <c r="M212" s="1186" t="str">
        <f t="shared" ca="1" si="44"/>
        <v/>
      </c>
    </row>
    <row r="213" spans="1:13" ht="15" customHeight="1" x14ac:dyDescent="0.3">
      <c r="A213" s="130"/>
      <c r="B213" s="1184" t="str">
        <f t="shared" ca="1" si="37"/>
        <v/>
      </c>
      <c r="C213" s="1185" t="str">
        <f t="shared" ca="1" si="42"/>
        <v/>
      </c>
      <c r="D213" s="1185" t="str">
        <f t="shared" ca="1" si="38"/>
        <v/>
      </c>
      <c r="E213" s="1185" t="str">
        <f t="shared" ca="1" si="39"/>
        <v/>
      </c>
      <c r="F213" s="1186" t="str">
        <f t="shared" ca="1" si="40"/>
        <v/>
      </c>
      <c r="G213" s="1186" t="str">
        <f t="shared" ca="1" si="44"/>
        <v/>
      </c>
      <c r="H213" s="1186" t="str">
        <f t="shared" ca="1" si="44"/>
        <v/>
      </c>
      <c r="I213" s="1186" t="str">
        <f t="shared" ca="1" si="44"/>
        <v/>
      </c>
      <c r="J213" s="1186" t="str">
        <f t="shared" ca="1" si="44"/>
        <v/>
      </c>
      <c r="K213" s="1186" t="str">
        <f t="shared" ca="1" si="44"/>
        <v/>
      </c>
      <c r="L213" s="1186" t="str">
        <f t="shared" ca="1" si="44"/>
        <v/>
      </c>
      <c r="M213" s="1186" t="str">
        <f t="shared" ca="1" si="44"/>
        <v/>
      </c>
    </row>
    <row r="214" spans="1:13" ht="23.25" customHeight="1" x14ac:dyDescent="0.3">
      <c r="A214" s="130"/>
      <c r="B214" s="1184" t="str">
        <f t="shared" ca="1" si="37"/>
        <v/>
      </c>
      <c r="C214" s="1185" t="str">
        <f t="shared" ca="1" si="42"/>
        <v/>
      </c>
      <c r="D214" s="1185" t="str">
        <f t="shared" ca="1" si="38"/>
        <v/>
      </c>
      <c r="E214" s="1185" t="str">
        <f t="shared" ca="1" si="39"/>
        <v/>
      </c>
      <c r="F214" s="1186" t="str">
        <f t="shared" ca="1" si="40"/>
        <v/>
      </c>
      <c r="G214" s="1186" t="str">
        <f t="shared" ca="1" si="44"/>
        <v/>
      </c>
      <c r="H214" s="1186" t="str">
        <f t="shared" ca="1" si="44"/>
        <v/>
      </c>
      <c r="I214" s="1186" t="str">
        <f t="shared" ca="1" si="44"/>
        <v/>
      </c>
      <c r="J214" s="1186" t="str">
        <f t="shared" ca="1" si="44"/>
        <v/>
      </c>
      <c r="K214" s="1186" t="str">
        <f t="shared" ca="1" si="44"/>
        <v/>
      </c>
      <c r="L214" s="1186" t="str">
        <f t="shared" ca="1" si="44"/>
        <v/>
      </c>
      <c r="M214" s="1186" t="str">
        <f t="shared" ca="1" si="44"/>
        <v/>
      </c>
    </row>
    <row r="215" spans="1:13" ht="29.25" customHeight="1" x14ac:dyDescent="0.3">
      <c r="A215" s="130"/>
      <c r="B215" s="1184" t="str">
        <f t="shared" ca="1" si="37"/>
        <v/>
      </c>
      <c r="C215" s="1185" t="str">
        <f t="shared" ca="1" si="42"/>
        <v/>
      </c>
      <c r="D215" s="1185" t="str">
        <f t="shared" ca="1" si="38"/>
        <v/>
      </c>
      <c r="E215" s="1185" t="str">
        <f t="shared" ca="1" si="39"/>
        <v/>
      </c>
      <c r="F215" s="1186" t="str">
        <f t="shared" ca="1" si="40"/>
        <v/>
      </c>
      <c r="G215" s="1186" t="str">
        <f t="shared" ca="1" si="44"/>
        <v/>
      </c>
      <c r="H215" s="1186" t="str">
        <f t="shared" ca="1" si="44"/>
        <v/>
      </c>
      <c r="I215" s="1186" t="str">
        <f t="shared" ca="1" si="44"/>
        <v/>
      </c>
      <c r="J215" s="1186" t="str">
        <f t="shared" ca="1" si="44"/>
        <v/>
      </c>
      <c r="K215" s="1186" t="str">
        <f t="shared" ca="1" si="44"/>
        <v/>
      </c>
      <c r="L215" s="1186" t="str">
        <f t="shared" ca="1" si="44"/>
        <v/>
      </c>
      <c r="M215" s="1186" t="str">
        <f t="shared" ca="1" si="44"/>
        <v/>
      </c>
    </row>
    <row r="216" spans="1:13" ht="15" customHeight="1" x14ac:dyDescent="0.3">
      <c r="A216" s="130"/>
      <c r="B216" s="1184" t="str">
        <f t="shared" ca="1" si="37"/>
        <v/>
      </c>
      <c r="C216" s="1185" t="str">
        <f t="shared" ca="1" si="42"/>
        <v/>
      </c>
      <c r="D216" s="1185" t="str">
        <f t="shared" ca="1" si="38"/>
        <v/>
      </c>
      <c r="E216" s="1185" t="str">
        <f t="shared" ca="1" si="39"/>
        <v/>
      </c>
      <c r="F216" s="1186" t="str">
        <f t="shared" ca="1" si="40"/>
        <v/>
      </c>
      <c r="G216" s="1186" t="str">
        <f t="shared" ca="1" si="44"/>
        <v/>
      </c>
      <c r="H216" s="1186" t="str">
        <f t="shared" ca="1" si="44"/>
        <v/>
      </c>
      <c r="I216" s="1186" t="str">
        <f t="shared" ca="1" si="44"/>
        <v/>
      </c>
      <c r="J216" s="1186" t="str">
        <f t="shared" ca="1" si="44"/>
        <v/>
      </c>
      <c r="K216" s="1186" t="str">
        <f t="shared" ca="1" si="44"/>
        <v/>
      </c>
      <c r="L216" s="1186" t="str">
        <f t="shared" ca="1" si="44"/>
        <v/>
      </c>
      <c r="M216" s="1186" t="str">
        <f t="shared" ca="1" si="44"/>
        <v/>
      </c>
    </row>
    <row r="217" spans="1:13" ht="29.25" customHeight="1" x14ac:dyDescent="0.3">
      <c r="A217" s="130"/>
      <c r="B217" s="1184" t="str">
        <f t="shared" ca="1" si="37"/>
        <v/>
      </c>
      <c r="C217" s="1185" t="str">
        <f t="shared" ca="1" si="42"/>
        <v/>
      </c>
      <c r="D217" s="1185" t="str">
        <f t="shared" ca="1" si="38"/>
        <v/>
      </c>
      <c r="E217" s="1185" t="str">
        <f t="shared" ca="1" si="39"/>
        <v/>
      </c>
      <c r="F217" s="1186" t="str">
        <f t="shared" ca="1" si="40"/>
        <v/>
      </c>
      <c r="G217" s="1186" t="str">
        <f t="shared" ca="1" si="44"/>
        <v/>
      </c>
      <c r="H217" s="1186" t="str">
        <f t="shared" ca="1" si="44"/>
        <v/>
      </c>
      <c r="I217" s="1186" t="str">
        <f t="shared" ca="1" si="44"/>
        <v/>
      </c>
      <c r="J217" s="1186" t="str">
        <f t="shared" ca="1" si="44"/>
        <v/>
      </c>
      <c r="K217" s="1186" t="str">
        <f t="shared" ca="1" si="44"/>
        <v/>
      </c>
      <c r="L217" s="1186" t="str">
        <f t="shared" ca="1" si="44"/>
        <v/>
      </c>
      <c r="M217" s="1186" t="str">
        <f t="shared" ca="1" si="44"/>
        <v/>
      </c>
    </row>
    <row r="218" spans="1:13" ht="15" customHeight="1" x14ac:dyDescent="0.3">
      <c r="A218" s="130"/>
      <c r="B218" s="1184" t="str">
        <f t="shared" ca="1" si="37"/>
        <v/>
      </c>
      <c r="C218" s="1185" t="str">
        <f t="shared" ca="1" si="42"/>
        <v/>
      </c>
      <c r="D218" s="1185" t="str">
        <f t="shared" ca="1" si="38"/>
        <v/>
      </c>
      <c r="E218" s="1185" t="str">
        <f t="shared" ca="1" si="39"/>
        <v/>
      </c>
      <c r="F218" s="1186" t="str">
        <f t="shared" ca="1" si="40"/>
        <v/>
      </c>
      <c r="G218" s="1186" t="str">
        <f t="shared" ca="1" si="44"/>
        <v/>
      </c>
      <c r="H218" s="1186" t="str">
        <f t="shared" ca="1" si="44"/>
        <v/>
      </c>
      <c r="I218" s="1186" t="str">
        <f t="shared" ca="1" si="44"/>
        <v/>
      </c>
      <c r="J218" s="1186" t="str">
        <f t="shared" ca="1" si="44"/>
        <v/>
      </c>
      <c r="K218" s="1186" t="str">
        <f t="shared" ca="1" si="44"/>
        <v/>
      </c>
      <c r="L218" s="1186" t="str">
        <f t="shared" ca="1" si="44"/>
        <v/>
      </c>
      <c r="M218" s="1186" t="str">
        <f t="shared" ca="1" si="44"/>
        <v/>
      </c>
    </row>
    <row r="219" spans="1:13" ht="15" customHeight="1" x14ac:dyDescent="0.3">
      <c r="A219" s="130"/>
      <c r="B219" s="1184" t="str">
        <f t="shared" ca="1" si="37"/>
        <v/>
      </c>
      <c r="C219" s="1185" t="str">
        <f t="shared" ca="1" si="42"/>
        <v/>
      </c>
      <c r="D219" s="1185" t="str">
        <f t="shared" ca="1" si="38"/>
        <v/>
      </c>
      <c r="E219" s="1185" t="str">
        <f t="shared" ca="1" si="39"/>
        <v/>
      </c>
      <c r="F219" s="1186" t="str">
        <f t="shared" ca="1" si="40"/>
        <v/>
      </c>
      <c r="G219" s="1186" t="str">
        <f t="shared" ca="1" si="44"/>
        <v/>
      </c>
      <c r="H219" s="1186" t="str">
        <f t="shared" ca="1" si="44"/>
        <v/>
      </c>
      <c r="I219" s="1186" t="str">
        <f t="shared" ca="1" si="44"/>
        <v/>
      </c>
      <c r="J219" s="1186" t="str">
        <f t="shared" ca="1" si="44"/>
        <v/>
      </c>
      <c r="K219" s="1186" t="str">
        <f t="shared" ca="1" si="44"/>
        <v/>
      </c>
      <c r="L219" s="1186" t="str">
        <f t="shared" ca="1" si="44"/>
        <v/>
      </c>
      <c r="M219" s="1186" t="str">
        <f t="shared" ca="1" si="44"/>
        <v/>
      </c>
    </row>
    <row r="220" spans="1:13" ht="15" customHeight="1" x14ac:dyDescent="0.3">
      <c r="A220" s="130"/>
      <c r="B220" s="1184" t="str">
        <f t="shared" ca="1" si="37"/>
        <v/>
      </c>
      <c r="C220" s="1185" t="str">
        <f t="shared" ca="1" si="42"/>
        <v/>
      </c>
      <c r="D220" s="1185" t="str">
        <f t="shared" ca="1" si="38"/>
        <v/>
      </c>
      <c r="E220" s="1185" t="str">
        <f t="shared" ca="1" si="39"/>
        <v/>
      </c>
      <c r="F220" s="1186" t="str">
        <f t="shared" ca="1" si="40"/>
        <v/>
      </c>
      <c r="G220" s="1186" t="str">
        <f t="shared" ref="G220:M229" ca="1" si="45">IFERROR(IF(NOT($E220 = 7), "",INDIRECT($C220 &amp;"!" &amp;ADDRESS($D220,  COLUMN(INDIRECT(INDEX($AD$188:$AD$211, MATCH($C220, $Z$188:$Z$198, 0)) &amp; $D220)) +  G$189 - 1))), "")</f>
        <v/>
      </c>
      <c r="H220" s="1186" t="str">
        <f t="shared" ca="1" si="45"/>
        <v/>
      </c>
      <c r="I220" s="1186" t="str">
        <f t="shared" ca="1" si="45"/>
        <v/>
      </c>
      <c r="J220" s="1186" t="str">
        <f t="shared" ca="1" si="45"/>
        <v/>
      </c>
      <c r="K220" s="1186" t="str">
        <f t="shared" ca="1" si="45"/>
        <v/>
      </c>
      <c r="L220" s="1186" t="str">
        <f t="shared" ca="1" si="45"/>
        <v/>
      </c>
      <c r="M220" s="1186" t="str">
        <f t="shared" ca="1" si="45"/>
        <v/>
      </c>
    </row>
    <row r="221" spans="1:13" ht="15" customHeight="1" x14ac:dyDescent="0.3">
      <c r="A221" s="130"/>
      <c r="B221" s="1184" t="str">
        <f t="shared" ca="1" si="37"/>
        <v/>
      </c>
      <c r="C221" s="1185" t="str">
        <f t="shared" ca="1" si="42"/>
        <v/>
      </c>
      <c r="D221" s="1185" t="str">
        <f t="shared" ca="1" si="38"/>
        <v/>
      </c>
      <c r="E221" s="1185" t="str">
        <f t="shared" ca="1" si="39"/>
        <v/>
      </c>
      <c r="F221" s="1186" t="str">
        <f t="shared" ca="1" si="40"/>
        <v/>
      </c>
      <c r="G221" s="1186" t="str">
        <f t="shared" ca="1" si="45"/>
        <v/>
      </c>
      <c r="H221" s="1186" t="str">
        <f t="shared" ca="1" si="45"/>
        <v/>
      </c>
      <c r="I221" s="1186" t="str">
        <f t="shared" ca="1" si="45"/>
        <v/>
      </c>
      <c r="J221" s="1186" t="str">
        <f t="shared" ca="1" si="45"/>
        <v/>
      </c>
      <c r="K221" s="1186" t="str">
        <f t="shared" ca="1" si="45"/>
        <v/>
      </c>
      <c r="L221" s="1186" t="str">
        <f t="shared" ca="1" si="45"/>
        <v/>
      </c>
      <c r="M221" s="1186" t="str">
        <f t="shared" ca="1" si="45"/>
        <v/>
      </c>
    </row>
    <row r="222" spans="1:13" ht="15" customHeight="1" x14ac:dyDescent="0.3">
      <c r="A222" s="130"/>
      <c r="B222" s="1184" t="str">
        <f t="shared" ref="B222:B253" ca="1" si="46">IFERROR(IF(BB228= "", IF(ISBLANK(INDIRECT(C222 &amp;"!$" &amp;INDEX($AC$188:$AC$211, MATCH(C222, $Z$188:$Z$198, 0))&amp;  D222)), "", INDIRECT(C222 &amp;"!$" &amp;INDEX($AC$188:$AC$211, MATCH(C222, $Z$188:$Z$198, 0))&amp;  D222)), INDIRECT(C222 &amp;"!$" &amp;DD228&amp;  D222)), "")</f>
        <v/>
      </c>
      <c r="C222" s="1185" t="str">
        <f t="shared" ca="1" si="42"/>
        <v/>
      </c>
      <c r="D222" s="1185" t="str">
        <f t="shared" ref="D222:D253" ca="1" si="47">IFERROR(MATCH("x",INDIRECT(C222&amp;"!$"&amp;INDEX($AB$188:$AB$211,MATCH(C222,$Z$188:$Z$198,0))&amp;IF(NOT(C222=C221),1,D221+1)&amp;":$"&amp;INDEX($AB$188:$AB$211,MATCH(C222,$Z$188:$Z$198,0))&amp;"20000"),0)+IF(NOT(C222=C221),0,D221), "")</f>
        <v/>
      </c>
      <c r="E222" s="1185" t="str">
        <f t="shared" ref="E222:E253" ca="1" si="48">IFERROR(INDEX( $AF$188:$AF$203,MATCH(C222, $Z$188:$Z$202, 0)), "")</f>
        <v/>
      </c>
      <c r="F222" s="1186" t="str">
        <f t="shared" ref="F222:F253" ca="1" si="49">IFERROR(IF(NOT(E222 = 1), "",  IF(ISBLANK(INDIRECT(C222 &amp;"!$" &amp;INDEX($AD$188:$AD$211, MATCH(C222, $Z$188:$Z$198, 0))&amp;  D222)), "",INDIRECT(C222 &amp;"!$" &amp;INDEX($AD$188:$AD$211, MATCH(C222, $Z$188:$Z$198, 0))&amp;  D222))),  "")</f>
        <v/>
      </c>
      <c r="G222" s="1186" t="str">
        <f t="shared" ca="1" si="45"/>
        <v/>
      </c>
      <c r="H222" s="1186" t="str">
        <f t="shared" ca="1" si="45"/>
        <v/>
      </c>
      <c r="I222" s="1186" t="str">
        <f t="shared" ca="1" si="45"/>
        <v/>
      </c>
      <c r="J222" s="1186" t="str">
        <f t="shared" ca="1" si="45"/>
        <v/>
      </c>
      <c r="K222" s="1186" t="str">
        <f t="shared" ca="1" si="45"/>
        <v/>
      </c>
      <c r="L222" s="1186" t="str">
        <f t="shared" ca="1" si="45"/>
        <v/>
      </c>
      <c r="M222" s="1186" t="str">
        <f t="shared" ca="1" si="45"/>
        <v/>
      </c>
    </row>
    <row r="223" spans="1:13" ht="15" customHeight="1" x14ac:dyDescent="0.3">
      <c r="A223" s="130"/>
      <c r="B223" s="1184" t="str">
        <f t="shared" ca="1" si="46"/>
        <v/>
      </c>
      <c r="C223" s="1185" t="str">
        <f t="shared" ref="C223:C254" ca="1" si="50">IFERROR(IF(ROW(E223) - ROW($E$190) &gt; INDEX($AE$188:$AE$213, MATCH(C222, $Z$188:$Z$198, 0)), INDEX($Z$188:$Z$198, MATCH(C222, $Z$188:$Z$198, 0) + 1), C222), "")</f>
        <v/>
      </c>
      <c r="D223" s="1185" t="str">
        <f t="shared" ca="1" si="47"/>
        <v/>
      </c>
      <c r="E223" s="1185" t="str">
        <f t="shared" ca="1" si="48"/>
        <v/>
      </c>
      <c r="F223" s="1186" t="str">
        <f t="shared" ca="1" si="49"/>
        <v/>
      </c>
      <c r="G223" s="1186" t="str">
        <f t="shared" ca="1" si="45"/>
        <v/>
      </c>
      <c r="H223" s="1186" t="str">
        <f t="shared" ca="1" si="45"/>
        <v/>
      </c>
      <c r="I223" s="1186" t="str">
        <f t="shared" ca="1" si="45"/>
        <v/>
      </c>
      <c r="J223" s="1186" t="str">
        <f t="shared" ca="1" si="45"/>
        <v/>
      </c>
      <c r="K223" s="1186" t="str">
        <f t="shared" ca="1" si="45"/>
        <v/>
      </c>
      <c r="L223" s="1186" t="str">
        <f t="shared" ca="1" si="45"/>
        <v/>
      </c>
      <c r="M223" s="1186" t="str">
        <f t="shared" ca="1" si="45"/>
        <v/>
      </c>
    </row>
    <row r="224" spans="1:13" ht="15" customHeight="1" x14ac:dyDescent="0.3">
      <c r="A224" s="130"/>
      <c r="B224" s="1184" t="str">
        <f t="shared" ca="1" si="46"/>
        <v/>
      </c>
      <c r="C224" s="1185" t="str">
        <f t="shared" ca="1" si="50"/>
        <v/>
      </c>
      <c r="D224" s="1185" t="str">
        <f t="shared" ca="1" si="47"/>
        <v/>
      </c>
      <c r="E224" s="1185" t="str">
        <f t="shared" ca="1" si="48"/>
        <v/>
      </c>
      <c r="F224" s="1186" t="str">
        <f t="shared" ca="1" si="49"/>
        <v/>
      </c>
      <c r="G224" s="1186" t="str">
        <f t="shared" ca="1" si="45"/>
        <v/>
      </c>
      <c r="H224" s="1186" t="str">
        <f t="shared" ca="1" si="45"/>
        <v/>
      </c>
      <c r="I224" s="1186" t="str">
        <f t="shared" ca="1" si="45"/>
        <v/>
      </c>
      <c r="J224" s="1186" t="str">
        <f t="shared" ca="1" si="45"/>
        <v/>
      </c>
      <c r="K224" s="1186" t="str">
        <f t="shared" ca="1" si="45"/>
        <v/>
      </c>
      <c r="L224" s="1186" t="str">
        <f t="shared" ca="1" si="45"/>
        <v/>
      </c>
      <c r="M224" s="1186" t="str">
        <f t="shared" ca="1" si="45"/>
        <v/>
      </c>
    </row>
    <row r="225" spans="1:27" ht="15" customHeight="1" x14ac:dyDescent="0.3">
      <c r="A225" s="130"/>
      <c r="B225" s="1184" t="str">
        <f t="shared" ca="1" si="46"/>
        <v/>
      </c>
      <c r="C225" s="1185" t="str">
        <f t="shared" ca="1" si="50"/>
        <v/>
      </c>
      <c r="D225" s="1185" t="str">
        <f t="shared" ca="1" si="47"/>
        <v/>
      </c>
      <c r="E225" s="1185" t="str">
        <f t="shared" ca="1" si="48"/>
        <v/>
      </c>
      <c r="F225" s="1186" t="str">
        <f t="shared" ca="1" si="49"/>
        <v/>
      </c>
      <c r="G225" s="1186" t="str">
        <f t="shared" ca="1" si="45"/>
        <v/>
      </c>
      <c r="H225" s="1186" t="str">
        <f t="shared" ca="1" si="45"/>
        <v/>
      </c>
      <c r="I225" s="1186" t="str">
        <f t="shared" ca="1" si="45"/>
        <v/>
      </c>
      <c r="J225" s="1186" t="str">
        <f t="shared" ca="1" si="45"/>
        <v/>
      </c>
      <c r="K225" s="1186" t="str">
        <f t="shared" ca="1" si="45"/>
        <v/>
      </c>
      <c r="L225" s="1186" t="str">
        <f t="shared" ca="1" si="45"/>
        <v/>
      </c>
      <c r="M225" s="1186" t="str">
        <f t="shared" ca="1" si="45"/>
        <v/>
      </c>
    </row>
    <row r="226" spans="1:27" ht="15" customHeight="1" x14ac:dyDescent="0.3">
      <c r="A226" s="130"/>
      <c r="B226" s="1184" t="str">
        <f t="shared" ca="1" si="46"/>
        <v/>
      </c>
      <c r="C226" s="1185" t="str">
        <f t="shared" ca="1" si="50"/>
        <v/>
      </c>
      <c r="D226" s="1185" t="str">
        <f t="shared" ca="1" si="47"/>
        <v/>
      </c>
      <c r="E226" s="1185" t="str">
        <f t="shared" ca="1" si="48"/>
        <v/>
      </c>
      <c r="F226" s="1186" t="str">
        <f t="shared" ca="1" si="49"/>
        <v/>
      </c>
      <c r="G226" s="1186" t="str">
        <f t="shared" ca="1" si="45"/>
        <v/>
      </c>
      <c r="H226" s="1186" t="str">
        <f t="shared" ca="1" si="45"/>
        <v/>
      </c>
      <c r="I226" s="1186" t="str">
        <f t="shared" ca="1" si="45"/>
        <v/>
      </c>
      <c r="J226" s="1186" t="str">
        <f t="shared" ca="1" si="45"/>
        <v/>
      </c>
      <c r="K226" s="1186" t="str">
        <f t="shared" ca="1" si="45"/>
        <v/>
      </c>
      <c r="L226" s="1186" t="str">
        <f t="shared" ca="1" si="45"/>
        <v/>
      </c>
      <c r="M226" s="1186" t="str">
        <f t="shared" ca="1" si="45"/>
        <v/>
      </c>
    </row>
    <row r="227" spans="1:27" ht="15" customHeight="1" x14ac:dyDescent="0.3">
      <c r="A227" s="130"/>
      <c r="B227" s="1184" t="str">
        <f t="shared" ca="1" si="46"/>
        <v/>
      </c>
      <c r="C227" s="1185" t="str">
        <f t="shared" ca="1" si="50"/>
        <v/>
      </c>
      <c r="D227" s="1185" t="str">
        <f t="shared" ca="1" si="47"/>
        <v/>
      </c>
      <c r="E227" s="1185" t="str">
        <f t="shared" ca="1" si="48"/>
        <v/>
      </c>
      <c r="F227" s="1186" t="str">
        <f t="shared" ca="1" si="49"/>
        <v/>
      </c>
      <c r="G227" s="1186" t="str">
        <f t="shared" ca="1" si="45"/>
        <v/>
      </c>
      <c r="H227" s="1186" t="str">
        <f t="shared" ca="1" si="45"/>
        <v/>
      </c>
      <c r="I227" s="1186" t="str">
        <f t="shared" ca="1" si="45"/>
        <v/>
      </c>
      <c r="J227" s="1186" t="str">
        <f t="shared" ca="1" si="45"/>
        <v/>
      </c>
      <c r="K227" s="1186" t="str">
        <f t="shared" ca="1" si="45"/>
        <v/>
      </c>
      <c r="L227" s="1186" t="str">
        <f t="shared" ca="1" si="45"/>
        <v/>
      </c>
      <c r="M227" s="1186" t="str">
        <f t="shared" ca="1" si="45"/>
        <v/>
      </c>
    </row>
    <row r="228" spans="1:27" ht="30.75" customHeight="1" x14ac:dyDescent="0.3">
      <c r="A228" s="130"/>
      <c r="B228" s="1184" t="str">
        <f t="shared" ca="1" si="46"/>
        <v/>
      </c>
      <c r="C228" s="1185" t="str">
        <f t="shared" ca="1" si="50"/>
        <v/>
      </c>
      <c r="D228" s="1185" t="str">
        <f t="shared" ca="1" si="47"/>
        <v/>
      </c>
      <c r="E228" s="1185" t="str">
        <f t="shared" ca="1" si="48"/>
        <v/>
      </c>
      <c r="F228" s="1186" t="str">
        <f t="shared" ca="1" si="49"/>
        <v/>
      </c>
      <c r="G228" s="1186" t="str">
        <f t="shared" ca="1" si="45"/>
        <v/>
      </c>
      <c r="H228" s="1186" t="str">
        <f t="shared" ca="1" si="45"/>
        <v/>
      </c>
      <c r="I228" s="1186" t="str">
        <f t="shared" ca="1" si="45"/>
        <v/>
      </c>
      <c r="J228" s="1186" t="str">
        <f t="shared" ca="1" si="45"/>
        <v/>
      </c>
      <c r="K228" s="1186" t="str">
        <f t="shared" ca="1" si="45"/>
        <v/>
      </c>
      <c r="L228" s="1186" t="str">
        <f t="shared" ca="1" si="45"/>
        <v/>
      </c>
      <c r="M228" s="1186" t="str">
        <f t="shared" ca="1" si="45"/>
        <v/>
      </c>
    </row>
    <row r="229" spans="1:27" ht="15" customHeight="1" x14ac:dyDescent="0.3">
      <c r="A229" s="130"/>
      <c r="B229" s="1184" t="str">
        <f t="shared" ca="1" si="46"/>
        <v/>
      </c>
      <c r="C229" s="1185" t="str">
        <f t="shared" ca="1" si="50"/>
        <v/>
      </c>
      <c r="D229" s="1185" t="str">
        <f t="shared" ca="1" si="47"/>
        <v/>
      </c>
      <c r="E229" s="1185" t="str">
        <f t="shared" ca="1" si="48"/>
        <v/>
      </c>
      <c r="F229" s="1186" t="str">
        <f t="shared" ca="1" si="49"/>
        <v/>
      </c>
      <c r="G229" s="1186" t="str">
        <f t="shared" ca="1" si="45"/>
        <v/>
      </c>
      <c r="H229" s="1186" t="str">
        <f t="shared" ca="1" si="45"/>
        <v/>
      </c>
      <c r="I229" s="1186" t="str">
        <f t="shared" ca="1" si="45"/>
        <v/>
      </c>
      <c r="J229" s="1186" t="str">
        <f t="shared" ca="1" si="45"/>
        <v/>
      </c>
      <c r="K229" s="1186" t="str">
        <f t="shared" ca="1" si="45"/>
        <v/>
      </c>
      <c r="L229" s="1186" t="str">
        <f t="shared" ca="1" si="45"/>
        <v/>
      </c>
      <c r="M229" s="1186" t="str">
        <f t="shared" ca="1" si="45"/>
        <v/>
      </c>
    </row>
    <row r="230" spans="1:27" ht="15" customHeight="1" x14ac:dyDescent="0.3">
      <c r="A230" s="130"/>
      <c r="B230" s="1184" t="str">
        <f t="shared" ca="1" si="46"/>
        <v/>
      </c>
      <c r="C230" s="1185" t="str">
        <f t="shared" ca="1" si="50"/>
        <v/>
      </c>
      <c r="D230" s="1185" t="str">
        <f t="shared" ca="1" si="47"/>
        <v/>
      </c>
      <c r="E230" s="1185" t="str">
        <f t="shared" ca="1" si="48"/>
        <v/>
      </c>
      <c r="F230" s="1186" t="str">
        <f t="shared" ca="1" si="49"/>
        <v/>
      </c>
      <c r="G230" s="1186" t="str">
        <f t="shared" ref="G230:M239" ca="1" si="51">IFERROR(IF(NOT($E230 = 7), "",INDIRECT($C230 &amp;"!" &amp;ADDRESS($D230,  COLUMN(INDIRECT(INDEX($AD$188:$AD$211, MATCH($C230, $Z$188:$Z$198, 0)) &amp; $D230)) +  G$189 - 1))), "")</f>
        <v/>
      </c>
      <c r="H230" s="1186" t="str">
        <f t="shared" ca="1" si="51"/>
        <v/>
      </c>
      <c r="I230" s="1186" t="str">
        <f t="shared" ca="1" si="51"/>
        <v/>
      </c>
      <c r="J230" s="1186" t="str">
        <f t="shared" ca="1" si="51"/>
        <v/>
      </c>
      <c r="K230" s="1186" t="str">
        <f t="shared" ca="1" si="51"/>
        <v/>
      </c>
      <c r="L230" s="1186" t="str">
        <f t="shared" ca="1" si="51"/>
        <v/>
      </c>
      <c r="M230" s="1186" t="str">
        <f t="shared" ca="1" si="51"/>
        <v/>
      </c>
    </row>
    <row r="231" spans="1:27" ht="15" customHeight="1" x14ac:dyDescent="0.3">
      <c r="A231" s="130"/>
      <c r="B231" s="1184" t="str">
        <f t="shared" ca="1" si="46"/>
        <v/>
      </c>
      <c r="C231" s="1185" t="str">
        <f t="shared" ca="1" si="50"/>
        <v/>
      </c>
      <c r="D231" s="1185" t="str">
        <f t="shared" ca="1" si="47"/>
        <v/>
      </c>
      <c r="E231" s="1185" t="str">
        <f t="shared" ca="1" si="48"/>
        <v/>
      </c>
      <c r="F231" s="1186" t="str">
        <f t="shared" ca="1" si="49"/>
        <v/>
      </c>
      <c r="G231" s="1186" t="str">
        <f t="shared" ca="1" si="51"/>
        <v/>
      </c>
      <c r="H231" s="1186" t="str">
        <f t="shared" ca="1" si="51"/>
        <v/>
      </c>
      <c r="I231" s="1186" t="str">
        <f t="shared" ca="1" si="51"/>
        <v/>
      </c>
      <c r="J231" s="1186" t="str">
        <f t="shared" ca="1" si="51"/>
        <v/>
      </c>
      <c r="K231" s="1186" t="str">
        <f t="shared" ca="1" si="51"/>
        <v/>
      </c>
      <c r="L231" s="1186" t="str">
        <f t="shared" ca="1" si="51"/>
        <v/>
      </c>
      <c r="M231" s="1186" t="str">
        <f t="shared" ca="1" si="51"/>
        <v/>
      </c>
    </row>
    <row r="232" spans="1:27" ht="15" customHeight="1" x14ac:dyDescent="0.3">
      <c r="A232" s="130"/>
      <c r="B232" s="1184" t="str">
        <f t="shared" ca="1" si="46"/>
        <v/>
      </c>
      <c r="C232" s="1185" t="str">
        <f t="shared" ca="1" si="50"/>
        <v/>
      </c>
      <c r="D232" s="1185" t="str">
        <f t="shared" ca="1" si="47"/>
        <v/>
      </c>
      <c r="E232" s="1185" t="str">
        <f t="shared" ca="1" si="48"/>
        <v/>
      </c>
      <c r="F232" s="1186" t="str">
        <f t="shared" ca="1" si="49"/>
        <v/>
      </c>
      <c r="G232" s="1186" t="str">
        <f t="shared" ca="1" si="51"/>
        <v/>
      </c>
      <c r="H232" s="1186" t="str">
        <f t="shared" ca="1" si="51"/>
        <v/>
      </c>
      <c r="I232" s="1186" t="str">
        <f t="shared" ca="1" si="51"/>
        <v/>
      </c>
      <c r="J232" s="1186" t="str">
        <f t="shared" ca="1" si="51"/>
        <v/>
      </c>
      <c r="K232" s="1186" t="str">
        <f t="shared" ca="1" si="51"/>
        <v/>
      </c>
      <c r="L232" s="1186" t="str">
        <f t="shared" ca="1" si="51"/>
        <v/>
      </c>
      <c r="M232" s="1186" t="str">
        <f t="shared" ca="1" si="51"/>
        <v/>
      </c>
    </row>
    <row r="233" spans="1:27" ht="15" customHeight="1" x14ac:dyDescent="0.3">
      <c r="A233" s="130"/>
      <c r="B233" s="1184" t="str">
        <f t="shared" ca="1" si="46"/>
        <v/>
      </c>
      <c r="C233" s="1185" t="str">
        <f t="shared" ca="1" si="50"/>
        <v/>
      </c>
      <c r="D233" s="1185" t="str">
        <f t="shared" ca="1" si="47"/>
        <v/>
      </c>
      <c r="E233" s="1185" t="str">
        <f t="shared" ca="1" si="48"/>
        <v/>
      </c>
      <c r="F233" s="1186" t="str">
        <f t="shared" ca="1" si="49"/>
        <v/>
      </c>
      <c r="G233" s="1186" t="str">
        <f t="shared" ca="1" si="51"/>
        <v/>
      </c>
      <c r="H233" s="1186" t="str">
        <f t="shared" ca="1" si="51"/>
        <v/>
      </c>
      <c r="I233" s="1186" t="str">
        <f t="shared" ca="1" si="51"/>
        <v/>
      </c>
      <c r="J233" s="1186" t="str">
        <f t="shared" ca="1" si="51"/>
        <v/>
      </c>
      <c r="K233" s="1186" t="str">
        <f t="shared" ca="1" si="51"/>
        <v/>
      </c>
      <c r="L233" s="1186" t="str">
        <f t="shared" ca="1" si="51"/>
        <v/>
      </c>
      <c r="M233" s="1186" t="str">
        <f t="shared" ca="1" si="51"/>
        <v/>
      </c>
    </row>
    <row r="234" spans="1:27" ht="15" customHeight="1" x14ac:dyDescent="0.3">
      <c r="A234" s="130"/>
      <c r="B234" s="1184" t="str">
        <f t="shared" ca="1" si="46"/>
        <v/>
      </c>
      <c r="C234" s="1185" t="str">
        <f t="shared" ca="1" si="50"/>
        <v/>
      </c>
      <c r="D234" s="1185" t="str">
        <f t="shared" ca="1" si="47"/>
        <v/>
      </c>
      <c r="E234" s="1185" t="str">
        <f t="shared" ca="1" si="48"/>
        <v/>
      </c>
      <c r="F234" s="1186" t="str">
        <f t="shared" ca="1" si="49"/>
        <v/>
      </c>
      <c r="G234" s="1186" t="str">
        <f t="shared" ca="1" si="51"/>
        <v/>
      </c>
      <c r="H234" s="1186" t="str">
        <f t="shared" ca="1" si="51"/>
        <v/>
      </c>
      <c r="I234" s="1186" t="str">
        <f t="shared" ca="1" si="51"/>
        <v/>
      </c>
      <c r="J234" s="1186" t="str">
        <f t="shared" ca="1" si="51"/>
        <v/>
      </c>
      <c r="K234" s="1186" t="str">
        <f t="shared" ca="1" si="51"/>
        <v/>
      </c>
      <c r="L234" s="1186" t="str">
        <f t="shared" ca="1" si="51"/>
        <v/>
      </c>
      <c r="M234" s="1186" t="str">
        <f t="shared" ca="1" si="51"/>
        <v/>
      </c>
    </row>
    <row r="235" spans="1:27" ht="15" customHeight="1" x14ac:dyDescent="0.3">
      <c r="A235" s="130"/>
      <c r="B235" s="1184" t="str">
        <f t="shared" ref="B235" ca="1" si="52">IFERROR(IF(BB241= "", IF(ISBLANK(INDIRECT(C235 &amp;"!$" &amp;INDEX($AC$188:$AC$211, MATCH(C235, $Z$188:$Z$198, 0))&amp;  D235)), "", INDIRECT(C235 &amp;"!$" &amp;INDEX($AC$188:$AC$211, MATCH(C235, $Z$188:$Z$198, 0))&amp;  D235)), INDIRECT(C235 &amp;"!$" &amp;DD241&amp;  D235)), "")</f>
        <v/>
      </c>
      <c r="C235" s="1185" t="str">
        <f t="shared" ref="C235" ca="1" si="53">IFERROR(IF(ROW(E235) - ROW($E$190) &gt; INDEX($AE$188:$AE$213, MATCH(C234, $Z$188:$Z$198, 0)), INDEX($Z$188:$Z$198, MATCH(C234, $Z$188:$Z$198, 0) + 1), C234), "")</f>
        <v/>
      </c>
      <c r="D235" s="1185" t="str">
        <f t="shared" ref="D235" ca="1" si="54">IFERROR(MATCH("x",INDIRECT(C235&amp;"!$"&amp;INDEX($AB$188:$AB$211,MATCH(C235,$Z$188:$Z$198,0))&amp;IF(NOT(C235=C234),1,D234+1)&amp;":$"&amp;INDEX($AB$188:$AB$211,MATCH(C235,$Z$188:$Z$198,0))&amp;"20000"),0)+IF(NOT(C235=C234),0,D234), "")</f>
        <v/>
      </c>
      <c r="E235" s="1185" t="str">
        <f t="shared" ref="E235" ca="1" si="55">IFERROR(INDEX( $AF$188:$AF$203,MATCH(C235, $Z$188:$Z$202, 0)), "")</f>
        <v/>
      </c>
      <c r="F235" s="1186" t="str">
        <f t="shared" ref="F235" ca="1" si="56">IFERROR(IF(NOT(E235 = 1), "",  IF(ISBLANK(INDIRECT(C235 &amp;"!$" &amp;INDEX($AD$188:$AD$211, MATCH(C235, $Z$188:$Z$198, 0))&amp;  D235)), "",INDIRECT(C235 &amp;"!$" &amp;INDEX($AD$188:$AD$211, MATCH(C235, $Z$188:$Z$198, 0))&amp;  D235))),  "")</f>
        <v/>
      </c>
      <c r="G235" s="1186" t="str">
        <f t="shared" ca="1" si="51"/>
        <v/>
      </c>
      <c r="H235" s="1186" t="str">
        <f t="shared" ca="1" si="51"/>
        <v/>
      </c>
      <c r="I235" s="1186" t="str">
        <f t="shared" ca="1" si="51"/>
        <v/>
      </c>
      <c r="J235" s="1186" t="str">
        <f t="shared" ca="1" si="51"/>
        <v/>
      </c>
      <c r="K235" s="1186" t="str">
        <f t="shared" ca="1" si="51"/>
        <v/>
      </c>
      <c r="L235" s="1186" t="str">
        <f t="shared" ca="1" si="51"/>
        <v/>
      </c>
      <c r="M235" s="1186" t="str">
        <f t="shared" ca="1" si="51"/>
        <v/>
      </c>
    </row>
    <row r="236" spans="1:27" ht="15" customHeight="1" x14ac:dyDescent="0.3">
      <c r="A236" s="130"/>
      <c r="B236" s="1184" t="str">
        <f t="shared" ca="1" si="46"/>
        <v/>
      </c>
      <c r="C236" s="1185" t="str">
        <f t="shared" ca="1" si="50"/>
        <v/>
      </c>
      <c r="D236" s="1185" t="str">
        <f t="shared" ca="1" si="47"/>
        <v/>
      </c>
      <c r="E236" s="1185" t="str">
        <f t="shared" ca="1" si="48"/>
        <v/>
      </c>
      <c r="F236" s="1186" t="str">
        <f t="shared" ca="1" si="49"/>
        <v/>
      </c>
      <c r="G236" s="1186" t="str">
        <f t="shared" ca="1" si="51"/>
        <v/>
      </c>
      <c r="H236" s="1186" t="str">
        <f t="shared" ca="1" si="51"/>
        <v/>
      </c>
      <c r="I236" s="1186" t="str">
        <f t="shared" ca="1" si="51"/>
        <v/>
      </c>
      <c r="J236" s="1186" t="str">
        <f t="shared" ca="1" si="51"/>
        <v/>
      </c>
      <c r="K236" s="1186" t="str">
        <f t="shared" ca="1" si="51"/>
        <v/>
      </c>
      <c r="L236" s="1186" t="str">
        <f t="shared" ca="1" si="51"/>
        <v/>
      </c>
      <c r="M236" s="1186" t="str">
        <f t="shared" ca="1" si="51"/>
        <v/>
      </c>
    </row>
    <row r="237" spans="1:27" ht="15" customHeight="1" x14ac:dyDescent="0.3">
      <c r="A237" s="130"/>
      <c r="B237" s="1184" t="str">
        <f t="shared" ca="1" si="46"/>
        <v/>
      </c>
      <c r="C237" s="1185" t="str">
        <f t="shared" ca="1" si="50"/>
        <v/>
      </c>
      <c r="D237" s="1185" t="str">
        <f t="shared" ca="1" si="47"/>
        <v/>
      </c>
      <c r="E237" s="1185" t="str">
        <f t="shared" ca="1" si="48"/>
        <v/>
      </c>
      <c r="F237" s="1186" t="str">
        <f t="shared" ca="1" si="49"/>
        <v/>
      </c>
      <c r="G237" s="1186" t="str">
        <f t="shared" ca="1" si="51"/>
        <v/>
      </c>
      <c r="H237" s="1186" t="str">
        <f t="shared" ca="1" si="51"/>
        <v/>
      </c>
      <c r="I237" s="1186" t="str">
        <f t="shared" ca="1" si="51"/>
        <v/>
      </c>
      <c r="J237" s="1186" t="str">
        <f t="shared" ca="1" si="51"/>
        <v/>
      </c>
      <c r="K237" s="1186" t="str">
        <f t="shared" ca="1" si="51"/>
        <v/>
      </c>
      <c r="L237" s="1186" t="str">
        <f t="shared" ca="1" si="51"/>
        <v/>
      </c>
      <c r="M237" s="1186" t="str">
        <f t="shared" ca="1" si="51"/>
        <v/>
      </c>
    </row>
    <row r="238" spans="1:27" ht="15" customHeight="1" x14ac:dyDescent="0.3">
      <c r="A238" s="130"/>
      <c r="B238" s="1184" t="str">
        <f t="shared" ca="1" si="46"/>
        <v/>
      </c>
      <c r="C238" s="1185" t="str">
        <f t="shared" ca="1" si="50"/>
        <v/>
      </c>
      <c r="D238" s="1185" t="str">
        <f t="shared" ca="1" si="47"/>
        <v/>
      </c>
      <c r="E238" s="1185" t="str">
        <f t="shared" ca="1" si="48"/>
        <v/>
      </c>
      <c r="F238" s="1186" t="str">
        <f t="shared" ca="1" si="49"/>
        <v/>
      </c>
      <c r="G238" s="1186" t="str">
        <f t="shared" ca="1" si="51"/>
        <v/>
      </c>
      <c r="H238" s="1186" t="str">
        <f t="shared" ca="1" si="51"/>
        <v/>
      </c>
      <c r="I238" s="1186" t="str">
        <f t="shared" ca="1" si="51"/>
        <v/>
      </c>
      <c r="J238" s="1186" t="str">
        <f t="shared" ca="1" si="51"/>
        <v/>
      </c>
      <c r="K238" s="1186" t="str">
        <f t="shared" ca="1" si="51"/>
        <v/>
      </c>
      <c r="L238" s="1186" t="str">
        <f t="shared" ca="1" si="51"/>
        <v/>
      </c>
      <c r="M238" s="1186" t="str">
        <f t="shared" ca="1" si="51"/>
        <v/>
      </c>
    </row>
    <row r="239" spans="1:27" ht="15" customHeight="1" x14ac:dyDescent="0.3">
      <c r="A239" s="130"/>
      <c r="B239" s="1184" t="str">
        <f t="shared" ca="1" si="46"/>
        <v/>
      </c>
      <c r="C239" s="1185" t="str">
        <f t="shared" ca="1" si="50"/>
        <v/>
      </c>
      <c r="D239" s="1185" t="str">
        <f t="shared" ca="1" si="47"/>
        <v/>
      </c>
      <c r="E239" s="1185" t="str">
        <f t="shared" ca="1" si="48"/>
        <v/>
      </c>
      <c r="F239" s="1186" t="str">
        <f t="shared" ca="1" si="49"/>
        <v/>
      </c>
      <c r="G239" s="1186" t="str">
        <f t="shared" ca="1" si="51"/>
        <v/>
      </c>
      <c r="H239" s="1186" t="str">
        <f t="shared" ca="1" si="51"/>
        <v/>
      </c>
      <c r="I239" s="1186" t="str">
        <f t="shared" ca="1" si="51"/>
        <v/>
      </c>
      <c r="J239" s="1186" t="str">
        <f t="shared" ca="1" si="51"/>
        <v/>
      </c>
      <c r="K239" s="1186" t="str">
        <f t="shared" ca="1" si="51"/>
        <v/>
      </c>
      <c r="L239" s="1186" t="str">
        <f t="shared" ca="1" si="51"/>
        <v/>
      </c>
      <c r="M239" s="1186" t="str">
        <f t="shared" ca="1" si="51"/>
        <v/>
      </c>
      <c r="U239" s="132"/>
      <c r="V239" s="132"/>
      <c r="W239" s="132"/>
    </row>
    <row r="240" spans="1:27" ht="15" customHeight="1" x14ac:dyDescent="0.3">
      <c r="A240" s="130"/>
      <c r="B240" s="1184" t="str">
        <f t="shared" ca="1" si="46"/>
        <v/>
      </c>
      <c r="C240" s="1185" t="str">
        <f t="shared" ca="1" si="50"/>
        <v/>
      </c>
      <c r="D240" s="1185" t="str">
        <f t="shared" ca="1" si="47"/>
        <v/>
      </c>
      <c r="E240" s="1185" t="str">
        <f t="shared" ca="1" si="48"/>
        <v/>
      </c>
      <c r="F240" s="1186" t="str">
        <f t="shared" ca="1" si="49"/>
        <v/>
      </c>
      <c r="G240" s="1186" t="str">
        <f t="shared" ref="G240:M249" ca="1" si="57">IFERROR(IF(NOT($E240 = 7), "",INDIRECT($C240 &amp;"!" &amp;ADDRESS($D240,  COLUMN(INDIRECT(INDEX($AD$188:$AD$211, MATCH($C240, $Z$188:$Z$198, 0)) &amp; $D240)) +  G$189 - 1))), "")</f>
        <v/>
      </c>
      <c r="H240" s="1186" t="str">
        <f t="shared" ca="1" si="57"/>
        <v/>
      </c>
      <c r="I240" s="1186" t="str">
        <f t="shared" ca="1" si="57"/>
        <v/>
      </c>
      <c r="J240" s="1186" t="str">
        <f t="shared" ca="1" si="57"/>
        <v/>
      </c>
      <c r="K240" s="1186" t="str">
        <f t="shared" ca="1" si="57"/>
        <v/>
      </c>
      <c r="L240" s="1186" t="str">
        <f t="shared" ca="1" si="57"/>
        <v/>
      </c>
      <c r="M240" s="1186" t="str">
        <f t="shared" ca="1" si="57"/>
        <v/>
      </c>
      <c r="U240" s="132"/>
      <c r="V240" s="132"/>
      <c r="W240" s="132"/>
      <c r="X240" s="132"/>
      <c r="Y240" s="132"/>
      <c r="Z240" s="132"/>
      <c r="AA240" s="132"/>
    </row>
    <row r="241" spans="1:27" ht="15" customHeight="1" x14ac:dyDescent="0.3">
      <c r="A241" s="130"/>
      <c r="B241" s="1184" t="str">
        <f t="shared" ca="1" si="46"/>
        <v/>
      </c>
      <c r="C241" s="1185" t="str">
        <f t="shared" ca="1" si="50"/>
        <v/>
      </c>
      <c r="D241" s="1185" t="str">
        <f t="shared" ca="1" si="47"/>
        <v/>
      </c>
      <c r="E241" s="1185" t="str">
        <f t="shared" ca="1" si="48"/>
        <v/>
      </c>
      <c r="F241" s="1186" t="str">
        <f t="shared" ca="1" si="49"/>
        <v/>
      </c>
      <c r="G241" s="1186" t="str">
        <f t="shared" ca="1" si="57"/>
        <v/>
      </c>
      <c r="H241" s="1186" t="str">
        <f t="shared" ca="1" si="57"/>
        <v/>
      </c>
      <c r="I241" s="1186" t="str">
        <f t="shared" ca="1" si="57"/>
        <v/>
      </c>
      <c r="J241" s="1186" t="str">
        <f t="shared" ca="1" si="57"/>
        <v/>
      </c>
      <c r="K241" s="1186" t="str">
        <f t="shared" ca="1" si="57"/>
        <v/>
      </c>
      <c r="L241" s="1186" t="str">
        <f t="shared" ca="1" si="57"/>
        <v/>
      </c>
      <c r="M241" s="1186" t="str">
        <f t="shared" ca="1" si="57"/>
        <v/>
      </c>
      <c r="U241" s="132"/>
      <c r="V241" s="132"/>
      <c r="W241" s="132"/>
      <c r="X241" s="132"/>
      <c r="Y241" s="132"/>
      <c r="Z241" s="132"/>
      <c r="AA241" s="132"/>
    </row>
    <row r="242" spans="1:27" ht="15" customHeight="1" x14ac:dyDescent="0.3">
      <c r="A242" s="130"/>
      <c r="B242" s="1184" t="str">
        <f t="shared" ca="1" si="46"/>
        <v/>
      </c>
      <c r="C242" s="1185" t="str">
        <f t="shared" ca="1" si="50"/>
        <v/>
      </c>
      <c r="D242" s="1185" t="str">
        <f t="shared" ca="1" si="47"/>
        <v/>
      </c>
      <c r="E242" s="1185" t="str">
        <f t="shared" ca="1" si="48"/>
        <v/>
      </c>
      <c r="F242" s="1186" t="str">
        <f t="shared" ca="1" si="49"/>
        <v/>
      </c>
      <c r="G242" s="1186" t="str">
        <f t="shared" ca="1" si="57"/>
        <v/>
      </c>
      <c r="H242" s="1186" t="str">
        <f t="shared" ca="1" si="57"/>
        <v/>
      </c>
      <c r="I242" s="1186" t="str">
        <f t="shared" ca="1" si="57"/>
        <v/>
      </c>
      <c r="J242" s="1186" t="str">
        <f t="shared" ca="1" si="57"/>
        <v/>
      </c>
      <c r="K242" s="1186" t="str">
        <f t="shared" ca="1" si="57"/>
        <v/>
      </c>
      <c r="L242" s="1186" t="str">
        <f t="shared" ca="1" si="57"/>
        <v/>
      </c>
      <c r="M242" s="1186" t="str">
        <f t="shared" ca="1" si="57"/>
        <v/>
      </c>
      <c r="U242" s="132"/>
      <c r="V242" s="132"/>
      <c r="W242" s="132"/>
      <c r="X242" s="132"/>
      <c r="Y242" s="132"/>
      <c r="Z242" s="132"/>
      <c r="AA242" s="132"/>
    </row>
    <row r="243" spans="1:27" ht="15" customHeight="1" x14ac:dyDescent="0.3">
      <c r="A243" s="130"/>
      <c r="B243" s="1184" t="str">
        <f t="shared" ca="1" si="46"/>
        <v/>
      </c>
      <c r="C243" s="1185" t="str">
        <f t="shared" ca="1" si="50"/>
        <v/>
      </c>
      <c r="D243" s="1185" t="str">
        <f t="shared" ca="1" si="47"/>
        <v/>
      </c>
      <c r="E243" s="1185" t="str">
        <f t="shared" ca="1" si="48"/>
        <v/>
      </c>
      <c r="F243" s="1186" t="str">
        <f t="shared" ca="1" si="49"/>
        <v/>
      </c>
      <c r="G243" s="1186" t="str">
        <f t="shared" ca="1" si="57"/>
        <v/>
      </c>
      <c r="H243" s="1186" t="str">
        <f t="shared" ca="1" si="57"/>
        <v/>
      </c>
      <c r="I243" s="1186" t="str">
        <f t="shared" ca="1" si="57"/>
        <v/>
      </c>
      <c r="J243" s="1186" t="str">
        <f t="shared" ca="1" si="57"/>
        <v/>
      </c>
      <c r="K243" s="1186" t="str">
        <f t="shared" ca="1" si="57"/>
        <v/>
      </c>
      <c r="L243" s="1186" t="str">
        <f t="shared" ca="1" si="57"/>
        <v/>
      </c>
      <c r="M243" s="1186" t="str">
        <f t="shared" ca="1" si="57"/>
        <v/>
      </c>
      <c r="O243" s="28"/>
      <c r="P243" s="9"/>
      <c r="Q243" s="9"/>
      <c r="R243" s="9"/>
      <c r="S243" s="9"/>
      <c r="T243" s="28"/>
      <c r="U243" s="149"/>
      <c r="V243" s="149"/>
      <c r="W243" s="149"/>
      <c r="X243" s="132"/>
      <c r="Y243" s="132"/>
      <c r="Z243" s="132"/>
      <c r="AA243" s="132"/>
    </row>
    <row r="244" spans="1:27" ht="15" customHeight="1" x14ac:dyDescent="0.3">
      <c r="A244" s="130"/>
      <c r="B244" s="1184" t="str">
        <f t="shared" ca="1" si="46"/>
        <v/>
      </c>
      <c r="C244" s="1185" t="str">
        <f t="shared" ca="1" si="50"/>
        <v/>
      </c>
      <c r="D244" s="1185" t="str">
        <f t="shared" ca="1" si="47"/>
        <v/>
      </c>
      <c r="E244" s="1185" t="str">
        <f t="shared" ca="1" si="48"/>
        <v/>
      </c>
      <c r="F244" s="1186" t="str">
        <f t="shared" ca="1" si="49"/>
        <v/>
      </c>
      <c r="G244" s="1186" t="str">
        <f t="shared" ca="1" si="57"/>
        <v/>
      </c>
      <c r="H244" s="1186" t="str">
        <f t="shared" ca="1" si="57"/>
        <v/>
      </c>
      <c r="I244" s="1186" t="str">
        <f t="shared" ca="1" si="57"/>
        <v/>
      </c>
      <c r="J244" s="1186" t="str">
        <f t="shared" ca="1" si="57"/>
        <v/>
      </c>
      <c r="K244" s="1186" t="str">
        <f t="shared" ca="1" si="57"/>
        <v/>
      </c>
      <c r="L244" s="1186" t="str">
        <f t="shared" ca="1" si="57"/>
        <v/>
      </c>
      <c r="M244" s="1186" t="str">
        <f t="shared" ca="1" si="57"/>
        <v/>
      </c>
      <c r="O244" s="9"/>
      <c r="P244" s="9"/>
      <c r="Q244" s="9"/>
      <c r="R244" s="9"/>
      <c r="S244" s="9"/>
      <c r="T244" s="28"/>
      <c r="U244" s="148"/>
      <c r="V244" s="148"/>
      <c r="W244" s="148"/>
      <c r="X244" s="149"/>
      <c r="Y244" s="149"/>
      <c r="Z244" s="149"/>
      <c r="AA244" s="149"/>
    </row>
    <row r="245" spans="1:27" ht="15" customHeight="1" x14ac:dyDescent="0.3">
      <c r="A245" s="130"/>
      <c r="B245" s="1184" t="str">
        <f t="shared" ca="1" si="46"/>
        <v/>
      </c>
      <c r="C245" s="1185" t="str">
        <f t="shared" ca="1" si="50"/>
        <v/>
      </c>
      <c r="D245" s="1185" t="str">
        <f t="shared" ca="1" si="47"/>
        <v/>
      </c>
      <c r="E245" s="1185" t="str">
        <f t="shared" ca="1" si="48"/>
        <v/>
      </c>
      <c r="F245" s="1186" t="str">
        <f t="shared" ca="1" si="49"/>
        <v/>
      </c>
      <c r="G245" s="1186" t="str">
        <f t="shared" ca="1" si="57"/>
        <v/>
      </c>
      <c r="H245" s="1186" t="str">
        <f t="shared" ca="1" si="57"/>
        <v/>
      </c>
      <c r="I245" s="1186" t="str">
        <f t="shared" ca="1" si="57"/>
        <v/>
      </c>
      <c r="J245" s="1186" t="str">
        <f t="shared" ca="1" si="57"/>
        <v/>
      </c>
      <c r="K245" s="1186" t="str">
        <f t="shared" ca="1" si="57"/>
        <v/>
      </c>
      <c r="L245" s="1186" t="str">
        <f t="shared" ca="1" si="57"/>
        <v/>
      </c>
      <c r="M245" s="1186" t="str">
        <f t="shared" ca="1" si="57"/>
        <v/>
      </c>
      <c r="N245" s="176"/>
      <c r="O245" s="9"/>
      <c r="P245" s="9"/>
      <c r="Q245" s="9"/>
      <c r="R245" s="9"/>
      <c r="S245" s="9"/>
      <c r="T245" s="28"/>
      <c r="U245" s="148"/>
      <c r="V245" s="148"/>
      <c r="W245" s="148"/>
      <c r="X245" s="148"/>
      <c r="Y245" s="148"/>
      <c r="Z245" s="148"/>
      <c r="AA245" s="148"/>
    </row>
    <row r="246" spans="1:27" ht="15" customHeight="1" x14ac:dyDescent="0.3">
      <c r="A246" s="130"/>
      <c r="B246" s="1184" t="str">
        <f t="shared" ca="1" si="46"/>
        <v/>
      </c>
      <c r="C246" s="1185" t="str">
        <f t="shared" ca="1" si="50"/>
        <v/>
      </c>
      <c r="D246" s="1185" t="str">
        <f t="shared" ca="1" si="47"/>
        <v/>
      </c>
      <c r="E246" s="1185" t="str">
        <f t="shared" ca="1" si="48"/>
        <v/>
      </c>
      <c r="F246" s="1186" t="str">
        <f t="shared" ca="1" si="49"/>
        <v/>
      </c>
      <c r="G246" s="1186" t="str">
        <f t="shared" ca="1" si="57"/>
        <v/>
      </c>
      <c r="H246" s="1186" t="str">
        <f t="shared" ca="1" si="57"/>
        <v/>
      </c>
      <c r="I246" s="1186" t="str">
        <f t="shared" ca="1" si="57"/>
        <v/>
      </c>
      <c r="J246" s="1186" t="str">
        <f t="shared" ca="1" si="57"/>
        <v/>
      </c>
      <c r="K246" s="1186" t="str">
        <f t="shared" ca="1" si="57"/>
        <v/>
      </c>
      <c r="L246" s="1186" t="str">
        <f t="shared" ca="1" si="57"/>
        <v/>
      </c>
      <c r="M246" s="1186" t="str">
        <f t="shared" ca="1" si="57"/>
        <v/>
      </c>
      <c r="O246" s="9"/>
      <c r="P246" s="9"/>
      <c r="Q246" s="9"/>
      <c r="R246" s="9"/>
      <c r="S246" s="9"/>
      <c r="T246" s="28"/>
      <c r="U246" s="148"/>
      <c r="V246" s="148"/>
      <c r="W246" s="148"/>
      <c r="X246" s="148"/>
      <c r="Y246" s="148"/>
      <c r="Z246" s="148"/>
      <c r="AA246" s="148"/>
    </row>
    <row r="247" spans="1:27" ht="15" customHeight="1" x14ac:dyDescent="0.3">
      <c r="A247" s="130"/>
      <c r="B247" s="1184" t="str">
        <f t="shared" ca="1" si="46"/>
        <v/>
      </c>
      <c r="C247" s="1185" t="str">
        <f t="shared" ca="1" si="50"/>
        <v/>
      </c>
      <c r="D247" s="1185" t="str">
        <f t="shared" ca="1" si="47"/>
        <v/>
      </c>
      <c r="E247" s="1185" t="str">
        <f t="shared" ca="1" si="48"/>
        <v/>
      </c>
      <c r="F247" s="1186" t="str">
        <f t="shared" ca="1" si="49"/>
        <v/>
      </c>
      <c r="G247" s="1186" t="str">
        <f t="shared" ca="1" si="57"/>
        <v/>
      </c>
      <c r="H247" s="1186" t="str">
        <f t="shared" ca="1" si="57"/>
        <v/>
      </c>
      <c r="I247" s="1186" t="str">
        <f t="shared" ca="1" si="57"/>
        <v/>
      </c>
      <c r="J247" s="1186" t="str">
        <f t="shared" ca="1" si="57"/>
        <v/>
      </c>
      <c r="K247" s="1186" t="str">
        <f t="shared" ca="1" si="57"/>
        <v/>
      </c>
      <c r="L247" s="1186" t="str">
        <f t="shared" ca="1" si="57"/>
        <v/>
      </c>
      <c r="M247" s="1186" t="str">
        <f t="shared" ca="1" si="57"/>
        <v/>
      </c>
      <c r="O247" s="9"/>
      <c r="P247" s="9"/>
      <c r="Q247" s="9"/>
      <c r="R247" s="9"/>
      <c r="S247" s="9"/>
      <c r="T247" s="28"/>
      <c r="U247" s="148"/>
      <c r="V247" s="148"/>
      <c r="W247" s="148"/>
      <c r="X247" s="148"/>
      <c r="Y247" s="148"/>
      <c r="Z247" s="148"/>
      <c r="AA247" s="148"/>
    </row>
    <row r="248" spans="1:27" ht="15" customHeight="1" x14ac:dyDescent="0.3">
      <c r="A248" s="130"/>
      <c r="B248" s="1184" t="str">
        <f t="shared" ca="1" si="46"/>
        <v/>
      </c>
      <c r="C248" s="1185" t="str">
        <f t="shared" ca="1" si="50"/>
        <v/>
      </c>
      <c r="D248" s="1185" t="str">
        <f t="shared" ca="1" si="47"/>
        <v/>
      </c>
      <c r="E248" s="1185" t="str">
        <f t="shared" ca="1" si="48"/>
        <v/>
      </c>
      <c r="F248" s="1186" t="str">
        <f t="shared" ca="1" si="49"/>
        <v/>
      </c>
      <c r="G248" s="1186" t="str">
        <f t="shared" ca="1" si="57"/>
        <v/>
      </c>
      <c r="H248" s="1186" t="str">
        <f t="shared" ca="1" si="57"/>
        <v/>
      </c>
      <c r="I248" s="1186" t="str">
        <f t="shared" ca="1" si="57"/>
        <v/>
      </c>
      <c r="J248" s="1186" t="str">
        <f t="shared" ca="1" si="57"/>
        <v/>
      </c>
      <c r="K248" s="1186" t="str">
        <f t="shared" ca="1" si="57"/>
        <v/>
      </c>
      <c r="L248" s="1186" t="str">
        <f t="shared" ca="1" si="57"/>
        <v/>
      </c>
      <c r="M248" s="1186" t="str">
        <f t="shared" ca="1" si="57"/>
        <v/>
      </c>
      <c r="O248" s="9"/>
      <c r="P248" s="9"/>
      <c r="Q248" s="9"/>
      <c r="R248" s="9"/>
      <c r="S248" s="9"/>
      <c r="T248" s="28"/>
      <c r="U248" s="148"/>
      <c r="V248" s="148"/>
      <c r="W248" s="148"/>
      <c r="X248" s="148"/>
      <c r="Y248" s="148"/>
      <c r="Z248" s="148"/>
      <c r="AA248" s="148"/>
    </row>
    <row r="249" spans="1:27" ht="15" customHeight="1" x14ac:dyDescent="0.3">
      <c r="A249" s="130"/>
      <c r="B249" s="1184" t="str">
        <f t="shared" ca="1" si="46"/>
        <v/>
      </c>
      <c r="C249" s="1185" t="str">
        <f t="shared" ca="1" si="50"/>
        <v/>
      </c>
      <c r="D249" s="1185" t="str">
        <f t="shared" ca="1" si="47"/>
        <v/>
      </c>
      <c r="E249" s="1185" t="str">
        <f t="shared" ca="1" si="48"/>
        <v/>
      </c>
      <c r="F249" s="1186" t="str">
        <f t="shared" ca="1" si="49"/>
        <v/>
      </c>
      <c r="G249" s="1186" t="str">
        <f t="shared" ca="1" si="57"/>
        <v/>
      </c>
      <c r="H249" s="1186" t="str">
        <f t="shared" ca="1" si="57"/>
        <v/>
      </c>
      <c r="I249" s="1186" t="str">
        <f t="shared" ca="1" si="57"/>
        <v/>
      </c>
      <c r="J249" s="1186" t="str">
        <f t="shared" ca="1" si="57"/>
        <v/>
      </c>
      <c r="K249" s="1186" t="str">
        <f t="shared" ca="1" si="57"/>
        <v/>
      </c>
      <c r="L249" s="1186" t="str">
        <f t="shared" ca="1" si="57"/>
        <v/>
      </c>
      <c r="M249" s="1186" t="str">
        <f t="shared" ca="1" si="57"/>
        <v/>
      </c>
      <c r="O249" s="9"/>
      <c r="P249" s="9"/>
      <c r="Q249" s="9"/>
      <c r="R249" s="9"/>
      <c r="S249" s="9"/>
      <c r="T249" s="28"/>
      <c r="U249" s="148"/>
      <c r="V249" s="148"/>
      <c r="W249" s="148"/>
      <c r="X249" s="148"/>
      <c r="Y249" s="148"/>
      <c r="Z249" s="148"/>
      <c r="AA249" s="148"/>
    </row>
    <row r="250" spans="1:27" ht="15" customHeight="1" x14ac:dyDescent="0.3">
      <c r="A250" s="130"/>
      <c r="B250" s="1184" t="str">
        <f t="shared" ca="1" si="46"/>
        <v/>
      </c>
      <c r="C250" s="1185" t="str">
        <f t="shared" ca="1" si="50"/>
        <v/>
      </c>
      <c r="D250" s="1185" t="str">
        <f t="shared" ca="1" si="47"/>
        <v/>
      </c>
      <c r="E250" s="1185" t="str">
        <f t="shared" ca="1" si="48"/>
        <v/>
      </c>
      <c r="F250" s="1186" t="str">
        <f t="shared" ca="1" si="49"/>
        <v/>
      </c>
      <c r="G250" s="1186" t="str">
        <f t="shared" ref="G250:M259" ca="1" si="58">IFERROR(IF(NOT($E250 = 7), "",INDIRECT($C250 &amp;"!" &amp;ADDRESS($D250,  COLUMN(INDIRECT(INDEX($AD$188:$AD$211, MATCH($C250, $Z$188:$Z$198, 0)) &amp; $D250)) +  G$189 - 1))), "")</f>
        <v/>
      </c>
      <c r="H250" s="1186" t="str">
        <f t="shared" ca="1" si="58"/>
        <v/>
      </c>
      <c r="I250" s="1186" t="str">
        <f t="shared" ca="1" si="58"/>
        <v/>
      </c>
      <c r="J250" s="1186" t="str">
        <f t="shared" ca="1" si="58"/>
        <v/>
      </c>
      <c r="K250" s="1186" t="str">
        <f t="shared" ca="1" si="58"/>
        <v/>
      </c>
      <c r="L250" s="1186" t="str">
        <f t="shared" ca="1" si="58"/>
        <v/>
      </c>
      <c r="M250" s="1186" t="str">
        <f t="shared" ca="1" si="58"/>
        <v/>
      </c>
      <c r="O250" s="9"/>
      <c r="P250" s="9"/>
      <c r="Q250" s="9"/>
      <c r="R250" s="9"/>
      <c r="S250" s="9"/>
      <c r="T250" s="28"/>
      <c r="U250" s="148"/>
      <c r="V250" s="148"/>
      <c r="W250" s="148"/>
      <c r="X250" s="148"/>
      <c r="Y250" s="148"/>
      <c r="Z250" s="148"/>
      <c r="AA250" s="148"/>
    </row>
    <row r="251" spans="1:27" ht="15" customHeight="1" x14ac:dyDescent="0.3">
      <c r="A251" s="130"/>
      <c r="B251" s="1184" t="str">
        <f t="shared" ca="1" si="46"/>
        <v/>
      </c>
      <c r="C251" s="1185" t="str">
        <f t="shared" ca="1" si="50"/>
        <v/>
      </c>
      <c r="D251" s="1185" t="str">
        <f t="shared" ca="1" si="47"/>
        <v/>
      </c>
      <c r="E251" s="1185" t="str">
        <f t="shared" ca="1" si="48"/>
        <v/>
      </c>
      <c r="F251" s="1186" t="str">
        <f t="shared" ca="1" si="49"/>
        <v/>
      </c>
      <c r="G251" s="1186" t="str">
        <f t="shared" ca="1" si="58"/>
        <v/>
      </c>
      <c r="H251" s="1186" t="str">
        <f t="shared" ca="1" si="58"/>
        <v/>
      </c>
      <c r="I251" s="1186" t="str">
        <f t="shared" ca="1" si="58"/>
        <v/>
      </c>
      <c r="J251" s="1186" t="str">
        <f t="shared" ca="1" si="58"/>
        <v/>
      </c>
      <c r="K251" s="1186" t="str">
        <f t="shared" ca="1" si="58"/>
        <v/>
      </c>
      <c r="L251" s="1186" t="str">
        <f t="shared" ca="1" si="58"/>
        <v/>
      </c>
      <c r="M251" s="1186" t="str">
        <f t="shared" ca="1" si="58"/>
        <v/>
      </c>
      <c r="O251" s="177"/>
      <c r="P251" s="9"/>
      <c r="Q251" s="9"/>
      <c r="R251" s="9"/>
      <c r="S251" s="9"/>
      <c r="T251" s="28"/>
      <c r="U251" s="148"/>
      <c r="V251" s="148"/>
      <c r="W251" s="148"/>
      <c r="X251" s="148"/>
      <c r="Y251" s="148"/>
      <c r="Z251" s="148"/>
      <c r="AA251" s="148"/>
    </row>
    <row r="252" spans="1:27" ht="15" customHeight="1" x14ac:dyDescent="0.3">
      <c r="A252" s="130"/>
      <c r="B252" s="1184" t="str">
        <f t="shared" ca="1" si="46"/>
        <v/>
      </c>
      <c r="C252" s="1185" t="str">
        <f t="shared" ca="1" si="50"/>
        <v/>
      </c>
      <c r="D252" s="1185" t="str">
        <f t="shared" ca="1" si="47"/>
        <v/>
      </c>
      <c r="E252" s="1185" t="str">
        <f t="shared" ca="1" si="48"/>
        <v/>
      </c>
      <c r="F252" s="1186" t="str">
        <f t="shared" ca="1" si="49"/>
        <v/>
      </c>
      <c r="G252" s="1186" t="str">
        <f t="shared" ca="1" si="58"/>
        <v/>
      </c>
      <c r="H252" s="1186" t="str">
        <f t="shared" ca="1" si="58"/>
        <v/>
      </c>
      <c r="I252" s="1186" t="str">
        <f t="shared" ca="1" si="58"/>
        <v/>
      </c>
      <c r="J252" s="1186" t="str">
        <f t="shared" ca="1" si="58"/>
        <v/>
      </c>
      <c r="K252" s="1186" t="str">
        <f t="shared" ca="1" si="58"/>
        <v/>
      </c>
      <c r="L252" s="1186" t="str">
        <f t="shared" ca="1" si="58"/>
        <v/>
      </c>
      <c r="M252" s="1186" t="str">
        <f t="shared" ca="1" si="58"/>
        <v/>
      </c>
      <c r="O252" s="28"/>
      <c r="P252" s="9"/>
      <c r="Q252" s="9"/>
      <c r="R252" s="9"/>
      <c r="S252" s="9"/>
      <c r="T252" s="28"/>
      <c r="U252" s="149"/>
      <c r="V252" s="149"/>
      <c r="W252" s="149"/>
      <c r="X252" s="148"/>
      <c r="Y252" s="148"/>
      <c r="Z252" s="148"/>
      <c r="AA252" s="148"/>
    </row>
    <row r="253" spans="1:27" ht="15" customHeight="1" x14ac:dyDescent="0.3">
      <c r="A253" s="130"/>
      <c r="B253" s="1184" t="str">
        <f t="shared" ca="1" si="46"/>
        <v/>
      </c>
      <c r="C253" s="1185" t="str">
        <f t="shared" ca="1" si="50"/>
        <v/>
      </c>
      <c r="D253" s="1185" t="str">
        <f t="shared" ca="1" si="47"/>
        <v/>
      </c>
      <c r="E253" s="1185" t="str">
        <f t="shared" ca="1" si="48"/>
        <v/>
      </c>
      <c r="F253" s="1186" t="str">
        <f t="shared" ca="1" si="49"/>
        <v/>
      </c>
      <c r="G253" s="1186" t="str">
        <f t="shared" ca="1" si="58"/>
        <v/>
      </c>
      <c r="H253" s="1186" t="str">
        <f t="shared" ca="1" si="58"/>
        <v/>
      </c>
      <c r="I253" s="1186" t="str">
        <f t="shared" ca="1" si="58"/>
        <v/>
      </c>
      <c r="J253" s="1186" t="str">
        <f t="shared" ca="1" si="58"/>
        <v/>
      </c>
      <c r="K253" s="1186" t="str">
        <f t="shared" ca="1" si="58"/>
        <v/>
      </c>
      <c r="L253" s="1186" t="str">
        <f t="shared" ca="1" si="58"/>
        <v/>
      </c>
      <c r="M253" s="1186" t="str">
        <f t="shared" ca="1" si="58"/>
        <v/>
      </c>
      <c r="O253" s="9"/>
      <c r="P253" s="9"/>
      <c r="Q253" s="9"/>
      <c r="R253" s="9"/>
      <c r="S253" s="9"/>
      <c r="T253" s="28"/>
      <c r="U253" s="148"/>
      <c r="V253" s="148"/>
      <c r="W253" s="148"/>
      <c r="X253" s="149"/>
      <c r="Y253" s="149"/>
      <c r="Z253" s="149"/>
      <c r="AA253" s="149"/>
    </row>
    <row r="254" spans="1:27" ht="15" customHeight="1" x14ac:dyDescent="0.3">
      <c r="A254" s="130"/>
      <c r="B254" s="1184" t="str">
        <f t="shared" ref="B254:B285" ca="1" si="59">IFERROR(IF(BB260= "", IF(ISBLANK(INDIRECT(C254 &amp;"!$" &amp;INDEX($AC$188:$AC$211, MATCH(C254, $Z$188:$Z$198, 0))&amp;  D254)), "", INDIRECT(C254 &amp;"!$" &amp;INDEX($AC$188:$AC$211, MATCH(C254, $Z$188:$Z$198, 0))&amp;  D254)), INDIRECT(C254 &amp;"!$" &amp;DD260&amp;  D254)), "")</f>
        <v/>
      </c>
      <c r="C254" s="1185" t="str">
        <f t="shared" ca="1" si="50"/>
        <v/>
      </c>
      <c r="D254" s="1185" t="str">
        <f t="shared" ref="D254:D285" ca="1" si="60">IFERROR(MATCH("x",INDIRECT(C254&amp;"!$"&amp;INDEX($AB$188:$AB$211,MATCH(C254,$Z$188:$Z$198,0))&amp;IF(NOT(C254=C253),1,D253+1)&amp;":$"&amp;INDEX($AB$188:$AB$211,MATCH(C254,$Z$188:$Z$198,0))&amp;"20000"),0)+IF(NOT(C254=C253),0,D253), "")</f>
        <v/>
      </c>
      <c r="E254" s="1185" t="str">
        <f t="shared" ref="E254:E285" ca="1" si="61">IFERROR(INDEX( $AF$188:$AF$203,MATCH(C254, $Z$188:$Z$202, 0)), "")</f>
        <v/>
      </c>
      <c r="F254" s="1186" t="str">
        <f t="shared" ref="F254:F285" ca="1" si="62">IFERROR(IF(NOT(E254 = 1), "",  IF(ISBLANK(INDIRECT(C254 &amp;"!$" &amp;INDEX($AD$188:$AD$211, MATCH(C254, $Z$188:$Z$198, 0))&amp;  D254)), "",INDIRECT(C254 &amp;"!$" &amp;INDEX($AD$188:$AD$211, MATCH(C254, $Z$188:$Z$198, 0))&amp;  D254))),  "")</f>
        <v/>
      </c>
      <c r="G254" s="1186" t="str">
        <f t="shared" ca="1" si="58"/>
        <v/>
      </c>
      <c r="H254" s="1186" t="str">
        <f t="shared" ca="1" si="58"/>
        <v/>
      </c>
      <c r="I254" s="1186" t="str">
        <f t="shared" ca="1" si="58"/>
        <v/>
      </c>
      <c r="J254" s="1186" t="str">
        <f t="shared" ca="1" si="58"/>
        <v/>
      </c>
      <c r="K254" s="1186" t="str">
        <f t="shared" ca="1" si="58"/>
        <v/>
      </c>
      <c r="L254" s="1186" t="str">
        <f t="shared" ca="1" si="58"/>
        <v/>
      </c>
      <c r="M254" s="1186" t="str">
        <f t="shared" ca="1" si="58"/>
        <v/>
      </c>
      <c r="O254" s="9"/>
      <c r="P254" s="9"/>
      <c r="Q254" s="9"/>
      <c r="R254" s="9"/>
      <c r="S254" s="9"/>
      <c r="T254" s="28"/>
      <c r="U254" s="148"/>
      <c r="V254" s="148"/>
      <c r="W254" s="148"/>
      <c r="X254" s="148"/>
      <c r="Y254" s="148"/>
      <c r="Z254" s="148"/>
      <c r="AA254" s="148"/>
    </row>
    <row r="255" spans="1:27" ht="15" customHeight="1" x14ac:dyDescent="0.3">
      <c r="A255" s="130"/>
      <c r="B255" s="1184" t="str">
        <f t="shared" ca="1" si="59"/>
        <v/>
      </c>
      <c r="C255" s="1185" t="str">
        <f t="shared" ref="C255:C286" ca="1" si="63">IFERROR(IF(ROW(E255) - ROW($E$190) &gt; INDEX($AE$188:$AE$213, MATCH(C254, $Z$188:$Z$198, 0)), INDEX($Z$188:$Z$198, MATCH(C254, $Z$188:$Z$198, 0) + 1), C254), "")</f>
        <v/>
      </c>
      <c r="D255" s="1185" t="str">
        <f t="shared" ca="1" si="60"/>
        <v/>
      </c>
      <c r="E255" s="1185" t="str">
        <f t="shared" ca="1" si="61"/>
        <v/>
      </c>
      <c r="F255" s="1186" t="str">
        <f t="shared" ca="1" si="62"/>
        <v/>
      </c>
      <c r="G255" s="1186" t="str">
        <f t="shared" ca="1" si="58"/>
        <v/>
      </c>
      <c r="H255" s="1186" t="str">
        <f t="shared" ca="1" si="58"/>
        <v/>
      </c>
      <c r="I255" s="1186" t="str">
        <f t="shared" ca="1" si="58"/>
        <v/>
      </c>
      <c r="J255" s="1186" t="str">
        <f t="shared" ca="1" si="58"/>
        <v/>
      </c>
      <c r="K255" s="1186" t="str">
        <f t="shared" ca="1" si="58"/>
        <v/>
      </c>
      <c r="L255" s="1186" t="str">
        <f t="shared" ca="1" si="58"/>
        <v/>
      </c>
      <c r="M255" s="1186" t="str">
        <f t="shared" ca="1" si="58"/>
        <v/>
      </c>
      <c r="O255" s="9"/>
      <c r="P255" s="9"/>
      <c r="Q255" s="9"/>
      <c r="R255" s="9"/>
      <c r="S255" s="9"/>
      <c r="T255" s="28"/>
      <c r="U255" s="148"/>
      <c r="V255" s="148"/>
      <c r="W255" s="148"/>
      <c r="X255" s="148"/>
      <c r="Y255" s="148"/>
      <c r="Z255" s="148"/>
      <c r="AA255" s="148"/>
    </row>
    <row r="256" spans="1:27" ht="15" customHeight="1" x14ac:dyDescent="0.3">
      <c r="A256" s="130"/>
      <c r="B256" s="1184" t="str">
        <f t="shared" ca="1" si="59"/>
        <v/>
      </c>
      <c r="C256" s="1185" t="str">
        <f t="shared" ca="1" si="63"/>
        <v/>
      </c>
      <c r="D256" s="1185" t="str">
        <f t="shared" ca="1" si="60"/>
        <v/>
      </c>
      <c r="E256" s="1185" t="str">
        <f t="shared" ca="1" si="61"/>
        <v/>
      </c>
      <c r="F256" s="1186" t="str">
        <f t="shared" ca="1" si="62"/>
        <v/>
      </c>
      <c r="G256" s="1186" t="str">
        <f t="shared" ca="1" si="58"/>
        <v/>
      </c>
      <c r="H256" s="1186" t="str">
        <f t="shared" ca="1" si="58"/>
        <v/>
      </c>
      <c r="I256" s="1186" t="str">
        <f t="shared" ca="1" si="58"/>
        <v/>
      </c>
      <c r="J256" s="1186" t="str">
        <f t="shared" ca="1" si="58"/>
        <v/>
      </c>
      <c r="K256" s="1186" t="str">
        <f t="shared" ca="1" si="58"/>
        <v/>
      </c>
      <c r="L256" s="1186" t="str">
        <f t="shared" ca="1" si="58"/>
        <v/>
      </c>
      <c r="M256" s="1186" t="str">
        <f t="shared" ca="1" si="58"/>
        <v/>
      </c>
      <c r="O256" s="9"/>
      <c r="P256" s="9"/>
      <c r="Q256" s="9"/>
      <c r="R256" s="9"/>
      <c r="S256" s="9"/>
      <c r="T256" s="28"/>
      <c r="U256" s="148"/>
      <c r="V256" s="148"/>
      <c r="W256" s="148"/>
      <c r="X256" s="148"/>
      <c r="Y256" s="148"/>
      <c r="Z256" s="148"/>
      <c r="AA256" s="148"/>
    </row>
    <row r="257" spans="1:27" ht="15" customHeight="1" x14ac:dyDescent="0.3">
      <c r="A257" s="130"/>
      <c r="B257" s="1184" t="str">
        <f t="shared" ca="1" si="59"/>
        <v/>
      </c>
      <c r="C257" s="1185" t="str">
        <f t="shared" ca="1" si="63"/>
        <v/>
      </c>
      <c r="D257" s="1185" t="str">
        <f t="shared" ca="1" si="60"/>
        <v/>
      </c>
      <c r="E257" s="1185" t="str">
        <f t="shared" ca="1" si="61"/>
        <v/>
      </c>
      <c r="F257" s="1186" t="str">
        <f t="shared" ca="1" si="62"/>
        <v/>
      </c>
      <c r="G257" s="1186" t="str">
        <f t="shared" ca="1" si="58"/>
        <v/>
      </c>
      <c r="H257" s="1186" t="str">
        <f t="shared" ca="1" si="58"/>
        <v/>
      </c>
      <c r="I257" s="1186" t="str">
        <f t="shared" ca="1" si="58"/>
        <v/>
      </c>
      <c r="J257" s="1186" t="str">
        <f t="shared" ca="1" si="58"/>
        <v/>
      </c>
      <c r="K257" s="1186" t="str">
        <f t="shared" ca="1" si="58"/>
        <v/>
      </c>
      <c r="L257" s="1186" t="str">
        <f t="shared" ca="1" si="58"/>
        <v/>
      </c>
      <c r="M257" s="1186" t="str">
        <f t="shared" ca="1" si="58"/>
        <v/>
      </c>
      <c r="O257" s="9"/>
      <c r="P257" s="9"/>
      <c r="Q257" s="9"/>
      <c r="R257" s="9"/>
      <c r="S257" s="9"/>
      <c r="T257" s="28"/>
      <c r="U257" s="148"/>
      <c r="V257" s="148"/>
      <c r="W257" s="148"/>
      <c r="X257" s="148"/>
      <c r="Y257" s="148"/>
      <c r="Z257" s="148"/>
      <c r="AA257" s="148"/>
    </row>
    <row r="258" spans="1:27" ht="15" customHeight="1" x14ac:dyDescent="0.3">
      <c r="A258" s="130"/>
      <c r="B258" s="1184" t="str">
        <f t="shared" ca="1" si="59"/>
        <v/>
      </c>
      <c r="C258" s="1185" t="str">
        <f t="shared" ca="1" si="63"/>
        <v/>
      </c>
      <c r="D258" s="1185" t="str">
        <f t="shared" ca="1" si="60"/>
        <v/>
      </c>
      <c r="E258" s="1185" t="str">
        <f t="shared" ca="1" si="61"/>
        <v/>
      </c>
      <c r="F258" s="1186" t="str">
        <f t="shared" ca="1" si="62"/>
        <v/>
      </c>
      <c r="G258" s="1186" t="str">
        <f t="shared" ca="1" si="58"/>
        <v/>
      </c>
      <c r="H258" s="1186" t="str">
        <f t="shared" ca="1" si="58"/>
        <v/>
      </c>
      <c r="I258" s="1186" t="str">
        <f t="shared" ca="1" si="58"/>
        <v/>
      </c>
      <c r="J258" s="1186" t="str">
        <f t="shared" ca="1" si="58"/>
        <v/>
      </c>
      <c r="K258" s="1186" t="str">
        <f t="shared" ca="1" si="58"/>
        <v/>
      </c>
      <c r="L258" s="1186" t="str">
        <f t="shared" ca="1" si="58"/>
        <v/>
      </c>
      <c r="M258" s="1186" t="str">
        <f t="shared" ca="1" si="58"/>
        <v/>
      </c>
      <c r="O258" s="9"/>
      <c r="P258" s="9"/>
      <c r="Q258" s="9"/>
      <c r="R258" s="9"/>
      <c r="S258" s="9"/>
      <c r="T258" s="28"/>
      <c r="U258" s="148"/>
      <c r="V258" s="148"/>
      <c r="W258" s="148"/>
      <c r="X258" s="148"/>
      <c r="Y258" s="148"/>
      <c r="Z258" s="148"/>
      <c r="AA258" s="148"/>
    </row>
    <row r="259" spans="1:27" ht="15" customHeight="1" x14ac:dyDescent="0.3">
      <c r="A259" s="130"/>
      <c r="B259" s="1184" t="str">
        <f t="shared" ca="1" si="59"/>
        <v/>
      </c>
      <c r="C259" s="1185" t="str">
        <f t="shared" ca="1" si="63"/>
        <v/>
      </c>
      <c r="D259" s="1185" t="str">
        <f t="shared" ca="1" si="60"/>
        <v/>
      </c>
      <c r="E259" s="1185" t="str">
        <f t="shared" ca="1" si="61"/>
        <v/>
      </c>
      <c r="F259" s="1186" t="str">
        <f t="shared" ca="1" si="62"/>
        <v/>
      </c>
      <c r="G259" s="1186" t="str">
        <f t="shared" ca="1" si="58"/>
        <v/>
      </c>
      <c r="H259" s="1186" t="str">
        <f t="shared" ca="1" si="58"/>
        <v/>
      </c>
      <c r="I259" s="1186" t="str">
        <f t="shared" ca="1" si="58"/>
        <v/>
      </c>
      <c r="J259" s="1186" t="str">
        <f t="shared" ca="1" si="58"/>
        <v/>
      </c>
      <c r="K259" s="1186" t="str">
        <f t="shared" ca="1" si="58"/>
        <v/>
      </c>
      <c r="L259" s="1186" t="str">
        <f t="shared" ca="1" si="58"/>
        <v/>
      </c>
      <c r="M259" s="1186" t="str">
        <f t="shared" ca="1" si="58"/>
        <v/>
      </c>
      <c r="O259" s="9"/>
      <c r="P259" s="9"/>
      <c r="Q259" s="9"/>
      <c r="R259" s="9"/>
      <c r="S259" s="9"/>
      <c r="T259" s="28"/>
      <c r="U259" s="148"/>
      <c r="V259" s="148"/>
      <c r="W259" s="148"/>
      <c r="X259" s="148"/>
      <c r="Y259" s="148"/>
      <c r="Z259" s="148"/>
      <c r="AA259" s="148"/>
    </row>
    <row r="260" spans="1:27" ht="15" customHeight="1" x14ac:dyDescent="0.3">
      <c r="A260" s="130"/>
      <c r="B260" s="1184" t="str">
        <f t="shared" ca="1" si="59"/>
        <v/>
      </c>
      <c r="C260" s="1185" t="str">
        <f t="shared" ca="1" si="63"/>
        <v/>
      </c>
      <c r="D260" s="1185" t="str">
        <f t="shared" ca="1" si="60"/>
        <v/>
      </c>
      <c r="E260" s="1185" t="str">
        <f t="shared" ca="1" si="61"/>
        <v/>
      </c>
      <c r="F260" s="1186" t="str">
        <f t="shared" ca="1" si="62"/>
        <v/>
      </c>
      <c r="G260" s="1186" t="str">
        <f t="shared" ref="G260:M269" ca="1" si="64">IFERROR(IF(NOT($E260 = 7), "",INDIRECT($C260 &amp;"!" &amp;ADDRESS($D260,  COLUMN(INDIRECT(INDEX($AD$188:$AD$211, MATCH($C260, $Z$188:$Z$198, 0)) &amp; $D260)) +  G$189 - 1))), "")</f>
        <v/>
      </c>
      <c r="H260" s="1186" t="str">
        <f t="shared" ca="1" si="64"/>
        <v/>
      </c>
      <c r="I260" s="1186" t="str">
        <f t="shared" ca="1" si="64"/>
        <v/>
      </c>
      <c r="J260" s="1186" t="str">
        <f t="shared" ca="1" si="64"/>
        <v/>
      </c>
      <c r="K260" s="1186" t="str">
        <f t="shared" ca="1" si="64"/>
        <v/>
      </c>
      <c r="L260" s="1186" t="str">
        <f t="shared" ca="1" si="64"/>
        <v/>
      </c>
      <c r="M260" s="1186" t="str">
        <f t="shared" ca="1" si="64"/>
        <v/>
      </c>
      <c r="O260" s="177"/>
      <c r="P260" s="9"/>
      <c r="Q260" s="9"/>
      <c r="R260" s="9"/>
      <c r="S260" s="9"/>
      <c r="T260" s="28"/>
      <c r="U260" s="148"/>
      <c r="V260" s="148"/>
      <c r="W260" s="148"/>
      <c r="X260" s="148"/>
      <c r="Y260" s="148"/>
      <c r="Z260" s="148"/>
      <c r="AA260" s="148"/>
    </row>
    <row r="261" spans="1:27" ht="15" customHeight="1" x14ac:dyDescent="0.3">
      <c r="A261" s="130"/>
      <c r="B261" s="1184" t="str">
        <f t="shared" ca="1" si="59"/>
        <v/>
      </c>
      <c r="C261" s="1185" t="str">
        <f t="shared" ca="1" si="63"/>
        <v/>
      </c>
      <c r="D261" s="1185" t="str">
        <f t="shared" ca="1" si="60"/>
        <v/>
      </c>
      <c r="E261" s="1185" t="str">
        <f t="shared" ca="1" si="61"/>
        <v/>
      </c>
      <c r="F261" s="1186" t="str">
        <f t="shared" ca="1" si="62"/>
        <v/>
      </c>
      <c r="G261" s="1186" t="str">
        <f t="shared" ca="1" si="64"/>
        <v/>
      </c>
      <c r="H261" s="1186" t="str">
        <f t="shared" ca="1" si="64"/>
        <v/>
      </c>
      <c r="I261" s="1186" t="str">
        <f t="shared" ca="1" si="64"/>
        <v/>
      </c>
      <c r="J261" s="1186" t="str">
        <f t="shared" ca="1" si="64"/>
        <v/>
      </c>
      <c r="K261" s="1186" t="str">
        <f t="shared" ca="1" si="64"/>
        <v/>
      </c>
      <c r="L261" s="1186" t="str">
        <f t="shared" ca="1" si="64"/>
        <v/>
      </c>
      <c r="M261" s="1186" t="str">
        <f t="shared" ca="1" si="64"/>
        <v/>
      </c>
      <c r="O261" s="28"/>
      <c r="P261" s="9"/>
      <c r="Q261" s="9"/>
      <c r="R261" s="9"/>
      <c r="S261" s="9"/>
      <c r="T261" s="28"/>
      <c r="U261" s="149"/>
      <c r="V261" s="149"/>
      <c r="W261" s="149"/>
      <c r="X261" s="148"/>
      <c r="Y261" s="148"/>
      <c r="Z261" s="148"/>
      <c r="AA261" s="148"/>
    </row>
    <row r="262" spans="1:27" ht="15" customHeight="1" x14ac:dyDescent="0.3">
      <c r="A262" s="130"/>
      <c r="B262" s="1184" t="str">
        <f t="shared" ca="1" si="59"/>
        <v/>
      </c>
      <c r="C262" s="1185" t="str">
        <f t="shared" ca="1" si="63"/>
        <v/>
      </c>
      <c r="D262" s="1185" t="str">
        <f t="shared" ca="1" si="60"/>
        <v/>
      </c>
      <c r="E262" s="1185" t="str">
        <f t="shared" ca="1" si="61"/>
        <v/>
      </c>
      <c r="F262" s="1186" t="str">
        <f t="shared" ca="1" si="62"/>
        <v/>
      </c>
      <c r="G262" s="1186" t="str">
        <f t="shared" ca="1" si="64"/>
        <v/>
      </c>
      <c r="H262" s="1186" t="str">
        <f t="shared" ca="1" si="64"/>
        <v/>
      </c>
      <c r="I262" s="1186" t="str">
        <f t="shared" ca="1" si="64"/>
        <v/>
      </c>
      <c r="J262" s="1186" t="str">
        <f t="shared" ca="1" si="64"/>
        <v/>
      </c>
      <c r="K262" s="1186" t="str">
        <f t="shared" ca="1" si="64"/>
        <v/>
      </c>
      <c r="L262" s="1186" t="str">
        <f t="shared" ca="1" si="64"/>
        <v/>
      </c>
      <c r="M262" s="1186" t="str">
        <f t="shared" ca="1" si="64"/>
        <v/>
      </c>
      <c r="O262" s="9"/>
      <c r="P262" s="9"/>
      <c r="Q262" s="9"/>
      <c r="R262" s="9"/>
      <c r="S262" s="9"/>
      <c r="T262" s="28"/>
      <c r="U262" s="148"/>
      <c r="V262" s="148"/>
      <c r="W262" s="148"/>
      <c r="X262" s="149"/>
      <c r="Y262" s="149"/>
      <c r="Z262" s="149"/>
      <c r="AA262" s="149"/>
    </row>
    <row r="263" spans="1:27" ht="15" customHeight="1" x14ac:dyDescent="0.3">
      <c r="A263" s="130"/>
      <c r="B263" s="1184" t="str">
        <f t="shared" ca="1" si="59"/>
        <v/>
      </c>
      <c r="C263" s="1185" t="str">
        <f t="shared" ca="1" si="63"/>
        <v/>
      </c>
      <c r="D263" s="1185" t="str">
        <f t="shared" ca="1" si="60"/>
        <v/>
      </c>
      <c r="E263" s="1185" t="str">
        <f t="shared" ca="1" si="61"/>
        <v/>
      </c>
      <c r="F263" s="1186" t="str">
        <f t="shared" ca="1" si="62"/>
        <v/>
      </c>
      <c r="G263" s="1186" t="str">
        <f t="shared" ca="1" si="64"/>
        <v/>
      </c>
      <c r="H263" s="1186" t="str">
        <f t="shared" ca="1" si="64"/>
        <v/>
      </c>
      <c r="I263" s="1186" t="str">
        <f t="shared" ca="1" si="64"/>
        <v/>
      </c>
      <c r="J263" s="1186" t="str">
        <f t="shared" ca="1" si="64"/>
        <v/>
      </c>
      <c r="K263" s="1186" t="str">
        <f t="shared" ca="1" si="64"/>
        <v/>
      </c>
      <c r="L263" s="1186" t="str">
        <f t="shared" ca="1" si="64"/>
        <v/>
      </c>
      <c r="M263" s="1186" t="str">
        <f t="shared" ca="1" si="64"/>
        <v/>
      </c>
      <c r="O263" s="9"/>
      <c r="P263" s="9"/>
      <c r="Q263" s="9"/>
      <c r="R263" s="9"/>
      <c r="S263" s="9"/>
      <c r="T263" s="28"/>
      <c r="U263" s="148"/>
      <c r="V263" s="148"/>
      <c r="W263" s="148"/>
      <c r="X263" s="148"/>
      <c r="Y263" s="148"/>
      <c r="Z263" s="148"/>
      <c r="AA263" s="148"/>
    </row>
    <row r="264" spans="1:27" ht="15" customHeight="1" x14ac:dyDescent="0.3">
      <c r="A264" s="130"/>
      <c r="B264" s="1184" t="str">
        <f t="shared" ca="1" si="59"/>
        <v/>
      </c>
      <c r="C264" s="1185" t="str">
        <f t="shared" ca="1" si="63"/>
        <v/>
      </c>
      <c r="D264" s="1185" t="str">
        <f t="shared" ca="1" si="60"/>
        <v/>
      </c>
      <c r="E264" s="1185" t="str">
        <f t="shared" ca="1" si="61"/>
        <v/>
      </c>
      <c r="F264" s="1186" t="str">
        <f t="shared" ca="1" si="62"/>
        <v/>
      </c>
      <c r="G264" s="1186" t="str">
        <f t="shared" ca="1" si="64"/>
        <v/>
      </c>
      <c r="H264" s="1186" t="str">
        <f t="shared" ca="1" si="64"/>
        <v/>
      </c>
      <c r="I264" s="1186" t="str">
        <f t="shared" ca="1" si="64"/>
        <v/>
      </c>
      <c r="J264" s="1186" t="str">
        <f t="shared" ca="1" si="64"/>
        <v/>
      </c>
      <c r="K264" s="1186" t="str">
        <f t="shared" ca="1" si="64"/>
        <v/>
      </c>
      <c r="L264" s="1186" t="str">
        <f t="shared" ca="1" si="64"/>
        <v/>
      </c>
      <c r="M264" s="1186" t="str">
        <f t="shared" ca="1" si="64"/>
        <v/>
      </c>
      <c r="O264" s="9"/>
      <c r="P264" s="9"/>
      <c r="Q264" s="9"/>
      <c r="R264" s="9"/>
      <c r="S264" s="9"/>
      <c r="T264" s="28"/>
      <c r="U264" s="148"/>
      <c r="V264" s="148"/>
      <c r="W264" s="148"/>
      <c r="X264" s="148"/>
      <c r="Y264" s="148"/>
      <c r="Z264" s="148"/>
      <c r="AA264" s="148"/>
    </row>
    <row r="265" spans="1:27" ht="15" customHeight="1" x14ac:dyDescent="0.3">
      <c r="A265" s="130"/>
      <c r="B265" s="1184" t="str">
        <f t="shared" ca="1" si="59"/>
        <v/>
      </c>
      <c r="C265" s="1185" t="str">
        <f t="shared" ca="1" si="63"/>
        <v/>
      </c>
      <c r="D265" s="1185" t="str">
        <f t="shared" ca="1" si="60"/>
        <v/>
      </c>
      <c r="E265" s="1185" t="str">
        <f t="shared" ca="1" si="61"/>
        <v/>
      </c>
      <c r="F265" s="1186" t="str">
        <f t="shared" ca="1" si="62"/>
        <v/>
      </c>
      <c r="G265" s="1186" t="str">
        <f t="shared" ca="1" si="64"/>
        <v/>
      </c>
      <c r="H265" s="1186" t="str">
        <f t="shared" ca="1" si="64"/>
        <v/>
      </c>
      <c r="I265" s="1186" t="str">
        <f t="shared" ca="1" si="64"/>
        <v/>
      </c>
      <c r="J265" s="1186" t="str">
        <f t="shared" ca="1" si="64"/>
        <v/>
      </c>
      <c r="K265" s="1186" t="str">
        <f t="shared" ca="1" si="64"/>
        <v/>
      </c>
      <c r="L265" s="1186" t="str">
        <f t="shared" ca="1" si="64"/>
        <v/>
      </c>
      <c r="M265" s="1186" t="str">
        <f t="shared" ca="1" si="64"/>
        <v/>
      </c>
      <c r="O265" s="9"/>
      <c r="P265" s="9"/>
      <c r="Q265" s="9"/>
      <c r="R265" s="9"/>
      <c r="S265" s="9"/>
      <c r="T265" s="28"/>
      <c r="U265" s="148"/>
      <c r="V265" s="148"/>
      <c r="W265" s="148"/>
      <c r="X265" s="148"/>
      <c r="Y265" s="148"/>
      <c r="Z265" s="148"/>
      <c r="AA265" s="148"/>
    </row>
    <row r="266" spans="1:27" ht="15" customHeight="1" x14ac:dyDescent="0.3">
      <c r="A266" s="130"/>
      <c r="B266" s="1184" t="str">
        <f t="shared" ca="1" si="59"/>
        <v/>
      </c>
      <c r="C266" s="1185" t="str">
        <f t="shared" ca="1" si="63"/>
        <v/>
      </c>
      <c r="D266" s="1185" t="str">
        <f t="shared" ca="1" si="60"/>
        <v/>
      </c>
      <c r="E266" s="1185" t="str">
        <f t="shared" ca="1" si="61"/>
        <v/>
      </c>
      <c r="F266" s="1186" t="str">
        <f t="shared" ca="1" si="62"/>
        <v/>
      </c>
      <c r="G266" s="1186" t="str">
        <f t="shared" ca="1" si="64"/>
        <v/>
      </c>
      <c r="H266" s="1186" t="str">
        <f t="shared" ca="1" si="64"/>
        <v/>
      </c>
      <c r="I266" s="1186" t="str">
        <f t="shared" ca="1" si="64"/>
        <v/>
      </c>
      <c r="J266" s="1186" t="str">
        <f t="shared" ca="1" si="64"/>
        <v/>
      </c>
      <c r="K266" s="1186" t="str">
        <f t="shared" ca="1" si="64"/>
        <v/>
      </c>
      <c r="L266" s="1186" t="str">
        <f t="shared" ca="1" si="64"/>
        <v/>
      </c>
      <c r="M266" s="1186" t="str">
        <f t="shared" ca="1" si="64"/>
        <v/>
      </c>
      <c r="O266" s="9"/>
      <c r="P266" s="9"/>
      <c r="Q266" s="9"/>
      <c r="R266" s="9"/>
      <c r="S266" s="9"/>
      <c r="T266" s="28"/>
      <c r="U266" s="148"/>
      <c r="V266" s="148"/>
      <c r="W266" s="148"/>
      <c r="X266" s="148"/>
      <c r="Y266" s="148"/>
      <c r="Z266" s="148"/>
      <c r="AA266" s="148"/>
    </row>
    <row r="267" spans="1:27" ht="15" customHeight="1" x14ac:dyDescent="0.3">
      <c r="A267" s="130"/>
      <c r="B267" s="1184" t="str">
        <f t="shared" ca="1" si="59"/>
        <v/>
      </c>
      <c r="C267" s="1185" t="str">
        <f t="shared" ca="1" si="63"/>
        <v/>
      </c>
      <c r="D267" s="1185" t="str">
        <f t="shared" ca="1" si="60"/>
        <v/>
      </c>
      <c r="E267" s="1185" t="str">
        <f t="shared" ca="1" si="61"/>
        <v/>
      </c>
      <c r="F267" s="1186" t="str">
        <f t="shared" ca="1" si="62"/>
        <v/>
      </c>
      <c r="G267" s="1186" t="str">
        <f t="shared" ca="1" si="64"/>
        <v/>
      </c>
      <c r="H267" s="1186" t="str">
        <f t="shared" ca="1" si="64"/>
        <v/>
      </c>
      <c r="I267" s="1186" t="str">
        <f t="shared" ca="1" si="64"/>
        <v/>
      </c>
      <c r="J267" s="1186" t="str">
        <f t="shared" ca="1" si="64"/>
        <v/>
      </c>
      <c r="K267" s="1186" t="str">
        <f t="shared" ca="1" si="64"/>
        <v/>
      </c>
      <c r="L267" s="1186" t="str">
        <f t="shared" ca="1" si="64"/>
        <v/>
      </c>
      <c r="M267" s="1186" t="str">
        <f t="shared" ca="1" si="64"/>
        <v/>
      </c>
      <c r="O267" s="9"/>
      <c r="P267" s="9"/>
      <c r="Q267" s="9"/>
      <c r="R267" s="9"/>
      <c r="S267" s="9"/>
      <c r="T267" s="28"/>
      <c r="U267" s="148"/>
      <c r="V267" s="148"/>
      <c r="W267" s="148"/>
      <c r="X267" s="148"/>
      <c r="Y267" s="148"/>
      <c r="Z267" s="148"/>
      <c r="AA267" s="148"/>
    </row>
    <row r="268" spans="1:27" ht="15" customHeight="1" x14ac:dyDescent="0.3">
      <c r="A268" s="130"/>
      <c r="B268" s="1184" t="str">
        <f t="shared" ca="1" si="59"/>
        <v/>
      </c>
      <c r="C268" s="1185" t="str">
        <f t="shared" ca="1" si="63"/>
        <v/>
      </c>
      <c r="D268" s="1185" t="str">
        <f t="shared" ca="1" si="60"/>
        <v/>
      </c>
      <c r="E268" s="1185" t="str">
        <f t="shared" ca="1" si="61"/>
        <v/>
      </c>
      <c r="F268" s="1186" t="str">
        <f t="shared" ca="1" si="62"/>
        <v/>
      </c>
      <c r="G268" s="1186" t="str">
        <f t="shared" ca="1" si="64"/>
        <v/>
      </c>
      <c r="H268" s="1186" t="str">
        <f t="shared" ca="1" si="64"/>
        <v/>
      </c>
      <c r="I268" s="1186" t="str">
        <f t="shared" ca="1" si="64"/>
        <v/>
      </c>
      <c r="J268" s="1186" t="str">
        <f t="shared" ca="1" si="64"/>
        <v/>
      </c>
      <c r="K268" s="1186" t="str">
        <f t="shared" ca="1" si="64"/>
        <v/>
      </c>
      <c r="L268" s="1186" t="str">
        <f t="shared" ca="1" si="64"/>
        <v/>
      </c>
      <c r="M268" s="1186" t="str">
        <f t="shared" ca="1" si="64"/>
        <v/>
      </c>
      <c r="O268" s="9"/>
      <c r="P268" s="9"/>
      <c r="Q268" s="9"/>
      <c r="R268" s="9"/>
      <c r="S268" s="9"/>
      <c r="T268" s="28"/>
      <c r="U268" s="148"/>
      <c r="V268" s="148"/>
      <c r="W268" s="148"/>
      <c r="X268" s="148"/>
      <c r="Y268" s="148"/>
      <c r="Z268" s="148"/>
      <c r="AA268" s="148"/>
    </row>
    <row r="269" spans="1:27" ht="15" customHeight="1" x14ac:dyDescent="0.3">
      <c r="A269" s="130"/>
      <c r="B269" s="1184" t="str">
        <f t="shared" ca="1" si="59"/>
        <v/>
      </c>
      <c r="C269" s="1185" t="str">
        <f t="shared" ca="1" si="63"/>
        <v/>
      </c>
      <c r="D269" s="1185" t="str">
        <f t="shared" ca="1" si="60"/>
        <v/>
      </c>
      <c r="E269" s="1185" t="str">
        <f t="shared" ca="1" si="61"/>
        <v/>
      </c>
      <c r="F269" s="1186" t="str">
        <f t="shared" ca="1" si="62"/>
        <v/>
      </c>
      <c r="G269" s="1186" t="str">
        <f t="shared" ca="1" si="64"/>
        <v/>
      </c>
      <c r="H269" s="1186" t="str">
        <f t="shared" ca="1" si="64"/>
        <v/>
      </c>
      <c r="I269" s="1186" t="str">
        <f t="shared" ca="1" si="64"/>
        <v/>
      </c>
      <c r="J269" s="1186" t="str">
        <f t="shared" ca="1" si="64"/>
        <v/>
      </c>
      <c r="K269" s="1186" t="str">
        <f t="shared" ca="1" si="64"/>
        <v/>
      </c>
      <c r="L269" s="1186" t="str">
        <f t="shared" ca="1" si="64"/>
        <v/>
      </c>
      <c r="M269" s="1186" t="str">
        <f t="shared" ca="1" si="64"/>
        <v/>
      </c>
      <c r="O269" s="177"/>
      <c r="P269" s="9"/>
      <c r="Q269" s="9"/>
      <c r="R269" s="9"/>
      <c r="S269" s="9"/>
      <c r="T269" s="28"/>
      <c r="U269" s="148"/>
      <c r="V269" s="148"/>
      <c r="W269" s="148"/>
      <c r="X269" s="148"/>
      <c r="Y269" s="148"/>
      <c r="Z269" s="148"/>
      <c r="AA269" s="148"/>
    </row>
    <row r="270" spans="1:27" ht="15" customHeight="1" x14ac:dyDescent="0.3">
      <c r="A270" s="130"/>
      <c r="B270" s="1184" t="str">
        <f t="shared" ca="1" si="59"/>
        <v/>
      </c>
      <c r="C270" s="1185" t="str">
        <f t="shared" ca="1" si="63"/>
        <v/>
      </c>
      <c r="D270" s="1185" t="str">
        <f t="shared" ca="1" si="60"/>
        <v/>
      </c>
      <c r="E270" s="1185" t="str">
        <f t="shared" ca="1" si="61"/>
        <v/>
      </c>
      <c r="F270" s="1186" t="str">
        <f t="shared" ca="1" si="62"/>
        <v/>
      </c>
      <c r="G270" s="1186" t="str">
        <f t="shared" ref="G270:M279" ca="1" si="65">IFERROR(IF(NOT($E270 = 7), "",INDIRECT($C270 &amp;"!" &amp;ADDRESS($D270,  COLUMN(INDIRECT(INDEX($AD$188:$AD$211, MATCH($C270, $Z$188:$Z$198, 0)) &amp; $D270)) +  G$189 - 1))), "")</f>
        <v/>
      </c>
      <c r="H270" s="1186" t="str">
        <f t="shared" ca="1" si="65"/>
        <v/>
      </c>
      <c r="I270" s="1186" t="str">
        <f t="shared" ca="1" si="65"/>
        <v/>
      </c>
      <c r="J270" s="1186" t="str">
        <f t="shared" ca="1" si="65"/>
        <v/>
      </c>
      <c r="K270" s="1186" t="str">
        <f t="shared" ca="1" si="65"/>
        <v/>
      </c>
      <c r="L270" s="1186" t="str">
        <f t="shared" ca="1" si="65"/>
        <v/>
      </c>
      <c r="M270" s="1186" t="str">
        <f t="shared" ca="1" si="65"/>
        <v/>
      </c>
      <c r="X270" s="148"/>
      <c r="Y270" s="148"/>
      <c r="Z270" s="148"/>
      <c r="AA270" s="148"/>
    </row>
    <row r="271" spans="1:27" ht="15" customHeight="1" x14ac:dyDescent="0.3">
      <c r="A271" s="130"/>
      <c r="B271" s="1184" t="str">
        <f t="shared" ca="1" si="59"/>
        <v/>
      </c>
      <c r="C271" s="1185" t="str">
        <f t="shared" ca="1" si="63"/>
        <v/>
      </c>
      <c r="D271" s="1185" t="str">
        <f t="shared" ca="1" si="60"/>
        <v/>
      </c>
      <c r="E271" s="1185" t="str">
        <f t="shared" ca="1" si="61"/>
        <v/>
      </c>
      <c r="F271" s="1186" t="str">
        <f t="shared" ca="1" si="62"/>
        <v/>
      </c>
      <c r="G271" s="1186" t="str">
        <f t="shared" ca="1" si="65"/>
        <v/>
      </c>
      <c r="H271" s="1186" t="str">
        <f t="shared" ca="1" si="65"/>
        <v/>
      </c>
      <c r="I271" s="1186" t="str">
        <f t="shared" ca="1" si="65"/>
        <v/>
      </c>
      <c r="J271" s="1186" t="str">
        <f t="shared" ca="1" si="65"/>
        <v/>
      </c>
      <c r="K271" s="1186" t="str">
        <f t="shared" ca="1" si="65"/>
        <v/>
      </c>
      <c r="L271" s="1186" t="str">
        <f t="shared" ca="1" si="65"/>
        <v/>
      </c>
      <c r="M271" s="1186" t="str">
        <f t="shared" ca="1" si="65"/>
        <v/>
      </c>
    </row>
    <row r="272" spans="1:27" ht="15" customHeight="1" x14ac:dyDescent="0.3">
      <c r="A272" s="130"/>
      <c r="B272" s="1184" t="str">
        <f t="shared" ca="1" si="59"/>
        <v/>
      </c>
      <c r="C272" s="1185" t="str">
        <f t="shared" ca="1" si="63"/>
        <v/>
      </c>
      <c r="D272" s="1185" t="str">
        <f t="shared" ca="1" si="60"/>
        <v/>
      </c>
      <c r="E272" s="1185" t="str">
        <f t="shared" ca="1" si="61"/>
        <v/>
      </c>
      <c r="F272" s="1186" t="str">
        <f t="shared" ca="1" si="62"/>
        <v/>
      </c>
      <c r="G272" s="1186" t="str">
        <f t="shared" ca="1" si="65"/>
        <v/>
      </c>
      <c r="H272" s="1186" t="str">
        <f t="shared" ca="1" si="65"/>
        <v/>
      </c>
      <c r="I272" s="1186" t="str">
        <f t="shared" ca="1" si="65"/>
        <v/>
      </c>
      <c r="J272" s="1186" t="str">
        <f t="shared" ca="1" si="65"/>
        <v/>
      </c>
      <c r="K272" s="1186" t="str">
        <f t="shared" ca="1" si="65"/>
        <v/>
      </c>
      <c r="L272" s="1186" t="str">
        <f t="shared" ca="1" si="65"/>
        <v/>
      </c>
      <c r="M272" s="1186" t="str">
        <f t="shared" ca="1" si="65"/>
        <v/>
      </c>
    </row>
    <row r="273" spans="1:18" ht="15" customHeight="1" x14ac:dyDescent="0.3">
      <c r="A273" s="130"/>
      <c r="B273" s="1184" t="str">
        <f t="shared" ca="1" si="59"/>
        <v/>
      </c>
      <c r="C273" s="1185" t="str">
        <f t="shared" ca="1" si="63"/>
        <v/>
      </c>
      <c r="D273" s="1185" t="str">
        <f t="shared" ca="1" si="60"/>
        <v/>
      </c>
      <c r="E273" s="1185" t="str">
        <f t="shared" ca="1" si="61"/>
        <v/>
      </c>
      <c r="F273" s="1186" t="str">
        <f t="shared" ca="1" si="62"/>
        <v/>
      </c>
      <c r="G273" s="1186" t="str">
        <f t="shared" ca="1" si="65"/>
        <v/>
      </c>
      <c r="H273" s="1186" t="str">
        <f t="shared" ca="1" si="65"/>
        <v/>
      </c>
      <c r="I273" s="1186" t="str">
        <f t="shared" ca="1" si="65"/>
        <v/>
      </c>
      <c r="J273" s="1186" t="str">
        <f t="shared" ca="1" si="65"/>
        <v/>
      </c>
      <c r="K273" s="1186" t="str">
        <f t="shared" ca="1" si="65"/>
        <v/>
      </c>
      <c r="L273" s="1186" t="str">
        <f t="shared" ca="1" si="65"/>
        <v/>
      </c>
      <c r="M273" s="1186" t="str">
        <f t="shared" ca="1" si="65"/>
        <v/>
      </c>
    </row>
    <row r="274" spans="1:18" ht="15" customHeight="1" x14ac:dyDescent="0.3">
      <c r="A274" s="130"/>
      <c r="B274" s="1184" t="str">
        <f t="shared" ca="1" si="59"/>
        <v/>
      </c>
      <c r="C274" s="1185" t="str">
        <f t="shared" ca="1" si="63"/>
        <v/>
      </c>
      <c r="D274" s="1185" t="str">
        <f t="shared" ca="1" si="60"/>
        <v/>
      </c>
      <c r="E274" s="1185" t="str">
        <f t="shared" ca="1" si="61"/>
        <v/>
      </c>
      <c r="F274" s="1186" t="str">
        <f t="shared" ca="1" si="62"/>
        <v/>
      </c>
      <c r="G274" s="1186" t="str">
        <f t="shared" ca="1" si="65"/>
        <v/>
      </c>
      <c r="H274" s="1186" t="str">
        <f t="shared" ca="1" si="65"/>
        <v/>
      </c>
      <c r="I274" s="1186" t="str">
        <f t="shared" ca="1" si="65"/>
        <v/>
      </c>
      <c r="J274" s="1186" t="str">
        <f t="shared" ca="1" si="65"/>
        <v/>
      </c>
      <c r="K274" s="1186" t="str">
        <f t="shared" ca="1" si="65"/>
        <v/>
      </c>
      <c r="L274" s="1186" t="str">
        <f t="shared" ca="1" si="65"/>
        <v/>
      </c>
      <c r="M274" s="1186" t="str">
        <f t="shared" ca="1" si="65"/>
        <v/>
      </c>
    </row>
    <row r="275" spans="1:18" ht="15" customHeight="1" x14ac:dyDescent="0.3">
      <c r="A275" s="130"/>
      <c r="B275" s="1184" t="str">
        <f t="shared" ca="1" si="59"/>
        <v/>
      </c>
      <c r="C275" s="1185" t="str">
        <f t="shared" ca="1" si="63"/>
        <v/>
      </c>
      <c r="D275" s="1185" t="str">
        <f t="shared" ca="1" si="60"/>
        <v/>
      </c>
      <c r="E275" s="1185" t="str">
        <f t="shared" ca="1" si="61"/>
        <v/>
      </c>
      <c r="F275" s="1186" t="str">
        <f t="shared" ca="1" si="62"/>
        <v/>
      </c>
      <c r="G275" s="1186" t="str">
        <f t="shared" ca="1" si="65"/>
        <v/>
      </c>
      <c r="H275" s="1186" t="str">
        <f t="shared" ca="1" si="65"/>
        <v/>
      </c>
      <c r="I275" s="1186" t="str">
        <f t="shared" ca="1" si="65"/>
        <v/>
      </c>
      <c r="J275" s="1186" t="str">
        <f t="shared" ca="1" si="65"/>
        <v/>
      </c>
      <c r="K275" s="1186" t="str">
        <f t="shared" ca="1" si="65"/>
        <v/>
      </c>
      <c r="L275" s="1186" t="str">
        <f t="shared" ca="1" si="65"/>
        <v/>
      </c>
      <c r="M275" s="1186" t="str">
        <f t="shared" ca="1" si="65"/>
        <v/>
      </c>
    </row>
    <row r="276" spans="1:18" ht="15" customHeight="1" x14ac:dyDescent="0.3">
      <c r="A276" s="130"/>
      <c r="B276" s="1184" t="str">
        <f t="shared" ca="1" si="59"/>
        <v/>
      </c>
      <c r="C276" s="1185" t="str">
        <f t="shared" ca="1" si="63"/>
        <v/>
      </c>
      <c r="D276" s="1185" t="str">
        <f t="shared" ca="1" si="60"/>
        <v/>
      </c>
      <c r="E276" s="1185" t="str">
        <f t="shared" ca="1" si="61"/>
        <v/>
      </c>
      <c r="F276" s="1186" t="str">
        <f t="shared" ca="1" si="62"/>
        <v/>
      </c>
      <c r="G276" s="1186" t="str">
        <f t="shared" ca="1" si="65"/>
        <v/>
      </c>
      <c r="H276" s="1186" t="str">
        <f t="shared" ca="1" si="65"/>
        <v/>
      </c>
      <c r="I276" s="1186" t="str">
        <f t="shared" ca="1" si="65"/>
        <v/>
      </c>
      <c r="J276" s="1186" t="str">
        <f t="shared" ca="1" si="65"/>
        <v/>
      </c>
      <c r="K276" s="1186" t="str">
        <f t="shared" ca="1" si="65"/>
        <v/>
      </c>
      <c r="L276" s="1186" t="str">
        <f t="shared" ca="1" si="65"/>
        <v/>
      </c>
      <c r="M276" s="1186" t="str">
        <f t="shared" ca="1" si="65"/>
        <v/>
      </c>
    </row>
    <row r="277" spans="1:18" ht="15" customHeight="1" x14ac:dyDescent="0.3">
      <c r="A277" s="130"/>
      <c r="B277" s="1184" t="str">
        <f t="shared" ca="1" si="59"/>
        <v/>
      </c>
      <c r="C277" s="1185" t="str">
        <f t="shared" ca="1" si="63"/>
        <v/>
      </c>
      <c r="D277" s="1185" t="str">
        <f t="shared" ca="1" si="60"/>
        <v/>
      </c>
      <c r="E277" s="1185" t="str">
        <f t="shared" ca="1" si="61"/>
        <v/>
      </c>
      <c r="F277" s="1186" t="str">
        <f t="shared" ca="1" si="62"/>
        <v/>
      </c>
      <c r="G277" s="1186" t="str">
        <f t="shared" ca="1" si="65"/>
        <v/>
      </c>
      <c r="H277" s="1186" t="str">
        <f t="shared" ca="1" si="65"/>
        <v/>
      </c>
      <c r="I277" s="1186" t="str">
        <f t="shared" ca="1" si="65"/>
        <v/>
      </c>
      <c r="J277" s="1186" t="str">
        <f t="shared" ca="1" si="65"/>
        <v/>
      </c>
      <c r="K277" s="1186" t="str">
        <f t="shared" ca="1" si="65"/>
        <v/>
      </c>
      <c r="L277" s="1186" t="str">
        <f t="shared" ca="1" si="65"/>
        <v/>
      </c>
      <c r="M277" s="1186" t="str">
        <f t="shared" ca="1" si="65"/>
        <v/>
      </c>
    </row>
    <row r="278" spans="1:18" ht="15" customHeight="1" x14ac:dyDescent="0.3">
      <c r="A278" s="130"/>
      <c r="B278" s="1184" t="str">
        <f t="shared" ca="1" si="59"/>
        <v/>
      </c>
      <c r="C278" s="1185" t="str">
        <f t="shared" ca="1" si="63"/>
        <v/>
      </c>
      <c r="D278" s="1185" t="str">
        <f t="shared" ca="1" si="60"/>
        <v/>
      </c>
      <c r="E278" s="1185" t="str">
        <f t="shared" ca="1" si="61"/>
        <v/>
      </c>
      <c r="F278" s="1186" t="str">
        <f t="shared" ca="1" si="62"/>
        <v/>
      </c>
      <c r="G278" s="1186" t="str">
        <f t="shared" ca="1" si="65"/>
        <v/>
      </c>
      <c r="H278" s="1186" t="str">
        <f t="shared" ca="1" si="65"/>
        <v/>
      </c>
      <c r="I278" s="1186" t="str">
        <f t="shared" ca="1" si="65"/>
        <v/>
      </c>
      <c r="J278" s="1186" t="str">
        <f t="shared" ca="1" si="65"/>
        <v/>
      </c>
      <c r="K278" s="1186" t="str">
        <f t="shared" ca="1" si="65"/>
        <v/>
      </c>
      <c r="L278" s="1186" t="str">
        <f t="shared" ca="1" si="65"/>
        <v/>
      </c>
      <c r="M278" s="1186" t="str">
        <f t="shared" ca="1" si="65"/>
        <v/>
      </c>
      <c r="O278" s="132"/>
      <c r="P278" s="132"/>
    </row>
    <row r="279" spans="1:18" ht="15" customHeight="1" x14ac:dyDescent="0.3">
      <c r="A279" s="130"/>
      <c r="B279" s="1184" t="str">
        <f t="shared" ca="1" si="59"/>
        <v/>
      </c>
      <c r="C279" s="1185" t="str">
        <f t="shared" ca="1" si="63"/>
        <v/>
      </c>
      <c r="D279" s="1185" t="str">
        <f t="shared" ca="1" si="60"/>
        <v/>
      </c>
      <c r="E279" s="1185" t="str">
        <f t="shared" ca="1" si="61"/>
        <v/>
      </c>
      <c r="F279" s="1186" t="str">
        <f t="shared" ca="1" si="62"/>
        <v/>
      </c>
      <c r="G279" s="1186" t="str">
        <f t="shared" ca="1" si="65"/>
        <v/>
      </c>
      <c r="H279" s="1186" t="str">
        <f t="shared" ca="1" si="65"/>
        <v/>
      </c>
      <c r="I279" s="1186" t="str">
        <f t="shared" ca="1" si="65"/>
        <v/>
      </c>
      <c r="J279" s="1186" t="str">
        <f t="shared" ca="1" si="65"/>
        <v/>
      </c>
      <c r="K279" s="1186" t="str">
        <f t="shared" ca="1" si="65"/>
        <v/>
      </c>
      <c r="L279" s="1186" t="str">
        <f t="shared" ca="1" si="65"/>
        <v/>
      </c>
      <c r="M279" s="1186" t="str">
        <f t="shared" ca="1" si="65"/>
        <v/>
      </c>
      <c r="N279" s="132"/>
      <c r="O279" s="132"/>
      <c r="P279" s="132"/>
    </row>
    <row r="280" spans="1:18" ht="15" customHeight="1" x14ac:dyDescent="0.3">
      <c r="A280" s="130"/>
      <c r="B280" s="505" t="str">
        <f t="shared" ca="1" si="59"/>
        <v/>
      </c>
      <c r="C280" s="503" t="str">
        <f t="shared" ca="1" si="63"/>
        <v/>
      </c>
      <c r="D280" s="503" t="str">
        <f t="shared" ca="1" si="60"/>
        <v/>
      </c>
      <c r="E280" s="503" t="str">
        <f t="shared" ca="1" si="61"/>
        <v/>
      </c>
      <c r="F280" s="504" t="str">
        <f t="shared" ca="1" si="62"/>
        <v/>
      </c>
      <c r="G280" s="504" t="str">
        <f t="shared" ref="G280:M289" ca="1" si="66">IFERROR(IF(NOT($E280 = 7), "",INDIRECT($C280 &amp;"!" &amp;ADDRESS($D280,  COLUMN(INDIRECT(INDEX($AD$188:$AD$211, MATCH($C280, $Z$188:$Z$198, 0)) &amp; $D280)) +  G$189 - 1))), "")</f>
        <v/>
      </c>
      <c r="H280" s="504" t="str">
        <f t="shared" ca="1" si="66"/>
        <v/>
      </c>
      <c r="I280" s="504" t="str">
        <f t="shared" ca="1" si="66"/>
        <v/>
      </c>
      <c r="J280" s="504" t="str">
        <f t="shared" ca="1" si="66"/>
        <v/>
      </c>
      <c r="K280" s="504" t="str">
        <f t="shared" ca="1" si="66"/>
        <v/>
      </c>
      <c r="L280" s="504" t="str">
        <f t="shared" ca="1" si="66"/>
        <v/>
      </c>
      <c r="M280" s="504" t="str">
        <f t="shared" ca="1" si="66"/>
        <v/>
      </c>
      <c r="N280" s="132"/>
      <c r="O280" s="132"/>
      <c r="P280" s="132"/>
    </row>
    <row r="281" spans="1:18" ht="15" customHeight="1" x14ac:dyDescent="0.3">
      <c r="A281" s="130"/>
      <c r="B281" s="505" t="str">
        <f t="shared" ca="1" si="59"/>
        <v/>
      </c>
      <c r="C281" s="503" t="str">
        <f t="shared" ca="1" si="63"/>
        <v/>
      </c>
      <c r="D281" s="503" t="str">
        <f t="shared" ca="1" si="60"/>
        <v/>
      </c>
      <c r="E281" s="503" t="str">
        <f t="shared" ca="1" si="61"/>
        <v/>
      </c>
      <c r="F281" s="504" t="str">
        <f t="shared" ca="1" si="62"/>
        <v/>
      </c>
      <c r="G281" s="504" t="str">
        <f t="shared" ca="1" si="66"/>
        <v/>
      </c>
      <c r="H281" s="504" t="str">
        <f t="shared" ca="1" si="66"/>
        <v/>
      </c>
      <c r="I281" s="504" t="str">
        <f t="shared" ca="1" si="66"/>
        <v/>
      </c>
      <c r="J281" s="504" t="str">
        <f t="shared" ca="1" si="66"/>
        <v/>
      </c>
      <c r="K281" s="504" t="str">
        <f t="shared" ca="1" si="66"/>
        <v/>
      </c>
      <c r="L281" s="504" t="str">
        <f t="shared" ca="1" si="66"/>
        <v/>
      </c>
      <c r="M281" s="504" t="str">
        <f t="shared" ca="1" si="66"/>
        <v/>
      </c>
      <c r="N281" s="132"/>
      <c r="O281" s="132"/>
      <c r="P281" s="132"/>
    </row>
    <row r="282" spans="1:18" ht="15" customHeight="1" x14ac:dyDescent="0.3">
      <c r="A282" s="130"/>
      <c r="B282" s="505" t="str">
        <f t="shared" ca="1" si="59"/>
        <v/>
      </c>
      <c r="C282" s="503" t="str">
        <f t="shared" ca="1" si="63"/>
        <v/>
      </c>
      <c r="D282" s="503" t="str">
        <f t="shared" ca="1" si="60"/>
        <v/>
      </c>
      <c r="E282" s="503" t="str">
        <f t="shared" ca="1" si="61"/>
        <v/>
      </c>
      <c r="F282" s="504" t="str">
        <f t="shared" ca="1" si="62"/>
        <v/>
      </c>
      <c r="G282" s="504" t="str">
        <f t="shared" ca="1" si="66"/>
        <v/>
      </c>
      <c r="H282" s="504" t="str">
        <f t="shared" ca="1" si="66"/>
        <v/>
      </c>
      <c r="I282" s="504" t="str">
        <f t="shared" ca="1" si="66"/>
        <v/>
      </c>
      <c r="J282" s="504" t="str">
        <f t="shared" ca="1" si="66"/>
        <v/>
      </c>
      <c r="K282" s="504" t="str">
        <f t="shared" ca="1" si="66"/>
        <v/>
      </c>
      <c r="L282" s="504" t="str">
        <f t="shared" ca="1" si="66"/>
        <v/>
      </c>
      <c r="M282" s="504" t="str">
        <f t="shared" ca="1" si="66"/>
        <v/>
      </c>
      <c r="N282" s="132"/>
      <c r="O282" s="487"/>
      <c r="P282" s="132"/>
      <c r="Q282" s="176"/>
      <c r="R282" s="176"/>
    </row>
    <row r="283" spans="1:18" ht="15" customHeight="1" x14ac:dyDescent="0.3">
      <c r="A283" s="130"/>
      <c r="B283" s="505" t="str">
        <f t="shared" ca="1" si="59"/>
        <v/>
      </c>
      <c r="C283" s="503" t="str">
        <f t="shared" ca="1" si="63"/>
        <v/>
      </c>
      <c r="D283" s="503" t="str">
        <f t="shared" ca="1" si="60"/>
        <v/>
      </c>
      <c r="E283" s="503" t="str">
        <f t="shared" ca="1" si="61"/>
        <v/>
      </c>
      <c r="F283" s="504" t="str">
        <f t="shared" ca="1" si="62"/>
        <v/>
      </c>
      <c r="G283" s="504" t="str">
        <f t="shared" ca="1" si="66"/>
        <v/>
      </c>
      <c r="H283" s="504" t="str">
        <f t="shared" ca="1" si="66"/>
        <v/>
      </c>
      <c r="I283" s="504" t="str">
        <f t="shared" ca="1" si="66"/>
        <v/>
      </c>
      <c r="J283" s="504" t="str">
        <f t="shared" ca="1" si="66"/>
        <v/>
      </c>
      <c r="K283" s="504" t="str">
        <f t="shared" ca="1" si="66"/>
        <v/>
      </c>
      <c r="L283" s="504" t="str">
        <f t="shared" ca="1" si="66"/>
        <v/>
      </c>
      <c r="M283" s="504" t="str">
        <f t="shared" ca="1" si="66"/>
        <v/>
      </c>
      <c r="N283" s="132"/>
    </row>
    <row r="284" spans="1:18" ht="15" customHeight="1" x14ac:dyDescent="0.3">
      <c r="A284" s="130"/>
      <c r="B284" s="505" t="str">
        <f t="shared" ca="1" si="59"/>
        <v/>
      </c>
      <c r="C284" s="503" t="str">
        <f t="shared" ca="1" si="63"/>
        <v/>
      </c>
      <c r="D284" s="503" t="str">
        <f t="shared" ca="1" si="60"/>
        <v/>
      </c>
      <c r="E284" s="503" t="str">
        <f t="shared" ca="1" si="61"/>
        <v/>
      </c>
      <c r="F284" s="504" t="str">
        <f t="shared" ca="1" si="62"/>
        <v/>
      </c>
      <c r="G284" s="504" t="str">
        <f t="shared" ca="1" si="66"/>
        <v/>
      </c>
      <c r="H284" s="504" t="str">
        <f t="shared" ca="1" si="66"/>
        <v/>
      </c>
      <c r="I284" s="504" t="str">
        <f t="shared" ca="1" si="66"/>
        <v/>
      </c>
      <c r="J284" s="504" t="str">
        <f t="shared" ca="1" si="66"/>
        <v/>
      </c>
      <c r="K284" s="504" t="str">
        <f t="shared" ca="1" si="66"/>
        <v/>
      </c>
      <c r="L284" s="504" t="str">
        <f t="shared" ca="1" si="66"/>
        <v/>
      </c>
      <c r="M284" s="504" t="str">
        <f t="shared" ca="1" si="66"/>
        <v/>
      </c>
      <c r="O284" s="122"/>
    </row>
    <row r="285" spans="1:18" ht="15" customHeight="1" x14ac:dyDescent="0.3">
      <c r="A285" s="130"/>
      <c r="B285" s="505" t="str">
        <f t="shared" ca="1" si="59"/>
        <v/>
      </c>
      <c r="C285" s="503" t="str">
        <f t="shared" ca="1" si="63"/>
        <v/>
      </c>
      <c r="D285" s="503" t="str">
        <f t="shared" ca="1" si="60"/>
        <v/>
      </c>
      <c r="E285" s="503" t="str">
        <f t="shared" ca="1" si="61"/>
        <v/>
      </c>
      <c r="F285" s="504" t="str">
        <f t="shared" ca="1" si="62"/>
        <v/>
      </c>
      <c r="G285" s="504" t="str">
        <f t="shared" ca="1" si="66"/>
        <v/>
      </c>
      <c r="H285" s="504" t="str">
        <f t="shared" ca="1" si="66"/>
        <v/>
      </c>
      <c r="I285" s="504" t="str">
        <f t="shared" ca="1" si="66"/>
        <v/>
      </c>
      <c r="J285" s="504" t="str">
        <f t="shared" ca="1" si="66"/>
        <v/>
      </c>
      <c r="K285" s="504" t="str">
        <f t="shared" ca="1" si="66"/>
        <v/>
      </c>
      <c r="L285" s="504" t="str">
        <f t="shared" ca="1" si="66"/>
        <v/>
      </c>
      <c r="M285" s="504" t="str">
        <f t="shared" ca="1" si="66"/>
        <v/>
      </c>
    </row>
    <row r="286" spans="1:18" ht="15" customHeight="1" x14ac:dyDescent="0.3">
      <c r="A286" s="130"/>
      <c r="B286" s="505" t="str">
        <f t="shared" ref="B286:B308" ca="1" si="67">IFERROR(IF(BB292= "", IF(ISBLANK(INDIRECT(C286 &amp;"!$" &amp;INDEX($AC$188:$AC$211, MATCH(C286, $Z$188:$Z$198, 0))&amp;  D286)), "", INDIRECT(C286 &amp;"!$" &amp;INDEX($AC$188:$AC$211, MATCH(C286, $Z$188:$Z$198, 0))&amp;  D286)), INDIRECT(C286 &amp;"!$" &amp;DD292&amp;  D286)), "")</f>
        <v/>
      </c>
      <c r="C286" s="503" t="str">
        <f t="shared" ca="1" si="63"/>
        <v/>
      </c>
      <c r="D286" s="503" t="str">
        <f t="shared" ref="D286:D308" ca="1" si="68">IFERROR(MATCH("x",INDIRECT(C286&amp;"!$"&amp;INDEX($AB$188:$AB$211,MATCH(C286,$Z$188:$Z$198,0))&amp;IF(NOT(C286=C285),1,D285+1)&amp;":$"&amp;INDEX($AB$188:$AB$211,MATCH(C286,$Z$188:$Z$198,0))&amp;"20000"),0)+IF(NOT(C286=C285),0,D285), "")</f>
        <v/>
      </c>
      <c r="E286" s="503" t="str">
        <f t="shared" ref="E286:E308" ca="1" si="69">IFERROR(INDEX( $AF$188:$AF$203,MATCH(C286, $Z$188:$Z$202, 0)), "")</f>
        <v/>
      </c>
      <c r="F286" s="504" t="str">
        <f t="shared" ref="F286:F308" ca="1" si="70">IFERROR(IF(NOT(E286 = 1), "",  IF(ISBLANK(INDIRECT(C286 &amp;"!$" &amp;INDEX($AD$188:$AD$211, MATCH(C286, $Z$188:$Z$198, 0))&amp;  D286)), "",INDIRECT(C286 &amp;"!$" &amp;INDEX($AD$188:$AD$211, MATCH(C286, $Z$188:$Z$198, 0))&amp;  D286))),  "")</f>
        <v/>
      </c>
      <c r="G286" s="504" t="str">
        <f t="shared" ca="1" si="66"/>
        <v/>
      </c>
      <c r="H286" s="504" t="str">
        <f t="shared" ca="1" si="66"/>
        <v/>
      </c>
      <c r="I286" s="504" t="str">
        <f t="shared" ca="1" si="66"/>
        <v/>
      </c>
      <c r="J286" s="504" t="str">
        <f t="shared" ca="1" si="66"/>
        <v/>
      </c>
      <c r="K286" s="504" t="str">
        <f t="shared" ca="1" si="66"/>
        <v/>
      </c>
      <c r="L286" s="504" t="str">
        <f t="shared" ca="1" si="66"/>
        <v/>
      </c>
      <c r="M286" s="504" t="str">
        <f t="shared" ca="1" si="66"/>
        <v/>
      </c>
    </row>
    <row r="287" spans="1:18" ht="15" customHeight="1" x14ac:dyDescent="0.3">
      <c r="A287" s="130"/>
      <c r="B287" s="505" t="str">
        <f t="shared" ca="1" si="67"/>
        <v/>
      </c>
      <c r="C287" s="503" t="str">
        <f t="shared" ref="C287:C308" ca="1" si="71">IFERROR(IF(ROW(E287) - ROW($E$190) &gt; INDEX($AE$188:$AE$213, MATCH(C286, $Z$188:$Z$198, 0)), INDEX($Z$188:$Z$198, MATCH(C286, $Z$188:$Z$198, 0) + 1), C286), "")</f>
        <v/>
      </c>
      <c r="D287" s="503" t="str">
        <f t="shared" ca="1" si="68"/>
        <v/>
      </c>
      <c r="E287" s="503" t="str">
        <f t="shared" ca="1" si="69"/>
        <v/>
      </c>
      <c r="F287" s="504" t="str">
        <f t="shared" ca="1" si="70"/>
        <v/>
      </c>
      <c r="G287" s="504" t="str">
        <f t="shared" ca="1" si="66"/>
        <v/>
      </c>
      <c r="H287" s="504" t="str">
        <f t="shared" ca="1" si="66"/>
        <v/>
      </c>
      <c r="I287" s="504" t="str">
        <f t="shared" ca="1" si="66"/>
        <v/>
      </c>
      <c r="J287" s="504" t="str">
        <f t="shared" ca="1" si="66"/>
        <v/>
      </c>
      <c r="K287" s="504" t="str">
        <f t="shared" ca="1" si="66"/>
        <v/>
      </c>
      <c r="L287" s="504" t="str">
        <f t="shared" ca="1" si="66"/>
        <v/>
      </c>
      <c r="M287" s="504" t="str">
        <f t="shared" ca="1" si="66"/>
        <v/>
      </c>
    </row>
    <row r="288" spans="1:18" ht="15" customHeight="1" x14ac:dyDescent="0.3">
      <c r="A288" s="130"/>
      <c r="B288" s="505" t="str">
        <f t="shared" ca="1" si="67"/>
        <v/>
      </c>
      <c r="C288" s="503" t="str">
        <f t="shared" ca="1" si="71"/>
        <v/>
      </c>
      <c r="D288" s="503" t="str">
        <f t="shared" ca="1" si="68"/>
        <v/>
      </c>
      <c r="E288" s="503" t="str">
        <f t="shared" ca="1" si="69"/>
        <v/>
      </c>
      <c r="F288" s="504" t="str">
        <f t="shared" ca="1" si="70"/>
        <v/>
      </c>
      <c r="G288" s="504" t="str">
        <f t="shared" ca="1" si="66"/>
        <v/>
      </c>
      <c r="H288" s="504" t="str">
        <f t="shared" ca="1" si="66"/>
        <v/>
      </c>
      <c r="I288" s="504" t="str">
        <f t="shared" ca="1" si="66"/>
        <v/>
      </c>
      <c r="J288" s="504" t="str">
        <f t="shared" ca="1" si="66"/>
        <v/>
      </c>
      <c r="K288" s="504" t="str">
        <f t="shared" ca="1" si="66"/>
        <v/>
      </c>
      <c r="L288" s="504" t="str">
        <f t="shared" ca="1" si="66"/>
        <v/>
      </c>
      <c r="M288" s="504" t="str">
        <f t="shared" ca="1" si="66"/>
        <v/>
      </c>
    </row>
    <row r="289" spans="1:13" ht="15" customHeight="1" x14ac:dyDescent="0.3">
      <c r="A289" s="130"/>
      <c r="B289" s="505" t="str">
        <f t="shared" ca="1" si="67"/>
        <v/>
      </c>
      <c r="C289" s="503" t="str">
        <f t="shared" ca="1" si="71"/>
        <v/>
      </c>
      <c r="D289" s="503" t="str">
        <f t="shared" ca="1" si="68"/>
        <v/>
      </c>
      <c r="E289" s="503" t="str">
        <f t="shared" ca="1" si="69"/>
        <v/>
      </c>
      <c r="F289" s="504" t="str">
        <f t="shared" ca="1" si="70"/>
        <v/>
      </c>
      <c r="G289" s="504" t="str">
        <f t="shared" ca="1" si="66"/>
        <v/>
      </c>
      <c r="H289" s="504" t="str">
        <f t="shared" ca="1" si="66"/>
        <v/>
      </c>
      <c r="I289" s="504" t="str">
        <f t="shared" ca="1" si="66"/>
        <v/>
      </c>
      <c r="J289" s="504" t="str">
        <f t="shared" ca="1" si="66"/>
        <v/>
      </c>
      <c r="K289" s="504" t="str">
        <f t="shared" ca="1" si="66"/>
        <v/>
      </c>
      <c r="L289" s="504" t="str">
        <f t="shared" ca="1" si="66"/>
        <v/>
      </c>
      <c r="M289" s="504" t="str">
        <f t="shared" ca="1" si="66"/>
        <v/>
      </c>
    </row>
    <row r="290" spans="1:13" ht="15" customHeight="1" x14ac:dyDescent="0.3">
      <c r="A290" s="130"/>
      <c r="B290" s="505" t="str">
        <f t="shared" ca="1" si="67"/>
        <v/>
      </c>
      <c r="C290" s="503" t="str">
        <f t="shared" ca="1" si="71"/>
        <v/>
      </c>
      <c r="D290" s="503" t="str">
        <f t="shared" ca="1" si="68"/>
        <v/>
      </c>
      <c r="E290" s="503" t="str">
        <f t="shared" ca="1" si="69"/>
        <v/>
      </c>
      <c r="F290" s="504" t="str">
        <f t="shared" ca="1" si="70"/>
        <v/>
      </c>
      <c r="G290" s="504" t="str">
        <f t="shared" ref="G290:M299" ca="1" si="72">IFERROR(IF(NOT($E290 = 7), "",INDIRECT($C290 &amp;"!" &amp;ADDRESS($D290,  COLUMN(INDIRECT(INDEX($AD$188:$AD$211, MATCH($C290, $Z$188:$Z$198, 0)) &amp; $D290)) +  G$189 - 1))), "")</f>
        <v/>
      </c>
      <c r="H290" s="504" t="str">
        <f t="shared" ca="1" si="72"/>
        <v/>
      </c>
      <c r="I290" s="504" t="str">
        <f t="shared" ca="1" si="72"/>
        <v/>
      </c>
      <c r="J290" s="504" t="str">
        <f t="shared" ca="1" si="72"/>
        <v/>
      </c>
      <c r="K290" s="504" t="str">
        <f t="shared" ca="1" si="72"/>
        <v/>
      </c>
      <c r="L290" s="504" t="str">
        <f t="shared" ca="1" si="72"/>
        <v/>
      </c>
      <c r="M290" s="504" t="str">
        <f t="shared" ca="1" si="72"/>
        <v/>
      </c>
    </row>
    <row r="291" spans="1:13" ht="15" customHeight="1" x14ac:dyDescent="0.3">
      <c r="A291" s="130"/>
      <c r="B291" s="505" t="str">
        <f t="shared" ca="1" si="67"/>
        <v/>
      </c>
      <c r="C291" s="503" t="str">
        <f t="shared" ca="1" si="71"/>
        <v/>
      </c>
      <c r="D291" s="503" t="str">
        <f t="shared" ca="1" si="68"/>
        <v/>
      </c>
      <c r="E291" s="503" t="str">
        <f t="shared" ca="1" si="69"/>
        <v/>
      </c>
      <c r="F291" s="504" t="str">
        <f t="shared" ca="1" si="70"/>
        <v/>
      </c>
      <c r="G291" s="504" t="str">
        <f t="shared" ca="1" si="72"/>
        <v/>
      </c>
      <c r="H291" s="504" t="str">
        <f t="shared" ca="1" si="72"/>
        <v/>
      </c>
      <c r="I291" s="504" t="str">
        <f t="shared" ca="1" si="72"/>
        <v/>
      </c>
      <c r="J291" s="504" t="str">
        <f t="shared" ca="1" si="72"/>
        <v/>
      </c>
      <c r="K291" s="504" t="str">
        <f t="shared" ca="1" si="72"/>
        <v/>
      </c>
      <c r="L291" s="504" t="str">
        <f t="shared" ca="1" si="72"/>
        <v/>
      </c>
      <c r="M291" s="504" t="str">
        <f t="shared" ca="1" si="72"/>
        <v/>
      </c>
    </row>
    <row r="292" spans="1:13" ht="15" customHeight="1" x14ac:dyDescent="0.3">
      <c r="A292" s="130"/>
      <c r="B292" s="505" t="str">
        <f t="shared" ca="1" si="67"/>
        <v/>
      </c>
      <c r="C292" s="503" t="str">
        <f t="shared" ca="1" si="71"/>
        <v/>
      </c>
      <c r="D292" s="503" t="str">
        <f t="shared" ca="1" si="68"/>
        <v/>
      </c>
      <c r="E292" s="503" t="str">
        <f t="shared" ca="1" si="69"/>
        <v/>
      </c>
      <c r="F292" s="504" t="str">
        <f t="shared" ca="1" si="70"/>
        <v/>
      </c>
      <c r="G292" s="504" t="str">
        <f t="shared" ca="1" si="72"/>
        <v/>
      </c>
      <c r="H292" s="504" t="str">
        <f t="shared" ca="1" si="72"/>
        <v/>
      </c>
      <c r="I292" s="504" t="str">
        <f t="shared" ca="1" si="72"/>
        <v/>
      </c>
      <c r="J292" s="504" t="str">
        <f t="shared" ca="1" si="72"/>
        <v/>
      </c>
      <c r="K292" s="504" t="str">
        <f t="shared" ca="1" si="72"/>
        <v/>
      </c>
      <c r="L292" s="504" t="str">
        <f t="shared" ca="1" si="72"/>
        <v/>
      </c>
      <c r="M292" s="504" t="str">
        <f t="shared" ca="1" si="72"/>
        <v/>
      </c>
    </row>
    <row r="293" spans="1:13" ht="15" customHeight="1" x14ac:dyDescent="0.3">
      <c r="A293" s="130"/>
      <c r="B293" s="505" t="str">
        <f t="shared" ca="1" si="67"/>
        <v/>
      </c>
      <c r="C293" s="503" t="str">
        <f t="shared" ca="1" si="71"/>
        <v/>
      </c>
      <c r="D293" s="503" t="str">
        <f t="shared" ca="1" si="68"/>
        <v/>
      </c>
      <c r="E293" s="503" t="str">
        <f t="shared" ca="1" si="69"/>
        <v/>
      </c>
      <c r="F293" s="504" t="str">
        <f t="shared" ca="1" si="70"/>
        <v/>
      </c>
      <c r="G293" s="504" t="str">
        <f t="shared" ca="1" si="72"/>
        <v/>
      </c>
      <c r="H293" s="504" t="str">
        <f t="shared" ca="1" si="72"/>
        <v/>
      </c>
      <c r="I293" s="504" t="str">
        <f t="shared" ca="1" si="72"/>
        <v/>
      </c>
      <c r="J293" s="504" t="str">
        <f t="shared" ca="1" si="72"/>
        <v/>
      </c>
      <c r="K293" s="504" t="str">
        <f t="shared" ca="1" si="72"/>
        <v/>
      </c>
      <c r="L293" s="504" t="str">
        <f t="shared" ca="1" si="72"/>
        <v/>
      </c>
      <c r="M293" s="504" t="str">
        <f t="shared" ca="1" si="72"/>
        <v/>
      </c>
    </row>
    <row r="294" spans="1:13" ht="15" customHeight="1" x14ac:dyDescent="0.3">
      <c r="A294" s="130"/>
      <c r="B294" s="505" t="str">
        <f t="shared" ca="1" si="67"/>
        <v/>
      </c>
      <c r="C294" s="503" t="str">
        <f t="shared" ca="1" si="71"/>
        <v/>
      </c>
      <c r="D294" s="503" t="str">
        <f t="shared" ca="1" si="68"/>
        <v/>
      </c>
      <c r="E294" s="503" t="str">
        <f t="shared" ca="1" si="69"/>
        <v/>
      </c>
      <c r="F294" s="504" t="str">
        <f t="shared" ca="1" si="70"/>
        <v/>
      </c>
      <c r="G294" s="504" t="str">
        <f t="shared" ca="1" si="72"/>
        <v/>
      </c>
      <c r="H294" s="504" t="str">
        <f t="shared" ca="1" si="72"/>
        <v/>
      </c>
      <c r="I294" s="504" t="str">
        <f t="shared" ca="1" si="72"/>
        <v/>
      </c>
      <c r="J294" s="504" t="str">
        <f t="shared" ca="1" si="72"/>
        <v/>
      </c>
      <c r="K294" s="504" t="str">
        <f t="shared" ca="1" si="72"/>
        <v/>
      </c>
      <c r="L294" s="504" t="str">
        <f t="shared" ca="1" si="72"/>
        <v/>
      </c>
      <c r="M294" s="504" t="str">
        <f t="shared" ca="1" si="72"/>
        <v/>
      </c>
    </row>
    <row r="295" spans="1:13" ht="15" customHeight="1" x14ac:dyDescent="0.3">
      <c r="A295" s="130"/>
      <c r="B295" s="505" t="str">
        <f t="shared" ca="1" si="67"/>
        <v/>
      </c>
      <c r="C295" s="503" t="str">
        <f t="shared" ca="1" si="71"/>
        <v/>
      </c>
      <c r="D295" s="503" t="str">
        <f t="shared" ca="1" si="68"/>
        <v/>
      </c>
      <c r="E295" s="503" t="str">
        <f t="shared" ca="1" si="69"/>
        <v/>
      </c>
      <c r="F295" s="504" t="str">
        <f t="shared" ca="1" si="70"/>
        <v/>
      </c>
      <c r="G295" s="504" t="str">
        <f t="shared" ca="1" si="72"/>
        <v/>
      </c>
      <c r="H295" s="504" t="str">
        <f t="shared" ca="1" si="72"/>
        <v/>
      </c>
      <c r="I295" s="504" t="str">
        <f t="shared" ca="1" si="72"/>
        <v/>
      </c>
      <c r="J295" s="504" t="str">
        <f t="shared" ca="1" si="72"/>
        <v/>
      </c>
      <c r="K295" s="504" t="str">
        <f t="shared" ca="1" si="72"/>
        <v/>
      </c>
      <c r="L295" s="504" t="str">
        <f t="shared" ca="1" si="72"/>
        <v/>
      </c>
      <c r="M295" s="504" t="str">
        <f t="shared" ca="1" si="72"/>
        <v/>
      </c>
    </row>
    <row r="296" spans="1:13" ht="15" customHeight="1" x14ac:dyDescent="0.3">
      <c r="A296" s="130"/>
      <c r="B296" s="505" t="str">
        <f t="shared" ca="1" si="67"/>
        <v/>
      </c>
      <c r="C296" s="503" t="str">
        <f t="shared" ca="1" si="71"/>
        <v/>
      </c>
      <c r="D296" s="503" t="str">
        <f t="shared" ca="1" si="68"/>
        <v/>
      </c>
      <c r="E296" s="503" t="str">
        <f t="shared" ca="1" si="69"/>
        <v/>
      </c>
      <c r="F296" s="504" t="str">
        <f t="shared" ca="1" si="70"/>
        <v/>
      </c>
      <c r="G296" s="504" t="str">
        <f t="shared" ca="1" si="72"/>
        <v/>
      </c>
      <c r="H296" s="504" t="str">
        <f t="shared" ca="1" si="72"/>
        <v/>
      </c>
      <c r="I296" s="504" t="str">
        <f t="shared" ca="1" si="72"/>
        <v/>
      </c>
      <c r="J296" s="504" t="str">
        <f t="shared" ca="1" si="72"/>
        <v/>
      </c>
      <c r="K296" s="504" t="str">
        <f t="shared" ca="1" si="72"/>
        <v/>
      </c>
      <c r="L296" s="504" t="str">
        <f t="shared" ca="1" si="72"/>
        <v/>
      </c>
      <c r="M296" s="504" t="str">
        <f t="shared" ca="1" si="72"/>
        <v/>
      </c>
    </row>
    <row r="297" spans="1:13" ht="15" customHeight="1" x14ac:dyDescent="0.3">
      <c r="A297" s="130"/>
      <c r="B297" s="505" t="str">
        <f t="shared" ca="1" si="67"/>
        <v/>
      </c>
      <c r="C297" s="503" t="str">
        <f t="shared" ca="1" si="71"/>
        <v/>
      </c>
      <c r="D297" s="503" t="str">
        <f t="shared" ca="1" si="68"/>
        <v/>
      </c>
      <c r="E297" s="503" t="str">
        <f t="shared" ca="1" si="69"/>
        <v/>
      </c>
      <c r="F297" s="504" t="str">
        <f t="shared" ca="1" si="70"/>
        <v/>
      </c>
      <c r="G297" s="504" t="str">
        <f t="shared" ca="1" si="72"/>
        <v/>
      </c>
      <c r="H297" s="504" t="str">
        <f t="shared" ca="1" si="72"/>
        <v/>
      </c>
      <c r="I297" s="504" t="str">
        <f t="shared" ca="1" si="72"/>
        <v/>
      </c>
      <c r="J297" s="504" t="str">
        <f t="shared" ca="1" si="72"/>
        <v/>
      </c>
      <c r="K297" s="504" t="str">
        <f t="shared" ca="1" si="72"/>
        <v/>
      </c>
      <c r="L297" s="504" t="str">
        <f t="shared" ca="1" si="72"/>
        <v/>
      </c>
      <c r="M297" s="504" t="str">
        <f t="shared" ca="1" si="72"/>
        <v/>
      </c>
    </row>
    <row r="298" spans="1:13" ht="15" customHeight="1" x14ac:dyDescent="0.3">
      <c r="A298" s="130"/>
      <c r="B298" s="505" t="str">
        <f t="shared" ca="1" si="67"/>
        <v/>
      </c>
      <c r="C298" s="503" t="str">
        <f t="shared" ca="1" si="71"/>
        <v/>
      </c>
      <c r="D298" s="503" t="str">
        <f t="shared" ca="1" si="68"/>
        <v/>
      </c>
      <c r="E298" s="503" t="str">
        <f t="shared" ca="1" si="69"/>
        <v/>
      </c>
      <c r="F298" s="504" t="str">
        <f t="shared" ca="1" si="70"/>
        <v/>
      </c>
      <c r="G298" s="504" t="str">
        <f t="shared" ca="1" si="72"/>
        <v/>
      </c>
      <c r="H298" s="504" t="str">
        <f t="shared" ca="1" si="72"/>
        <v/>
      </c>
      <c r="I298" s="504" t="str">
        <f t="shared" ca="1" si="72"/>
        <v/>
      </c>
      <c r="J298" s="504" t="str">
        <f t="shared" ca="1" si="72"/>
        <v/>
      </c>
      <c r="K298" s="504" t="str">
        <f t="shared" ca="1" si="72"/>
        <v/>
      </c>
      <c r="L298" s="504" t="str">
        <f t="shared" ca="1" si="72"/>
        <v/>
      </c>
      <c r="M298" s="504" t="str">
        <f t="shared" ca="1" si="72"/>
        <v/>
      </c>
    </row>
    <row r="299" spans="1:13" ht="15" customHeight="1" x14ac:dyDescent="0.3">
      <c r="A299" s="130"/>
      <c r="B299" s="505" t="str">
        <f t="shared" ca="1" si="67"/>
        <v/>
      </c>
      <c r="C299" s="503" t="str">
        <f t="shared" ca="1" si="71"/>
        <v/>
      </c>
      <c r="D299" s="503" t="str">
        <f t="shared" ca="1" si="68"/>
        <v/>
      </c>
      <c r="E299" s="503" t="str">
        <f t="shared" ca="1" si="69"/>
        <v/>
      </c>
      <c r="F299" s="504" t="str">
        <f t="shared" ca="1" si="70"/>
        <v/>
      </c>
      <c r="G299" s="504" t="str">
        <f t="shared" ca="1" si="72"/>
        <v/>
      </c>
      <c r="H299" s="504" t="str">
        <f t="shared" ca="1" si="72"/>
        <v/>
      </c>
      <c r="I299" s="504" t="str">
        <f t="shared" ca="1" si="72"/>
        <v/>
      </c>
      <c r="J299" s="504" t="str">
        <f t="shared" ca="1" si="72"/>
        <v/>
      </c>
      <c r="K299" s="504" t="str">
        <f t="shared" ca="1" si="72"/>
        <v/>
      </c>
      <c r="L299" s="504" t="str">
        <f t="shared" ca="1" si="72"/>
        <v/>
      </c>
      <c r="M299" s="504" t="str">
        <f t="shared" ca="1" si="72"/>
        <v/>
      </c>
    </row>
    <row r="300" spans="1:13" ht="15" customHeight="1" x14ac:dyDescent="0.3">
      <c r="A300" s="130"/>
      <c r="B300" s="505" t="str">
        <f t="shared" ca="1" si="67"/>
        <v/>
      </c>
      <c r="C300" s="503" t="str">
        <f t="shared" ca="1" si="71"/>
        <v/>
      </c>
      <c r="D300" s="503" t="str">
        <f t="shared" ca="1" si="68"/>
        <v/>
      </c>
      <c r="E300" s="503" t="str">
        <f t="shared" ca="1" si="69"/>
        <v/>
      </c>
      <c r="F300" s="504" t="str">
        <f t="shared" ca="1" si="70"/>
        <v/>
      </c>
      <c r="G300" s="504" t="str">
        <f t="shared" ref="G300:M308" ca="1" si="73">IFERROR(IF(NOT($E300 = 7), "",INDIRECT($C300 &amp;"!" &amp;ADDRESS($D300,  COLUMN(INDIRECT(INDEX($AD$188:$AD$211, MATCH($C300, $Z$188:$Z$198, 0)) &amp; $D300)) +  G$189 - 1))), "")</f>
        <v/>
      </c>
      <c r="H300" s="504" t="str">
        <f t="shared" ca="1" si="73"/>
        <v/>
      </c>
      <c r="I300" s="504" t="str">
        <f t="shared" ca="1" si="73"/>
        <v/>
      </c>
      <c r="J300" s="504" t="str">
        <f t="shared" ca="1" si="73"/>
        <v/>
      </c>
      <c r="K300" s="504" t="str">
        <f t="shared" ca="1" si="73"/>
        <v/>
      </c>
      <c r="L300" s="504" t="str">
        <f t="shared" ca="1" si="73"/>
        <v/>
      </c>
      <c r="M300" s="504" t="str">
        <f t="shared" ca="1" si="73"/>
        <v/>
      </c>
    </row>
    <row r="301" spans="1:13" ht="15" customHeight="1" x14ac:dyDescent="0.3">
      <c r="A301" s="130"/>
      <c r="B301" s="505" t="str">
        <f t="shared" ca="1" si="67"/>
        <v/>
      </c>
      <c r="C301" s="503" t="str">
        <f t="shared" ca="1" si="71"/>
        <v/>
      </c>
      <c r="D301" s="503" t="str">
        <f t="shared" ca="1" si="68"/>
        <v/>
      </c>
      <c r="E301" s="503" t="str">
        <f t="shared" ca="1" si="69"/>
        <v/>
      </c>
      <c r="F301" s="504" t="str">
        <f t="shared" ca="1" si="70"/>
        <v/>
      </c>
      <c r="G301" s="504" t="str">
        <f t="shared" ca="1" si="73"/>
        <v/>
      </c>
      <c r="H301" s="504" t="str">
        <f t="shared" ca="1" si="73"/>
        <v/>
      </c>
      <c r="I301" s="504" t="str">
        <f t="shared" ca="1" si="73"/>
        <v/>
      </c>
      <c r="J301" s="504" t="str">
        <f t="shared" ca="1" si="73"/>
        <v/>
      </c>
      <c r="K301" s="504" t="str">
        <f t="shared" ca="1" si="73"/>
        <v/>
      </c>
      <c r="L301" s="504" t="str">
        <f t="shared" ca="1" si="73"/>
        <v/>
      </c>
      <c r="M301" s="504" t="str">
        <f t="shared" ca="1" si="73"/>
        <v/>
      </c>
    </row>
    <row r="302" spans="1:13" ht="15" customHeight="1" x14ac:dyDescent="0.3">
      <c r="A302" s="130"/>
      <c r="B302" s="505" t="str">
        <f t="shared" ca="1" si="67"/>
        <v/>
      </c>
      <c r="C302" s="503" t="str">
        <f t="shared" ca="1" si="71"/>
        <v/>
      </c>
      <c r="D302" s="503" t="str">
        <f t="shared" ca="1" si="68"/>
        <v/>
      </c>
      <c r="E302" s="503" t="str">
        <f t="shared" ca="1" si="69"/>
        <v/>
      </c>
      <c r="F302" s="504" t="str">
        <f t="shared" ca="1" si="70"/>
        <v/>
      </c>
      <c r="G302" s="504" t="str">
        <f t="shared" ca="1" si="73"/>
        <v/>
      </c>
      <c r="H302" s="504" t="str">
        <f t="shared" ca="1" si="73"/>
        <v/>
      </c>
      <c r="I302" s="504" t="str">
        <f t="shared" ca="1" si="73"/>
        <v/>
      </c>
      <c r="J302" s="504" t="str">
        <f t="shared" ca="1" si="73"/>
        <v/>
      </c>
      <c r="K302" s="504" t="str">
        <f t="shared" ca="1" si="73"/>
        <v/>
      </c>
      <c r="L302" s="504" t="str">
        <f t="shared" ca="1" si="73"/>
        <v/>
      </c>
      <c r="M302" s="504" t="str">
        <f t="shared" ca="1" si="73"/>
        <v/>
      </c>
    </row>
    <row r="303" spans="1:13" ht="15" customHeight="1" x14ac:dyDescent="0.3">
      <c r="A303" s="130"/>
      <c r="B303" s="505" t="str">
        <f t="shared" ca="1" si="67"/>
        <v/>
      </c>
      <c r="C303" s="503" t="str">
        <f t="shared" ca="1" si="71"/>
        <v/>
      </c>
      <c r="D303" s="503" t="str">
        <f t="shared" ca="1" si="68"/>
        <v/>
      </c>
      <c r="E303" s="503" t="str">
        <f t="shared" ca="1" si="69"/>
        <v/>
      </c>
      <c r="F303" s="504" t="str">
        <f t="shared" ca="1" si="70"/>
        <v/>
      </c>
      <c r="G303" s="504" t="str">
        <f t="shared" ca="1" si="73"/>
        <v/>
      </c>
      <c r="H303" s="504" t="str">
        <f t="shared" ca="1" si="73"/>
        <v/>
      </c>
      <c r="I303" s="504" t="str">
        <f t="shared" ca="1" si="73"/>
        <v/>
      </c>
      <c r="J303" s="504" t="str">
        <f t="shared" ca="1" si="73"/>
        <v/>
      </c>
      <c r="K303" s="504" t="str">
        <f t="shared" ca="1" si="73"/>
        <v/>
      </c>
      <c r="L303" s="504" t="str">
        <f t="shared" ca="1" si="73"/>
        <v/>
      </c>
      <c r="M303" s="504" t="str">
        <f t="shared" ca="1" si="73"/>
        <v/>
      </c>
    </row>
    <row r="304" spans="1:13" ht="15" customHeight="1" x14ac:dyDescent="0.3">
      <c r="A304" s="130"/>
      <c r="B304" s="505" t="str">
        <f t="shared" ca="1" si="67"/>
        <v/>
      </c>
      <c r="C304" s="503" t="str">
        <f t="shared" ca="1" si="71"/>
        <v/>
      </c>
      <c r="D304" s="503" t="str">
        <f t="shared" ca="1" si="68"/>
        <v/>
      </c>
      <c r="E304" s="503" t="str">
        <f t="shared" ca="1" si="69"/>
        <v/>
      </c>
      <c r="F304" s="504" t="str">
        <f t="shared" ca="1" si="70"/>
        <v/>
      </c>
      <c r="G304" s="504" t="str">
        <f t="shared" ca="1" si="73"/>
        <v/>
      </c>
      <c r="H304" s="504" t="str">
        <f t="shared" ca="1" si="73"/>
        <v/>
      </c>
      <c r="I304" s="504" t="str">
        <f t="shared" ca="1" si="73"/>
        <v/>
      </c>
      <c r="J304" s="504" t="str">
        <f t="shared" ca="1" si="73"/>
        <v/>
      </c>
      <c r="K304" s="504" t="str">
        <f t="shared" ca="1" si="73"/>
        <v/>
      </c>
      <c r="L304" s="504" t="str">
        <f t="shared" ca="1" si="73"/>
        <v/>
      </c>
      <c r="M304" s="504" t="str">
        <f t="shared" ca="1" si="73"/>
        <v/>
      </c>
    </row>
    <row r="305" spans="1:14" ht="15" customHeight="1" x14ac:dyDescent="0.3">
      <c r="A305" s="130"/>
      <c r="B305" s="505" t="str">
        <f t="shared" ca="1" si="67"/>
        <v/>
      </c>
      <c r="C305" s="503" t="str">
        <f t="shared" ca="1" si="71"/>
        <v/>
      </c>
      <c r="D305" s="503" t="str">
        <f t="shared" ca="1" si="68"/>
        <v/>
      </c>
      <c r="E305" s="503" t="str">
        <f t="shared" ca="1" si="69"/>
        <v/>
      </c>
      <c r="F305" s="504" t="str">
        <f t="shared" ca="1" si="70"/>
        <v/>
      </c>
      <c r="G305" s="504" t="str">
        <f t="shared" ca="1" si="73"/>
        <v/>
      </c>
      <c r="H305" s="504" t="str">
        <f t="shared" ca="1" si="73"/>
        <v/>
      </c>
      <c r="I305" s="504" t="str">
        <f t="shared" ca="1" si="73"/>
        <v/>
      </c>
      <c r="J305" s="504" t="str">
        <f t="shared" ca="1" si="73"/>
        <v/>
      </c>
      <c r="K305" s="504" t="str">
        <f t="shared" ca="1" si="73"/>
        <v/>
      </c>
      <c r="L305" s="504" t="str">
        <f t="shared" ca="1" si="73"/>
        <v/>
      </c>
      <c r="M305" s="504" t="str">
        <f t="shared" ca="1" si="73"/>
        <v/>
      </c>
    </row>
    <row r="306" spans="1:14" ht="15" customHeight="1" x14ac:dyDescent="0.3">
      <c r="A306" s="130"/>
      <c r="B306" s="505" t="str">
        <f t="shared" ca="1" si="67"/>
        <v/>
      </c>
      <c r="C306" s="503" t="str">
        <f t="shared" ca="1" si="71"/>
        <v/>
      </c>
      <c r="D306" s="503" t="str">
        <f t="shared" ca="1" si="68"/>
        <v/>
      </c>
      <c r="E306" s="503" t="str">
        <f t="shared" ca="1" si="69"/>
        <v/>
      </c>
      <c r="F306" s="504" t="str">
        <f t="shared" ca="1" si="70"/>
        <v/>
      </c>
      <c r="G306" s="504" t="str">
        <f t="shared" ca="1" si="73"/>
        <v/>
      </c>
      <c r="H306" s="504" t="str">
        <f t="shared" ca="1" si="73"/>
        <v/>
      </c>
      <c r="I306" s="504" t="str">
        <f t="shared" ca="1" si="73"/>
        <v/>
      </c>
      <c r="J306" s="504" t="str">
        <f t="shared" ca="1" si="73"/>
        <v/>
      </c>
      <c r="K306" s="504" t="str">
        <f t="shared" ca="1" si="73"/>
        <v/>
      </c>
      <c r="L306" s="504" t="str">
        <f t="shared" ca="1" si="73"/>
        <v/>
      </c>
      <c r="M306" s="504" t="str">
        <f t="shared" ca="1" si="73"/>
        <v/>
      </c>
      <c r="N306" s="479"/>
    </row>
    <row r="307" spans="1:14" ht="15" customHeight="1" x14ac:dyDescent="0.3">
      <c r="A307" s="130"/>
      <c r="B307" s="505" t="str">
        <f t="shared" ca="1" si="67"/>
        <v/>
      </c>
      <c r="C307" s="503" t="str">
        <f t="shared" ca="1" si="71"/>
        <v/>
      </c>
      <c r="D307" s="503" t="str">
        <f t="shared" ca="1" si="68"/>
        <v/>
      </c>
      <c r="E307" s="503" t="str">
        <f t="shared" ca="1" si="69"/>
        <v/>
      </c>
      <c r="F307" s="504" t="str">
        <f t="shared" ca="1" si="70"/>
        <v/>
      </c>
      <c r="G307" s="504" t="str">
        <f t="shared" ca="1" si="73"/>
        <v/>
      </c>
      <c r="H307" s="504" t="str">
        <f t="shared" ca="1" si="73"/>
        <v/>
      </c>
      <c r="I307" s="504" t="str">
        <f t="shared" ca="1" si="73"/>
        <v/>
      </c>
      <c r="J307" s="504" t="str">
        <f t="shared" ca="1" si="73"/>
        <v/>
      </c>
      <c r="K307" s="504" t="str">
        <f t="shared" ca="1" si="73"/>
        <v/>
      </c>
      <c r="L307" s="504" t="str">
        <f t="shared" ca="1" si="73"/>
        <v/>
      </c>
      <c r="M307" s="504" t="str">
        <f t="shared" ca="1" si="73"/>
        <v/>
      </c>
      <c r="N307" s="479"/>
    </row>
    <row r="308" spans="1:14" ht="15" customHeight="1" x14ac:dyDescent="0.3">
      <c r="A308" s="130"/>
      <c r="B308" s="505" t="str">
        <f t="shared" ca="1" si="67"/>
        <v/>
      </c>
      <c r="C308" s="503" t="str">
        <f t="shared" ca="1" si="71"/>
        <v/>
      </c>
      <c r="D308" s="503" t="str">
        <f t="shared" ca="1" si="68"/>
        <v/>
      </c>
      <c r="E308" s="503" t="str">
        <f t="shared" ca="1" si="69"/>
        <v/>
      </c>
      <c r="F308" s="504" t="str">
        <f t="shared" ca="1" si="70"/>
        <v/>
      </c>
      <c r="G308" s="504" t="str">
        <f t="shared" ca="1" si="73"/>
        <v/>
      </c>
      <c r="H308" s="504" t="str">
        <f t="shared" ca="1" si="73"/>
        <v/>
      </c>
      <c r="I308" s="504" t="str">
        <f t="shared" ca="1" si="73"/>
        <v/>
      </c>
      <c r="J308" s="504" t="str">
        <f t="shared" ca="1" si="73"/>
        <v/>
      </c>
      <c r="K308" s="504" t="str">
        <f t="shared" ca="1" si="73"/>
        <v/>
      </c>
      <c r="L308" s="504" t="str">
        <f t="shared" ca="1" si="73"/>
        <v/>
      </c>
      <c r="M308" s="504" t="str">
        <f t="shared" ca="1" si="73"/>
        <v/>
      </c>
      <c r="N308" s="479"/>
    </row>
    <row r="309" spans="1:14" ht="15" customHeight="1" x14ac:dyDescent="0.3">
      <c r="A309" s="130"/>
    </row>
    <row r="310" spans="1:14" ht="15" customHeight="1" x14ac:dyDescent="0.3">
      <c r="A310" s="130"/>
    </row>
    <row r="311" spans="1:14" ht="15" customHeight="1" x14ac:dyDescent="0.3">
      <c r="A311" s="130"/>
    </row>
    <row r="312" spans="1:14" ht="15" customHeight="1" x14ac:dyDescent="0.3">
      <c r="A312" s="130"/>
    </row>
    <row r="313" spans="1:14" ht="15" customHeight="1" x14ac:dyDescent="0.3">
      <c r="A313" s="130"/>
    </row>
    <row r="314" spans="1:14" ht="15" customHeight="1" x14ac:dyDescent="0.3">
      <c r="A314" s="130"/>
    </row>
    <row r="315" spans="1:14" ht="15" customHeight="1" x14ac:dyDescent="0.3">
      <c r="A315" s="130"/>
    </row>
    <row r="316" spans="1:14" ht="15" customHeight="1" x14ac:dyDescent="0.3">
      <c r="A316" s="130"/>
    </row>
    <row r="317" spans="1:14" ht="15" customHeight="1" x14ac:dyDescent="0.3">
      <c r="A317" s="130"/>
    </row>
    <row r="318" spans="1:14" ht="15" customHeight="1" x14ac:dyDescent="0.3">
      <c r="A318" s="130"/>
    </row>
    <row r="319" spans="1:14" ht="15" customHeight="1" x14ac:dyDescent="0.3">
      <c r="A319" s="130"/>
    </row>
    <row r="320" spans="1:14" ht="15" customHeight="1" x14ac:dyDescent="0.3">
      <c r="A320" s="130"/>
    </row>
    <row r="321" spans="1:1" ht="15" customHeight="1" x14ac:dyDescent="0.3">
      <c r="A321" s="130"/>
    </row>
    <row r="322" spans="1:1" ht="15" customHeight="1" x14ac:dyDescent="0.3">
      <c r="A322" s="130"/>
    </row>
    <row r="323" spans="1:1" ht="15" customHeight="1" x14ac:dyDescent="0.3">
      <c r="A323" s="130"/>
    </row>
    <row r="324" spans="1:1" ht="15" customHeight="1" x14ac:dyDescent="0.3">
      <c r="A324" s="130"/>
    </row>
    <row r="325" spans="1:1" ht="15" customHeight="1" x14ac:dyDescent="0.3">
      <c r="A325" s="130"/>
    </row>
    <row r="326" spans="1:1" ht="15" customHeight="1" x14ac:dyDescent="0.3">
      <c r="A326" s="130"/>
    </row>
    <row r="327" spans="1:1" ht="15" customHeight="1" x14ac:dyDescent="0.3">
      <c r="A327" s="130"/>
    </row>
    <row r="328" spans="1:1" ht="15" customHeight="1" x14ac:dyDescent="0.3">
      <c r="A328" s="130"/>
    </row>
    <row r="329" spans="1:1" ht="15" customHeight="1" x14ac:dyDescent="0.3">
      <c r="A329" s="130"/>
    </row>
    <row r="330" spans="1:1" ht="15" customHeight="1" x14ac:dyDescent="0.3">
      <c r="A330" s="130"/>
    </row>
    <row r="331" spans="1:1" ht="15" customHeight="1" x14ac:dyDescent="0.3">
      <c r="A331" s="130"/>
    </row>
    <row r="332" spans="1:1" ht="15" customHeight="1" x14ac:dyDescent="0.3">
      <c r="A332" s="130"/>
    </row>
    <row r="333" spans="1:1" ht="15" customHeight="1" x14ac:dyDescent="0.3">
      <c r="A333" s="130"/>
    </row>
    <row r="334" spans="1:1" ht="15" customHeight="1" x14ac:dyDescent="0.3">
      <c r="A334" s="130"/>
    </row>
    <row r="335" spans="1:1" ht="15" customHeight="1" x14ac:dyDescent="0.3">
      <c r="A335" s="130"/>
    </row>
    <row r="336" spans="1:1" ht="15" customHeight="1" x14ac:dyDescent="0.3">
      <c r="A336" s="130"/>
    </row>
    <row r="337" spans="1:1" ht="15" customHeight="1" x14ac:dyDescent="0.3">
      <c r="A337" s="130"/>
    </row>
    <row r="338" spans="1:1" ht="15" customHeight="1" x14ac:dyDescent="0.3">
      <c r="A338" s="130"/>
    </row>
    <row r="339" spans="1:1" ht="15" customHeight="1" x14ac:dyDescent="0.3">
      <c r="A339" s="130"/>
    </row>
    <row r="340" spans="1:1" ht="15" customHeight="1" x14ac:dyDescent="0.3">
      <c r="A340" s="130"/>
    </row>
    <row r="341" spans="1:1" ht="15" customHeight="1" x14ac:dyDescent="0.3">
      <c r="A341" s="130"/>
    </row>
    <row r="342" spans="1:1" ht="15" customHeight="1" x14ac:dyDescent="0.3">
      <c r="A342" s="130"/>
    </row>
    <row r="343" spans="1:1" ht="15" customHeight="1" x14ac:dyDescent="0.3">
      <c r="A343" s="130"/>
    </row>
    <row r="344" spans="1:1" ht="15" customHeight="1" x14ac:dyDescent="0.3">
      <c r="A344" s="130"/>
    </row>
    <row r="345" spans="1:1" ht="15" customHeight="1" x14ac:dyDescent="0.3">
      <c r="A345" s="130"/>
    </row>
    <row r="346" spans="1:1" ht="15" customHeight="1" x14ac:dyDescent="0.3">
      <c r="A346" s="130"/>
    </row>
    <row r="347" spans="1:1" ht="15" customHeight="1" x14ac:dyDescent="0.3">
      <c r="A347" s="130"/>
    </row>
    <row r="348" spans="1:1" ht="15" customHeight="1" x14ac:dyDescent="0.3">
      <c r="A348" s="130"/>
    </row>
    <row r="349" spans="1:1" ht="15" customHeight="1" x14ac:dyDescent="0.3">
      <c r="A349" s="130"/>
    </row>
    <row r="350" spans="1:1" ht="15" customHeight="1" x14ac:dyDescent="0.3">
      <c r="A350" s="130"/>
    </row>
    <row r="351" spans="1:1" ht="15" customHeight="1" x14ac:dyDescent="0.3">
      <c r="A351" s="130"/>
    </row>
    <row r="352" spans="1:1" ht="15" customHeight="1" x14ac:dyDescent="0.3">
      <c r="A352" s="130"/>
    </row>
    <row r="353" spans="1:1" ht="15" customHeight="1" x14ac:dyDescent="0.3">
      <c r="A353" s="130"/>
    </row>
    <row r="354" spans="1:1" ht="15" customHeight="1" x14ac:dyDescent="0.3">
      <c r="A354" s="130"/>
    </row>
    <row r="355" spans="1:1" ht="15" customHeight="1" x14ac:dyDescent="0.3">
      <c r="A355" s="130"/>
    </row>
    <row r="356" spans="1:1" ht="15" customHeight="1" x14ac:dyDescent="0.3">
      <c r="A356" s="130"/>
    </row>
    <row r="357" spans="1:1" ht="15" customHeight="1" x14ac:dyDescent="0.3">
      <c r="A357" s="130"/>
    </row>
    <row r="358" spans="1:1" ht="15" customHeight="1" x14ac:dyDescent="0.3">
      <c r="A358" s="130"/>
    </row>
    <row r="359" spans="1:1" ht="15" customHeight="1" x14ac:dyDescent="0.3">
      <c r="A359" s="130"/>
    </row>
    <row r="360" spans="1:1" ht="15" customHeight="1" x14ac:dyDescent="0.3">
      <c r="A360" s="130"/>
    </row>
    <row r="361" spans="1:1" ht="15" customHeight="1" x14ac:dyDescent="0.3">
      <c r="A361" s="130"/>
    </row>
    <row r="362" spans="1:1" ht="15" customHeight="1" x14ac:dyDescent="0.3">
      <c r="A362" s="130"/>
    </row>
    <row r="363" spans="1:1" ht="15" customHeight="1" x14ac:dyDescent="0.3">
      <c r="A363" s="130"/>
    </row>
    <row r="364" spans="1:1" ht="15" customHeight="1" x14ac:dyDescent="0.3">
      <c r="A364" s="130"/>
    </row>
    <row r="365" spans="1:1" ht="15" customHeight="1" x14ac:dyDescent="0.3">
      <c r="A365" s="130"/>
    </row>
    <row r="366" spans="1:1" ht="15" customHeight="1" x14ac:dyDescent="0.3">
      <c r="A366" s="130"/>
    </row>
    <row r="367" spans="1:1" ht="15" customHeight="1" x14ac:dyDescent="0.3">
      <c r="A367" s="130"/>
    </row>
    <row r="368" spans="1:1" ht="15" customHeight="1" x14ac:dyDescent="0.3">
      <c r="A368" s="130"/>
    </row>
    <row r="369" spans="1:1" ht="15" customHeight="1" x14ac:dyDescent="0.3">
      <c r="A369" s="130"/>
    </row>
    <row r="370" spans="1:1" ht="15" customHeight="1" x14ac:dyDescent="0.3">
      <c r="A370" s="130"/>
    </row>
    <row r="371" spans="1:1" ht="15" customHeight="1" x14ac:dyDescent="0.3">
      <c r="A371" s="130"/>
    </row>
    <row r="372" spans="1:1" ht="15" customHeight="1" x14ac:dyDescent="0.3">
      <c r="A372" s="130"/>
    </row>
    <row r="373" spans="1:1" ht="15" customHeight="1" x14ac:dyDescent="0.3">
      <c r="A373" s="130"/>
    </row>
    <row r="374" spans="1:1" ht="15" customHeight="1" x14ac:dyDescent="0.3">
      <c r="A374" s="130"/>
    </row>
    <row r="375" spans="1:1" ht="15" customHeight="1" x14ac:dyDescent="0.3">
      <c r="A375" s="130"/>
    </row>
    <row r="376" spans="1:1" ht="15" customHeight="1" x14ac:dyDescent="0.3">
      <c r="A376" s="130"/>
    </row>
    <row r="377" spans="1:1" ht="15" customHeight="1" x14ac:dyDescent="0.3">
      <c r="A377" s="130"/>
    </row>
    <row r="378" spans="1:1" ht="15" customHeight="1" x14ac:dyDescent="0.3">
      <c r="A378" s="130"/>
    </row>
    <row r="379" spans="1:1" ht="15" customHeight="1" x14ac:dyDescent="0.3">
      <c r="A379" s="130"/>
    </row>
    <row r="380" spans="1:1" ht="15" customHeight="1" x14ac:dyDescent="0.3">
      <c r="A380" s="130"/>
    </row>
    <row r="381" spans="1:1" ht="15" customHeight="1" x14ac:dyDescent="0.3">
      <c r="A381" s="130"/>
    </row>
    <row r="382" spans="1:1" ht="15" customHeight="1" x14ac:dyDescent="0.3">
      <c r="A382" s="130"/>
    </row>
    <row r="383" spans="1:1" ht="15" customHeight="1" x14ac:dyDescent="0.3">
      <c r="A383" s="130"/>
    </row>
    <row r="384" spans="1:1" ht="15" customHeight="1" x14ac:dyDescent="0.3">
      <c r="A384" s="130"/>
    </row>
    <row r="385" spans="1:1" ht="15" customHeight="1" x14ac:dyDescent="0.3">
      <c r="A385" s="130"/>
    </row>
    <row r="386" spans="1:1" ht="15" customHeight="1" x14ac:dyDescent="0.3">
      <c r="A386" s="130"/>
    </row>
    <row r="387" spans="1:1" ht="15" customHeight="1" x14ac:dyDescent="0.3">
      <c r="A387" s="130"/>
    </row>
    <row r="388" spans="1:1" ht="15" customHeight="1" x14ac:dyDescent="0.3">
      <c r="A388" s="130"/>
    </row>
    <row r="389" spans="1:1" ht="15" customHeight="1" x14ac:dyDescent="0.3">
      <c r="A389" s="130"/>
    </row>
    <row r="390" spans="1:1" ht="15" customHeight="1" x14ac:dyDescent="0.3">
      <c r="A390" s="130"/>
    </row>
    <row r="391" spans="1:1" ht="15" customHeight="1" x14ac:dyDescent="0.3">
      <c r="A391" s="130"/>
    </row>
    <row r="392" spans="1:1" ht="15" customHeight="1" x14ac:dyDescent="0.3">
      <c r="A392" s="130"/>
    </row>
    <row r="393" spans="1:1" ht="15" customHeight="1" x14ac:dyDescent="0.3">
      <c r="A393" s="130"/>
    </row>
    <row r="394" spans="1:1" ht="15" customHeight="1" x14ac:dyDescent="0.3">
      <c r="A394" s="130"/>
    </row>
    <row r="395" spans="1:1" ht="15" customHeight="1" x14ac:dyDescent="0.3">
      <c r="A395" s="130"/>
    </row>
    <row r="396" spans="1:1" ht="15" customHeight="1" x14ac:dyDescent="0.3">
      <c r="A396" s="130"/>
    </row>
    <row r="397" spans="1:1" ht="15" customHeight="1" x14ac:dyDescent="0.3">
      <c r="A397" s="130"/>
    </row>
    <row r="398" spans="1:1" ht="15" customHeight="1" x14ac:dyDescent="0.3">
      <c r="A398" s="130"/>
    </row>
    <row r="399" spans="1:1" ht="15" customHeight="1" x14ac:dyDescent="0.3">
      <c r="A399" s="130"/>
    </row>
    <row r="400" spans="1:1" ht="15" customHeight="1" x14ac:dyDescent="0.3">
      <c r="A400" s="130"/>
    </row>
    <row r="401" spans="1:1" ht="15" customHeight="1" x14ac:dyDescent="0.3">
      <c r="A401" s="130"/>
    </row>
    <row r="402" spans="1:1" ht="15" customHeight="1" x14ac:dyDescent="0.3">
      <c r="A402" s="130"/>
    </row>
    <row r="403" spans="1:1" ht="15" customHeight="1" x14ac:dyDescent="0.3">
      <c r="A403" s="130"/>
    </row>
    <row r="404" spans="1:1" ht="15" customHeight="1" x14ac:dyDescent="0.3">
      <c r="A404" s="130"/>
    </row>
    <row r="405" spans="1:1" ht="15" customHeight="1" x14ac:dyDescent="0.3">
      <c r="A405" s="130"/>
    </row>
    <row r="406" spans="1:1" ht="15" customHeight="1" x14ac:dyDescent="0.3">
      <c r="A406" s="130"/>
    </row>
    <row r="407" spans="1:1" ht="15" customHeight="1" x14ac:dyDescent="0.3">
      <c r="A407" s="130"/>
    </row>
    <row r="408" spans="1:1" ht="15" customHeight="1" x14ac:dyDescent="0.3">
      <c r="A408" s="130"/>
    </row>
    <row r="409" spans="1:1" ht="15" customHeight="1" x14ac:dyDescent="0.3">
      <c r="A409" s="130"/>
    </row>
    <row r="410" spans="1:1" ht="15" customHeight="1" x14ac:dyDescent="0.3">
      <c r="A410" s="130"/>
    </row>
    <row r="411" spans="1:1" ht="15" customHeight="1" x14ac:dyDescent="0.3">
      <c r="A411" s="130"/>
    </row>
    <row r="412" spans="1:1" ht="15" customHeight="1" x14ac:dyDescent="0.3">
      <c r="A412" s="130"/>
    </row>
    <row r="413" spans="1:1" ht="15" customHeight="1" x14ac:dyDescent="0.3">
      <c r="A413" s="130"/>
    </row>
    <row r="414" spans="1:1" ht="15" customHeight="1" x14ac:dyDescent="0.3">
      <c r="A414" s="130"/>
    </row>
    <row r="415" spans="1:1" ht="15" customHeight="1" x14ac:dyDescent="0.3">
      <c r="A415" s="130"/>
    </row>
    <row r="416" spans="1:1" ht="15" customHeight="1" x14ac:dyDescent="0.3">
      <c r="A416" s="130"/>
    </row>
    <row r="417" spans="1:1" ht="15" customHeight="1" x14ac:dyDescent="0.3">
      <c r="A417" s="130"/>
    </row>
    <row r="418" spans="1:1" ht="15" customHeight="1" x14ac:dyDescent="0.3">
      <c r="A418" s="130"/>
    </row>
    <row r="419" spans="1:1" ht="15" customHeight="1" x14ac:dyDescent="0.3">
      <c r="A419" s="130"/>
    </row>
    <row r="420" spans="1:1" ht="15" customHeight="1" x14ac:dyDescent="0.3">
      <c r="A420" s="130"/>
    </row>
    <row r="421" spans="1:1" ht="15" customHeight="1" x14ac:dyDescent="0.3">
      <c r="A421" s="130"/>
    </row>
    <row r="422" spans="1:1" ht="15" customHeight="1" x14ac:dyDescent="0.3">
      <c r="A422" s="130"/>
    </row>
    <row r="423" spans="1:1" ht="15" customHeight="1" x14ac:dyDescent="0.3">
      <c r="A423" s="130"/>
    </row>
    <row r="424" spans="1:1" ht="15" customHeight="1" x14ac:dyDescent="0.3">
      <c r="A424" s="130"/>
    </row>
    <row r="425" spans="1:1" ht="15" customHeight="1" x14ac:dyDescent="0.3">
      <c r="A425" s="130"/>
    </row>
    <row r="426" spans="1:1" ht="15" customHeight="1" x14ac:dyDescent="0.3">
      <c r="A426" s="130"/>
    </row>
    <row r="427" spans="1:1" ht="15" customHeight="1" x14ac:dyDescent="0.3">
      <c r="A427" s="130"/>
    </row>
    <row r="428" spans="1:1" ht="15" customHeight="1" x14ac:dyDescent="0.3">
      <c r="A428" s="130"/>
    </row>
    <row r="429" spans="1:1" ht="15" customHeight="1" x14ac:dyDescent="0.3">
      <c r="A429" s="130"/>
    </row>
    <row r="430" spans="1:1" ht="15" customHeight="1" x14ac:dyDescent="0.3">
      <c r="A430" s="130"/>
    </row>
    <row r="431" spans="1:1" ht="15" customHeight="1" x14ac:dyDescent="0.3">
      <c r="A431" s="130"/>
    </row>
    <row r="432" spans="1:1" ht="15" customHeight="1" x14ac:dyDescent="0.3">
      <c r="A432" s="130"/>
    </row>
    <row r="433" spans="1:1" ht="15" customHeight="1" x14ac:dyDescent="0.3">
      <c r="A433" s="130"/>
    </row>
    <row r="434" spans="1:1" ht="15" customHeight="1" x14ac:dyDescent="0.3">
      <c r="A434" s="130"/>
    </row>
    <row r="435" spans="1:1" ht="15" customHeight="1" x14ac:dyDescent="0.3">
      <c r="A435" s="130"/>
    </row>
    <row r="436" spans="1:1" ht="15" customHeight="1" x14ac:dyDescent="0.3">
      <c r="A436" s="130"/>
    </row>
    <row r="437" spans="1:1" ht="15" customHeight="1" x14ac:dyDescent="0.3">
      <c r="A437" s="130"/>
    </row>
    <row r="438" spans="1:1" ht="15" customHeight="1" x14ac:dyDescent="0.3">
      <c r="A438" s="130"/>
    </row>
    <row r="439" spans="1:1" ht="15" customHeight="1" x14ac:dyDescent="0.3">
      <c r="A439" s="130"/>
    </row>
    <row r="440" spans="1:1" ht="15" customHeight="1" x14ac:dyDescent="0.3">
      <c r="A440" s="130"/>
    </row>
    <row r="441" spans="1:1" ht="15" customHeight="1" x14ac:dyDescent="0.3">
      <c r="A441" s="130"/>
    </row>
    <row r="442" spans="1:1" ht="15" customHeight="1" x14ac:dyDescent="0.3">
      <c r="A442" s="130"/>
    </row>
    <row r="443" spans="1:1" ht="15" customHeight="1" x14ac:dyDescent="0.3">
      <c r="A443" s="130"/>
    </row>
    <row r="444" spans="1:1" ht="15" customHeight="1" x14ac:dyDescent="0.3">
      <c r="A444" s="130"/>
    </row>
    <row r="445" spans="1:1" ht="15" customHeight="1" x14ac:dyDescent="0.3">
      <c r="A445" s="130"/>
    </row>
    <row r="446" spans="1:1" ht="15" customHeight="1" x14ac:dyDescent="0.3">
      <c r="A446" s="130"/>
    </row>
    <row r="447" spans="1:1" ht="15" customHeight="1" x14ac:dyDescent="0.3">
      <c r="A447" s="130"/>
    </row>
    <row r="448" spans="1:1" ht="15" customHeight="1" x14ac:dyDescent="0.3">
      <c r="A448" s="130"/>
    </row>
    <row r="449" spans="1:1" ht="15" customHeight="1" x14ac:dyDescent="0.3">
      <c r="A449" s="130"/>
    </row>
    <row r="450" spans="1:1" ht="15" customHeight="1" x14ac:dyDescent="0.3">
      <c r="A450" s="130"/>
    </row>
    <row r="451" spans="1:1" ht="15" customHeight="1" x14ac:dyDescent="0.3">
      <c r="A451" s="130"/>
    </row>
    <row r="452" spans="1:1" ht="15" customHeight="1" x14ac:dyDescent="0.3">
      <c r="A452" s="130"/>
    </row>
    <row r="453" spans="1:1" ht="15" customHeight="1" x14ac:dyDescent="0.3">
      <c r="A453" s="130"/>
    </row>
    <row r="454" spans="1:1" ht="15" customHeight="1" x14ac:dyDescent="0.3">
      <c r="A454" s="130"/>
    </row>
    <row r="455" spans="1:1" ht="15" customHeight="1" x14ac:dyDescent="0.3">
      <c r="A455" s="130"/>
    </row>
    <row r="456" spans="1:1" ht="15" customHeight="1" x14ac:dyDescent="0.3">
      <c r="A456" s="130"/>
    </row>
    <row r="457" spans="1:1" ht="15" customHeight="1" x14ac:dyDescent="0.3">
      <c r="A457" s="130"/>
    </row>
    <row r="458" spans="1:1" ht="15" customHeight="1" x14ac:dyDescent="0.3">
      <c r="A458" s="130"/>
    </row>
    <row r="459" spans="1:1" ht="15" customHeight="1" x14ac:dyDescent="0.3">
      <c r="A459" s="130"/>
    </row>
    <row r="460" spans="1:1" ht="15" customHeight="1" x14ac:dyDescent="0.3">
      <c r="A460" s="130"/>
    </row>
    <row r="461" spans="1:1" ht="15" customHeight="1" x14ac:dyDescent="0.3">
      <c r="A461" s="130"/>
    </row>
    <row r="462" spans="1:1" ht="15" customHeight="1" x14ac:dyDescent="0.3">
      <c r="A462" s="130"/>
    </row>
    <row r="463" spans="1:1" ht="15" customHeight="1" x14ac:dyDescent="0.3">
      <c r="A463" s="130"/>
    </row>
    <row r="464" spans="1:1" ht="15" customHeight="1" x14ac:dyDescent="0.3">
      <c r="A464" s="130"/>
    </row>
    <row r="465" spans="1:1" ht="15" customHeight="1" x14ac:dyDescent="0.3">
      <c r="A465" s="130"/>
    </row>
    <row r="466" spans="1:1" ht="15" customHeight="1" x14ac:dyDescent="0.3">
      <c r="A466" s="130"/>
    </row>
    <row r="467" spans="1:1" ht="15" customHeight="1" x14ac:dyDescent="0.3">
      <c r="A467" s="130"/>
    </row>
    <row r="468" spans="1:1" ht="15" customHeight="1" x14ac:dyDescent="0.3">
      <c r="A468" s="130"/>
    </row>
    <row r="469" spans="1:1" ht="15" customHeight="1" x14ac:dyDescent="0.3">
      <c r="A469" s="130"/>
    </row>
    <row r="470" spans="1:1" ht="15" customHeight="1" x14ac:dyDescent="0.3">
      <c r="A470" s="130"/>
    </row>
    <row r="471" spans="1:1" ht="15" customHeight="1" x14ac:dyDescent="0.3">
      <c r="A471" s="130"/>
    </row>
    <row r="472" spans="1:1" ht="15" customHeight="1" x14ac:dyDescent="0.3">
      <c r="A472" s="130"/>
    </row>
    <row r="473" spans="1:1" ht="15" customHeight="1" x14ac:dyDescent="0.3">
      <c r="A473" s="130"/>
    </row>
    <row r="474" spans="1:1" ht="15" customHeight="1" x14ac:dyDescent="0.3">
      <c r="A474" s="130"/>
    </row>
    <row r="475" spans="1:1" ht="15" customHeight="1" x14ac:dyDescent="0.3">
      <c r="A475" s="130"/>
    </row>
    <row r="476" spans="1:1" ht="15" customHeight="1" x14ac:dyDescent="0.3">
      <c r="A476" s="130"/>
    </row>
    <row r="477" spans="1:1" ht="15" customHeight="1" x14ac:dyDescent="0.3">
      <c r="A477" s="130"/>
    </row>
    <row r="478" spans="1:1" ht="15" customHeight="1" x14ac:dyDescent="0.3">
      <c r="A478" s="130"/>
    </row>
    <row r="479" spans="1:1" ht="15" customHeight="1" x14ac:dyDescent="0.3">
      <c r="A479" s="130"/>
    </row>
    <row r="480" spans="1:1" ht="15" customHeight="1" x14ac:dyDescent="0.3">
      <c r="A480" s="130"/>
    </row>
    <row r="481" spans="1:1" ht="15" customHeight="1" x14ac:dyDescent="0.3">
      <c r="A481" s="130"/>
    </row>
    <row r="482" spans="1:1" ht="15" customHeight="1" x14ac:dyDescent="0.3">
      <c r="A482" s="130"/>
    </row>
    <row r="483" spans="1:1" ht="15" customHeight="1" x14ac:dyDescent="0.3">
      <c r="A483" s="130"/>
    </row>
    <row r="484" spans="1:1" ht="15" customHeight="1" x14ac:dyDescent="0.3">
      <c r="A484" s="130"/>
    </row>
    <row r="485" spans="1:1" ht="15" customHeight="1" x14ac:dyDescent="0.3">
      <c r="A485" s="130"/>
    </row>
    <row r="486" spans="1:1" ht="15" customHeight="1" x14ac:dyDescent="0.3">
      <c r="A486" s="130"/>
    </row>
    <row r="487" spans="1:1" ht="15" customHeight="1" x14ac:dyDescent="0.3">
      <c r="A487" s="130"/>
    </row>
    <row r="488" spans="1:1" ht="15" customHeight="1" x14ac:dyDescent="0.3">
      <c r="A488" s="130"/>
    </row>
    <row r="489" spans="1:1" ht="15" customHeight="1" x14ac:dyDescent="0.3">
      <c r="A489" s="130"/>
    </row>
    <row r="490" spans="1:1" ht="15" customHeight="1" x14ac:dyDescent="0.3">
      <c r="A490" s="130"/>
    </row>
    <row r="491" spans="1:1" ht="15" customHeight="1" x14ac:dyDescent="0.3">
      <c r="A491" s="130"/>
    </row>
    <row r="492" spans="1:1" ht="15" customHeight="1" x14ac:dyDescent="0.3">
      <c r="A492" s="130"/>
    </row>
    <row r="493" spans="1:1" ht="15" customHeight="1" x14ac:dyDescent="0.3">
      <c r="A493" s="130"/>
    </row>
    <row r="494" spans="1:1" ht="15" customHeight="1" x14ac:dyDescent="0.3">
      <c r="A494" s="130"/>
    </row>
    <row r="495" spans="1:1" ht="15" customHeight="1" x14ac:dyDescent="0.3">
      <c r="A495" s="130"/>
    </row>
    <row r="496" spans="1:1" ht="15" customHeight="1" x14ac:dyDescent="0.3">
      <c r="A496" s="130"/>
    </row>
    <row r="497" spans="1:1" ht="15" customHeight="1" x14ac:dyDescent="0.3">
      <c r="A497" s="130"/>
    </row>
    <row r="498" spans="1:1" ht="15" customHeight="1" x14ac:dyDescent="0.3">
      <c r="A498" s="130"/>
    </row>
    <row r="499" spans="1:1" ht="15" customHeight="1" x14ac:dyDescent="0.3">
      <c r="A499" s="130"/>
    </row>
    <row r="500" spans="1:1" ht="15" customHeight="1" x14ac:dyDescent="0.3">
      <c r="A500" s="130"/>
    </row>
    <row r="501" spans="1:1" ht="15" customHeight="1" x14ac:dyDescent="0.3">
      <c r="A501" s="130"/>
    </row>
    <row r="502" spans="1:1" ht="15" customHeight="1" x14ac:dyDescent="0.3">
      <c r="A502" s="130"/>
    </row>
    <row r="503" spans="1:1" ht="15" customHeight="1" x14ac:dyDescent="0.3">
      <c r="A503" s="130"/>
    </row>
    <row r="504" spans="1:1" ht="15" customHeight="1" x14ac:dyDescent="0.3">
      <c r="A504" s="130"/>
    </row>
    <row r="505" spans="1:1" ht="15" customHeight="1" x14ac:dyDescent="0.3">
      <c r="A505" s="130"/>
    </row>
    <row r="506" spans="1:1" ht="15" customHeight="1" x14ac:dyDescent="0.3">
      <c r="A506" s="130"/>
    </row>
    <row r="507" spans="1:1" ht="15" customHeight="1" x14ac:dyDescent="0.3">
      <c r="A507" s="130"/>
    </row>
    <row r="508" spans="1:1" ht="15" customHeight="1" x14ac:dyDescent="0.3">
      <c r="A508" s="130"/>
    </row>
    <row r="509" spans="1:1" ht="15" customHeight="1" x14ac:dyDescent="0.3">
      <c r="A509" s="130"/>
    </row>
    <row r="510" spans="1:1" ht="15" customHeight="1" x14ac:dyDescent="0.3">
      <c r="A510" s="130"/>
    </row>
    <row r="511" spans="1:1" ht="15" customHeight="1" x14ac:dyDescent="0.3">
      <c r="A511" s="130"/>
    </row>
    <row r="512" spans="1:1" ht="15" customHeight="1" x14ac:dyDescent="0.3">
      <c r="A512" s="130"/>
    </row>
    <row r="513" spans="1:1" ht="15" customHeight="1" x14ac:dyDescent="0.3">
      <c r="A513" s="130"/>
    </row>
    <row r="514" spans="1:1" ht="15" customHeight="1" x14ac:dyDescent="0.3">
      <c r="A514" s="130"/>
    </row>
    <row r="515" spans="1:1" ht="15" customHeight="1" x14ac:dyDescent="0.3">
      <c r="A515" s="130"/>
    </row>
    <row r="516" spans="1:1" ht="15" customHeight="1" x14ac:dyDescent="0.3">
      <c r="A516" s="130"/>
    </row>
    <row r="517" spans="1:1" ht="15" customHeight="1" x14ac:dyDescent="0.3">
      <c r="A517" s="130"/>
    </row>
    <row r="518" spans="1:1" ht="15" customHeight="1" x14ac:dyDescent="0.3">
      <c r="A518" s="130"/>
    </row>
    <row r="519" spans="1:1" ht="15" customHeight="1" x14ac:dyDescent="0.3">
      <c r="A519" s="130"/>
    </row>
    <row r="520" spans="1:1" ht="15" customHeight="1" x14ac:dyDescent="0.3">
      <c r="A520" s="130"/>
    </row>
    <row r="521" spans="1:1" ht="15" customHeight="1" x14ac:dyDescent="0.3">
      <c r="A521" s="130"/>
    </row>
    <row r="522" spans="1:1" ht="15" customHeight="1" x14ac:dyDescent="0.3">
      <c r="A522" s="130"/>
    </row>
    <row r="523" spans="1:1" ht="15" customHeight="1" x14ac:dyDescent="0.3">
      <c r="A523" s="130"/>
    </row>
    <row r="524" spans="1:1" ht="15" customHeight="1" x14ac:dyDescent="0.3">
      <c r="A524" s="130"/>
    </row>
    <row r="525" spans="1:1" ht="15" customHeight="1" x14ac:dyDescent="0.3">
      <c r="A525" s="130"/>
    </row>
    <row r="526" spans="1:1" ht="15" customHeight="1" x14ac:dyDescent="0.3">
      <c r="A526" s="130"/>
    </row>
    <row r="527" spans="1:1" ht="15" customHeight="1" x14ac:dyDescent="0.3">
      <c r="A527" s="130"/>
    </row>
    <row r="528" spans="1:1" ht="15" customHeight="1" x14ac:dyDescent="0.3">
      <c r="A528" s="130"/>
    </row>
    <row r="529" spans="1:1" ht="15" customHeight="1" x14ac:dyDescent="0.3">
      <c r="A529" s="130"/>
    </row>
    <row r="530" spans="1:1" ht="15" customHeight="1" x14ac:dyDescent="0.3">
      <c r="A530" s="130"/>
    </row>
    <row r="531" spans="1:1" ht="15" customHeight="1" x14ac:dyDescent="0.3">
      <c r="A531" s="130"/>
    </row>
    <row r="532" spans="1:1" ht="15" customHeight="1" x14ac:dyDescent="0.3">
      <c r="A532" s="130"/>
    </row>
    <row r="533" spans="1:1" ht="15" customHeight="1" x14ac:dyDescent="0.3">
      <c r="A533" s="130"/>
    </row>
    <row r="534" spans="1:1" ht="15" customHeight="1" x14ac:dyDescent="0.3">
      <c r="A534" s="130"/>
    </row>
    <row r="535" spans="1:1" ht="15" customHeight="1" x14ac:dyDescent="0.3">
      <c r="A535" s="130"/>
    </row>
    <row r="536" spans="1:1" ht="15" customHeight="1" x14ac:dyDescent="0.3">
      <c r="A536" s="130"/>
    </row>
    <row r="537" spans="1:1" ht="15" customHeight="1" x14ac:dyDescent="0.3">
      <c r="A537" s="130"/>
    </row>
    <row r="538" spans="1:1" ht="15" customHeight="1" x14ac:dyDescent="0.3">
      <c r="A538" s="130"/>
    </row>
    <row r="539" spans="1:1" ht="15" customHeight="1" x14ac:dyDescent="0.3">
      <c r="A539" s="130"/>
    </row>
    <row r="540" spans="1:1" ht="15" customHeight="1" x14ac:dyDescent="0.3">
      <c r="A540" s="130"/>
    </row>
    <row r="541" spans="1:1" ht="15" customHeight="1" x14ac:dyDescent="0.3">
      <c r="A541" s="130"/>
    </row>
    <row r="542" spans="1:1" ht="15" customHeight="1" x14ac:dyDescent="0.3">
      <c r="A542" s="130"/>
    </row>
    <row r="543" spans="1:1" ht="15" customHeight="1" x14ac:dyDescent="0.3">
      <c r="A543" s="130"/>
    </row>
    <row r="544" spans="1:1" ht="15" customHeight="1" x14ac:dyDescent="0.3">
      <c r="A544" s="130"/>
    </row>
    <row r="545" spans="1:1" ht="15" customHeight="1" x14ac:dyDescent="0.3">
      <c r="A545" s="130"/>
    </row>
    <row r="546" spans="1:1" ht="15" customHeight="1" x14ac:dyDescent="0.3">
      <c r="A546" s="130"/>
    </row>
    <row r="547" spans="1:1" ht="15" customHeight="1" x14ac:dyDescent="0.3">
      <c r="A547" s="130"/>
    </row>
    <row r="548" spans="1:1" ht="15" customHeight="1" x14ac:dyDescent="0.3">
      <c r="A548" s="130"/>
    </row>
    <row r="549" spans="1:1" ht="15" customHeight="1" x14ac:dyDescent="0.3">
      <c r="A549" s="130"/>
    </row>
    <row r="550" spans="1:1" ht="15" customHeight="1" x14ac:dyDescent="0.3">
      <c r="A550" s="130"/>
    </row>
    <row r="551" spans="1:1" ht="15" customHeight="1" x14ac:dyDescent="0.3">
      <c r="A551" s="130"/>
    </row>
    <row r="552" spans="1:1" ht="15" customHeight="1" x14ac:dyDescent="0.3">
      <c r="A552" s="130"/>
    </row>
    <row r="553" spans="1:1" ht="15" customHeight="1" x14ac:dyDescent="0.3">
      <c r="A553" s="130"/>
    </row>
    <row r="554" spans="1:1" ht="15" customHeight="1" x14ac:dyDescent="0.3">
      <c r="A554" s="130"/>
    </row>
    <row r="555" spans="1:1" ht="15" customHeight="1" x14ac:dyDescent="0.3">
      <c r="A555" s="130"/>
    </row>
    <row r="556" spans="1:1" ht="15" customHeight="1" x14ac:dyDescent="0.3">
      <c r="A556" s="130"/>
    </row>
    <row r="557" spans="1:1" ht="15" customHeight="1" x14ac:dyDescent="0.3">
      <c r="A557" s="130"/>
    </row>
    <row r="558" spans="1:1" ht="15" customHeight="1" x14ac:dyDescent="0.3">
      <c r="A558" s="130"/>
    </row>
    <row r="559" spans="1:1" ht="15" customHeight="1" x14ac:dyDescent="0.3">
      <c r="A559" s="130"/>
    </row>
    <row r="560" spans="1:1" ht="15" customHeight="1" x14ac:dyDescent="0.3">
      <c r="A560" s="130"/>
    </row>
    <row r="561" spans="1:1" ht="15" customHeight="1" x14ac:dyDescent="0.3">
      <c r="A561" s="130"/>
    </row>
    <row r="562" spans="1:1" ht="15" customHeight="1" x14ac:dyDescent="0.3">
      <c r="A562" s="130"/>
    </row>
    <row r="563" spans="1:1" ht="15" customHeight="1" x14ac:dyDescent="0.3">
      <c r="A563" s="130"/>
    </row>
    <row r="564" spans="1:1" ht="15" customHeight="1" x14ac:dyDescent="0.3">
      <c r="A564" s="130"/>
    </row>
    <row r="565" spans="1:1" ht="15" customHeight="1" x14ac:dyDescent="0.3">
      <c r="A565" s="130"/>
    </row>
    <row r="566" spans="1:1" ht="15" customHeight="1" x14ac:dyDescent="0.3">
      <c r="A566" s="130"/>
    </row>
    <row r="567" spans="1:1" ht="15" customHeight="1" x14ac:dyDescent="0.3">
      <c r="A567" s="130"/>
    </row>
    <row r="568" spans="1:1" ht="15" customHeight="1" x14ac:dyDescent="0.3">
      <c r="A568" s="130"/>
    </row>
    <row r="569" spans="1:1" ht="15" customHeight="1" x14ac:dyDescent="0.3">
      <c r="A569" s="130"/>
    </row>
    <row r="570" spans="1:1" ht="15" customHeight="1" x14ac:dyDescent="0.3">
      <c r="A570" s="130"/>
    </row>
    <row r="571" spans="1:1" ht="15" customHeight="1" x14ac:dyDescent="0.3">
      <c r="A571" s="130"/>
    </row>
    <row r="572" spans="1:1" ht="15" customHeight="1" x14ac:dyDescent="0.3">
      <c r="A572" s="130"/>
    </row>
    <row r="573" spans="1:1" ht="15" customHeight="1" x14ac:dyDescent="0.3">
      <c r="A573" s="130"/>
    </row>
    <row r="574" spans="1:1" ht="15" customHeight="1" x14ac:dyDescent="0.3">
      <c r="A574" s="130"/>
    </row>
    <row r="575" spans="1:1" ht="15" customHeight="1" x14ac:dyDescent="0.3">
      <c r="A575" s="130"/>
    </row>
    <row r="576" spans="1:1" ht="15" customHeight="1" x14ac:dyDescent="0.3">
      <c r="A576" s="130"/>
    </row>
    <row r="577" spans="1:1" ht="15" customHeight="1" x14ac:dyDescent="0.3">
      <c r="A577" s="130"/>
    </row>
    <row r="578" spans="1:1" ht="15" customHeight="1" x14ac:dyDescent="0.3">
      <c r="A578" s="130"/>
    </row>
    <row r="579" spans="1:1" ht="15" customHeight="1" x14ac:dyDescent="0.3">
      <c r="A579" s="130"/>
    </row>
    <row r="580" spans="1:1" ht="15" customHeight="1" x14ac:dyDescent="0.3">
      <c r="A580" s="130"/>
    </row>
    <row r="581" spans="1:1" ht="15" customHeight="1" x14ac:dyDescent="0.3">
      <c r="A581" s="130"/>
    </row>
    <row r="582" spans="1:1" ht="15" customHeight="1" x14ac:dyDescent="0.3">
      <c r="A582" s="130"/>
    </row>
    <row r="583" spans="1:1" ht="15" customHeight="1" x14ac:dyDescent="0.3">
      <c r="A583" s="130"/>
    </row>
    <row r="584" spans="1:1" ht="15" customHeight="1" x14ac:dyDescent="0.3">
      <c r="A584" s="130"/>
    </row>
    <row r="585" spans="1:1" ht="15" customHeight="1" x14ac:dyDescent="0.3">
      <c r="A585" s="130"/>
    </row>
    <row r="586" spans="1:1" ht="15" customHeight="1" x14ac:dyDescent="0.3">
      <c r="A586" s="130"/>
    </row>
    <row r="587" spans="1:1" ht="15" customHeight="1" x14ac:dyDescent="0.3">
      <c r="A587" s="130"/>
    </row>
    <row r="588" spans="1:1" ht="15" customHeight="1" x14ac:dyDescent="0.3">
      <c r="A588" s="130"/>
    </row>
    <row r="589" spans="1:1" ht="15" customHeight="1" x14ac:dyDescent="0.3">
      <c r="A589" s="130"/>
    </row>
    <row r="590" spans="1:1" ht="15" customHeight="1" x14ac:dyDescent="0.3">
      <c r="A590" s="130"/>
    </row>
    <row r="591" spans="1:1" ht="15" customHeight="1" x14ac:dyDescent="0.3">
      <c r="A591" s="130"/>
    </row>
    <row r="592" spans="1:1" ht="15" customHeight="1" x14ac:dyDescent="0.3">
      <c r="A592" s="130"/>
    </row>
    <row r="593" spans="1:1" ht="15" customHeight="1" x14ac:dyDescent="0.3">
      <c r="A593" s="130"/>
    </row>
    <row r="594" spans="1:1" ht="15" customHeight="1" x14ac:dyDescent="0.3">
      <c r="A594" s="130"/>
    </row>
    <row r="595" spans="1:1" ht="15" customHeight="1" x14ac:dyDescent="0.3">
      <c r="A595" s="130"/>
    </row>
    <row r="596" spans="1:1" ht="15" customHeight="1" x14ac:dyDescent="0.3">
      <c r="A596" s="130"/>
    </row>
    <row r="597" spans="1:1" ht="15" customHeight="1" x14ac:dyDescent="0.3">
      <c r="A597" s="130"/>
    </row>
    <row r="598" spans="1:1" ht="15" customHeight="1" x14ac:dyDescent="0.3">
      <c r="A598" s="130"/>
    </row>
    <row r="599" spans="1:1" ht="15" customHeight="1" x14ac:dyDescent="0.3">
      <c r="A599" s="130"/>
    </row>
    <row r="600" spans="1:1" ht="15" customHeight="1" x14ac:dyDescent="0.3">
      <c r="A600" s="130"/>
    </row>
    <row r="601" spans="1:1" ht="15" customHeight="1" x14ac:dyDescent="0.3">
      <c r="A601" s="130"/>
    </row>
    <row r="602" spans="1:1" ht="15" customHeight="1" x14ac:dyDescent="0.3">
      <c r="A602" s="130"/>
    </row>
    <row r="603" spans="1:1" ht="15" customHeight="1" x14ac:dyDescent="0.3">
      <c r="A603" s="130"/>
    </row>
    <row r="604" spans="1:1" ht="15" customHeight="1" x14ac:dyDescent="0.3">
      <c r="A604" s="130"/>
    </row>
    <row r="605" spans="1:1" ht="15" customHeight="1" x14ac:dyDescent="0.3">
      <c r="A605" s="130"/>
    </row>
    <row r="606" spans="1:1" ht="15" customHeight="1" x14ac:dyDescent="0.3">
      <c r="A606" s="130"/>
    </row>
    <row r="607" spans="1:1" ht="15" customHeight="1" x14ac:dyDescent="0.3">
      <c r="A607" s="130"/>
    </row>
    <row r="608" spans="1:1" ht="15" customHeight="1" x14ac:dyDescent="0.3">
      <c r="A608" s="130"/>
    </row>
    <row r="609" spans="1:1" ht="15" customHeight="1" x14ac:dyDescent="0.3">
      <c r="A609" s="130"/>
    </row>
    <row r="610" spans="1:1" ht="15" customHeight="1" x14ac:dyDescent="0.3">
      <c r="A610" s="130"/>
    </row>
    <row r="611" spans="1:1" ht="15" customHeight="1" x14ac:dyDescent="0.3">
      <c r="A611" s="130"/>
    </row>
    <row r="612" spans="1:1" ht="15" customHeight="1" x14ac:dyDescent="0.3">
      <c r="A612" s="130"/>
    </row>
    <row r="613" spans="1:1" ht="15" customHeight="1" x14ac:dyDescent="0.3">
      <c r="A613" s="130"/>
    </row>
    <row r="614" spans="1:1" ht="15" customHeight="1" x14ac:dyDescent="0.3">
      <c r="A614" s="130"/>
    </row>
    <row r="615" spans="1:1" ht="15" customHeight="1" x14ac:dyDescent="0.3">
      <c r="A615" s="130"/>
    </row>
    <row r="616" spans="1:1" ht="15" customHeight="1" x14ac:dyDescent="0.3">
      <c r="A616" s="130"/>
    </row>
    <row r="617" spans="1:1" ht="15" customHeight="1" x14ac:dyDescent="0.3">
      <c r="A617" s="130"/>
    </row>
    <row r="618" spans="1:1" ht="15" customHeight="1" x14ac:dyDescent="0.3">
      <c r="A618" s="130"/>
    </row>
    <row r="619" spans="1:1" ht="15" customHeight="1" x14ac:dyDescent="0.3">
      <c r="A619" s="130"/>
    </row>
    <row r="620" spans="1:1" ht="15" customHeight="1" x14ac:dyDescent="0.3">
      <c r="A620" s="130"/>
    </row>
    <row r="621" spans="1:1" ht="15" customHeight="1" x14ac:dyDescent="0.3">
      <c r="A621" s="130"/>
    </row>
    <row r="622" spans="1:1" ht="15" customHeight="1" x14ac:dyDescent="0.3">
      <c r="A622" s="130"/>
    </row>
    <row r="623" spans="1:1" ht="15" customHeight="1" x14ac:dyDescent="0.3">
      <c r="A623" s="130"/>
    </row>
    <row r="624" spans="1:1" ht="15" customHeight="1" x14ac:dyDescent="0.3">
      <c r="A624" s="130"/>
    </row>
    <row r="625" spans="1:1" ht="15" customHeight="1" x14ac:dyDescent="0.3">
      <c r="A625" s="130"/>
    </row>
    <row r="626" spans="1:1" ht="15" customHeight="1" x14ac:dyDescent="0.3">
      <c r="A626" s="130"/>
    </row>
    <row r="627" spans="1:1" ht="15" customHeight="1" x14ac:dyDescent="0.3">
      <c r="A627" s="130"/>
    </row>
    <row r="628" spans="1:1" ht="15" customHeight="1" x14ac:dyDescent="0.3">
      <c r="A628" s="130"/>
    </row>
    <row r="629" spans="1:1" ht="15" customHeight="1" x14ac:dyDescent="0.3">
      <c r="A629" s="130"/>
    </row>
    <row r="630" spans="1:1" ht="15" customHeight="1" x14ac:dyDescent="0.3">
      <c r="A630" s="130"/>
    </row>
    <row r="631" spans="1:1" ht="15" customHeight="1" x14ac:dyDescent="0.3">
      <c r="A631" s="130"/>
    </row>
    <row r="632" spans="1:1" ht="15" customHeight="1" x14ac:dyDescent="0.3">
      <c r="A632" s="130"/>
    </row>
    <row r="633" spans="1:1" ht="15" customHeight="1" x14ac:dyDescent="0.3">
      <c r="A633" s="130"/>
    </row>
    <row r="634" spans="1:1" ht="15" customHeight="1" x14ac:dyDescent="0.3">
      <c r="A634" s="130"/>
    </row>
    <row r="635" spans="1:1" ht="15" customHeight="1" x14ac:dyDescent="0.3">
      <c r="A635" s="130"/>
    </row>
    <row r="636" spans="1:1" ht="15" customHeight="1" x14ac:dyDescent="0.3">
      <c r="A636" s="130"/>
    </row>
    <row r="637" spans="1:1" ht="15" customHeight="1" x14ac:dyDescent="0.3">
      <c r="A637" s="130"/>
    </row>
    <row r="638" spans="1:1" ht="15" customHeight="1" x14ac:dyDescent="0.3">
      <c r="A638" s="130"/>
    </row>
    <row r="639" spans="1:1" ht="15" customHeight="1" x14ac:dyDescent="0.3">
      <c r="A639" s="130"/>
    </row>
    <row r="640" spans="1:1" ht="15" customHeight="1" x14ac:dyDescent="0.3">
      <c r="A640" s="130"/>
    </row>
    <row r="641" spans="1:1" ht="15" customHeight="1" x14ac:dyDescent="0.3">
      <c r="A641" s="130"/>
    </row>
    <row r="642" spans="1:1" ht="15" customHeight="1" x14ac:dyDescent="0.3">
      <c r="A642" s="130"/>
    </row>
    <row r="643" spans="1:1" ht="15" customHeight="1" x14ac:dyDescent="0.3">
      <c r="A643" s="130"/>
    </row>
    <row r="644" spans="1:1" ht="15" customHeight="1" x14ac:dyDescent="0.3">
      <c r="A644" s="130"/>
    </row>
    <row r="645" spans="1:1" ht="15" customHeight="1" x14ac:dyDescent="0.3">
      <c r="A645" s="130"/>
    </row>
    <row r="646" spans="1:1" ht="15" customHeight="1" x14ac:dyDescent="0.3">
      <c r="A646" s="130"/>
    </row>
    <row r="647" spans="1:1" ht="15" customHeight="1" x14ac:dyDescent="0.3">
      <c r="A647" s="130"/>
    </row>
    <row r="648" spans="1:1" ht="15" customHeight="1" x14ac:dyDescent="0.3">
      <c r="A648" s="130"/>
    </row>
    <row r="649" spans="1:1" ht="15" customHeight="1" x14ac:dyDescent="0.3">
      <c r="A649" s="130"/>
    </row>
    <row r="650" spans="1:1" ht="15" customHeight="1" x14ac:dyDescent="0.3">
      <c r="A650" s="130"/>
    </row>
    <row r="651" spans="1:1" ht="15" customHeight="1" x14ac:dyDescent="0.3">
      <c r="A651" s="130"/>
    </row>
    <row r="652" spans="1:1" ht="15" customHeight="1" x14ac:dyDescent="0.3">
      <c r="A652" s="130"/>
    </row>
    <row r="653" spans="1:1" ht="15" customHeight="1" x14ac:dyDescent="0.3">
      <c r="A653" s="130"/>
    </row>
    <row r="654" spans="1:1" ht="15" customHeight="1" x14ac:dyDescent="0.3">
      <c r="A654" s="130"/>
    </row>
    <row r="655" spans="1:1" ht="15" customHeight="1" x14ac:dyDescent="0.3">
      <c r="A655" s="130"/>
    </row>
    <row r="656" spans="1:1" ht="15" customHeight="1" x14ac:dyDescent="0.3">
      <c r="A656" s="130"/>
    </row>
    <row r="657" spans="1:1" ht="15" customHeight="1" x14ac:dyDescent="0.3">
      <c r="A657" s="130"/>
    </row>
    <row r="658" spans="1:1" ht="15" customHeight="1" x14ac:dyDescent="0.3">
      <c r="A658" s="130"/>
    </row>
    <row r="659" spans="1:1" ht="15" customHeight="1" x14ac:dyDescent="0.3">
      <c r="A659" s="130"/>
    </row>
    <row r="660" spans="1:1" ht="15" customHeight="1" x14ac:dyDescent="0.3">
      <c r="A660" s="130"/>
    </row>
    <row r="661" spans="1:1" ht="15" customHeight="1" x14ac:dyDescent="0.3">
      <c r="A661" s="130"/>
    </row>
    <row r="662" spans="1:1" ht="15" customHeight="1" x14ac:dyDescent="0.3">
      <c r="A662" s="130"/>
    </row>
    <row r="663" spans="1:1" ht="15" customHeight="1" x14ac:dyDescent="0.3">
      <c r="A663" s="130"/>
    </row>
    <row r="664" spans="1:1" ht="15" customHeight="1" x14ac:dyDescent="0.3">
      <c r="A664" s="130"/>
    </row>
    <row r="665" spans="1:1" ht="15" customHeight="1" x14ac:dyDescent="0.3">
      <c r="A665" s="130"/>
    </row>
    <row r="666" spans="1:1" ht="15" customHeight="1" x14ac:dyDescent="0.3">
      <c r="A666" s="130"/>
    </row>
    <row r="667" spans="1:1" ht="15" customHeight="1" x14ac:dyDescent="0.3">
      <c r="A667" s="130"/>
    </row>
    <row r="668" spans="1:1" ht="15" customHeight="1" x14ac:dyDescent="0.3">
      <c r="A668" s="130"/>
    </row>
    <row r="669" spans="1:1" ht="15" customHeight="1" x14ac:dyDescent="0.3">
      <c r="A669" s="130"/>
    </row>
    <row r="670" spans="1:1" ht="15" customHeight="1" x14ac:dyDescent="0.3">
      <c r="A670" s="130"/>
    </row>
    <row r="671" spans="1:1" ht="15" customHeight="1" x14ac:dyDescent="0.3">
      <c r="A671" s="130"/>
    </row>
    <row r="672" spans="1:1" ht="15" customHeight="1" x14ac:dyDescent="0.3">
      <c r="A672" s="130"/>
    </row>
    <row r="673" spans="1:1" ht="15" customHeight="1" x14ac:dyDescent="0.3">
      <c r="A673" s="130"/>
    </row>
    <row r="674" spans="1:1" ht="15" customHeight="1" x14ac:dyDescent="0.3">
      <c r="A674" s="130"/>
    </row>
    <row r="675" spans="1:1" ht="15" customHeight="1" x14ac:dyDescent="0.3">
      <c r="A675" s="130"/>
    </row>
    <row r="676" spans="1:1" ht="15" customHeight="1" x14ac:dyDescent="0.3">
      <c r="A676" s="130"/>
    </row>
    <row r="677" spans="1:1" ht="15" customHeight="1" x14ac:dyDescent="0.3">
      <c r="A677" s="130"/>
    </row>
    <row r="678" spans="1:1" ht="15" customHeight="1" x14ac:dyDescent="0.3">
      <c r="A678" s="130"/>
    </row>
    <row r="679" spans="1:1" ht="15" customHeight="1" x14ac:dyDescent="0.3">
      <c r="A679" s="130"/>
    </row>
    <row r="680" spans="1:1" ht="15" customHeight="1" x14ac:dyDescent="0.3">
      <c r="A680" s="130"/>
    </row>
    <row r="681" spans="1:1" ht="15" customHeight="1" x14ac:dyDescent="0.3">
      <c r="A681" s="130"/>
    </row>
    <row r="682" spans="1:1" ht="15" customHeight="1" x14ac:dyDescent="0.3">
      <c r="A682" s="130"/>
    </row>
    <row r="683" spans="1:1" ht="15" customHeight="1" x14ac:dyDescent="0.3">
      <c r="A683" s="130"/>
    </row>
    <row r="684" spans="1:1" ht="15" customHeight="1" x14ac:dyDescent="0.3">
      <c r="A684" s="130"/>
    </row>
    <row r="685" spans="1:1" ht="15" customHeight="1" x14ac:dyDescent="0.3">
      <c r="A685" s="130"/>
    </row>
    <row r="686" spans="1:1" ht="15" customHeight="1" x14ac:dyDescent="0.3">
      <c r="A686" s="130"/>
    </row>
    <row r="687" spans="1:1" ht="15" customHeight="1" x14ac:dyDescent="0.3">
      <c r="A687" s="130"/>
    </row>
    <row r="688" spans="1:1" ht="15" customHeight="1" x14ac:dyDescent="0.3">
      <c r="A688" s="130"/>
    </row>
    <row r="689" spans="1:1" ht="15" customHeight="1" x14ac:dyDescent="0.3">
      <c r="A689" s="130"/>
    </row>
    <row r="690" spans="1:1" ht="15" customHeight="1" x14ac:dyDescent="0.3">
      <c r="A690" s="130"/>
    </row>
    <row r="691" spans="1:1" ht="15" customHeight="1" x14ac:dyDescent="0.3">
      <c r="A691" s="130"/>
    </row>
    <row r="692" spans="1:1" ht="15" customHeight="1" x14ac:dyDescent="0.3">
      <c r="A692" s="130"/>
    </row>
    <row r="693" spans="1:1" ht="15" customHeight="1" x14ac:dyDescent="0.3">
      <c r="A693" s="130"/>
    </row>
    <row r="694" spans="1:1" ht="15" customHeight="1" x14ac:dyDescent="0.3">
      <c r="A694" s="130"/>
    </row>
    <row r="695" spans="1:1" ht="15" customHeight="1" x14ac:dyDescent="0.3">
      <c r="A695" s="130"/>
    </row>
    <row r="696" spans="1:1" ht="15" customHeight="1" x14ac:dyDescent="0.3">
      <c r="A696" s="130"/>
    </row>
    <row r="697" spans="1:1" ht="15" customHeight="1" x14ac:dyDescent="0.3">
      <c r="A697" s="130"/>
    </row>
    <row r="698" spans="1:1" ht="15" customHeight="1" x14ac:dyDescent="0.3">
      <c r="A698" s="130"/>
    </row>
    <row r="699" spans="1:1" ht="15" customHeight="1" x14ac:dyDescent="0.3">
      <c r="A699" s="130"/>
    </row>
    <row r="700" spans="1:1" ht="15" customHeight="1" x14ac:dyDescent="0.3">
      <c r="A700" s="130"/>
    </row>
    <row r="701" spans="1:1" ht="15" customHeight="1" x14ac:dyDescent="0.3">
      <c r="A701" s="130"/>
    </row>
    <row r="702" spans="1:1" ht="15" customHeight="1" x14ac:dyDescent="0.3">
      <c r="A702" s="130"/>
    </row>
    <row r="703" spans="1:1" ht="15" customHeight="1" x14ac:dyDescent="0.3">
      <c r="A703" s="130"/>
    </row>
    <row r="704" spans="1:1" ht="15" customHeight="1" x14ac:dyDescent="0.3">
      <c r="A704" s="130"/>
    </row>
    <row r="705" spans="1:1" ht="15" customHeight="1" x14ac:dyDescent="0.3">
      <c r="A705" s="130"/>
    </row>
    <row r="706" spans="1:1" ht="15" customHeight="1" x14ac:dyDescent="0.3">
      <c r="A706" s="130"/>
    </row>
    <row r="707" spans="1:1" ht="15" customHeight="1" x14ac:dyDescent="0.3">
      <c r="A707" s="130"/>
    </row>
    <row r="708" spans="1:1" ht="15" customHeight="1" x14ac:dyDescent="0.3">
      <c r="A708" s="130"/>
    </row>
    <row r="709" spans="1:1" ht="15" customHeight="1" x14ac:dyDescent="0.3">
      <c r="A709" s="130"/>
    </row>
    <row r="710" spans="1:1" ht="15" customHeight="1" x14ac:dyDescent="0.3">
      <c r="A710" s="130"/>
    </row>
    <row r="711" spans="1:1" ht="15" customHeight="1" x14ac:dyDescent="0.3">
      <c r="A711" s="130"/>
    </row>
    <row r="712" spans="1:1" ht="15" customHeight="1" x14ac:dyDescent="0.3">
      <c r="A712" s="130"/>
    </row>
    <row r="713" spans="1:1" ht="15" customHeight="1" x14ac:dyDescent="0.3">
      <c r="A713" s="130"/>
    </row>
    <row r="714" spans="1:1" ht="15" customHeight="1" x14ac:dyDescent="0.3">
      <c r="A714" s="130"/>
    </row>
    <row r="715" spans="1:1" ht="15" customHeight="1" x14ac:dyDescent="0.3">
      <c r="A715" s="130"/>
    </row>
    <row r="716" spans="1:1" ht="15" customHeight="1" x14ac:dyDescent="0.3">
      <c r="A716" s="130"/>
    </row>
    <row r="717" spans="1:1" ht="15" customHeight="1" x14ac:dyDescent="0.3">
      <c r="A717" s="130"/>
    </row>
    <row r="718" spans="1:1" ht="15" customHeight="1" x14ac:dyDescent="0.3">
      <c r="A718" s="130"/>
    </row>
    <row r="719" spans="1:1" ht="15" customHeight="1" x14ac:dyDescent="0.3">
      <c r="A719" s="130"/>
    </row>
    <row r="720" spans="1:1" ht="15" customHeight="1" x14ac:dyDescent="0.3">
      <c r="A720" s="130"/>
    </row>
    <row r="721" spans="1:1" ht="15" customHeight="1" x14ac:dyDescent="0.3">
      <c r="A721" s="130"/>
    </row>
    <row r="722" spans="1:1" ht="15" customHeight="1" x14ac:dyDescent="0.3">
      <c r="A722" s="130"/>
    </row>
    <row r="723" spans="1:1" ht="15" customHeight="1" x14ac:dyDescent="0.3">
      <c r="A723" s="130"/>
    </row>
    <row r="724" spans="1:1" ht="15" customHeight="1" x14ac:dyDescent="0.3">
      <c r="A724" s="130"/>
    </row>
    <row r="725" spans="1:1" ht="15" customHeight="1" x14ac:dyDescent="0.3">
      <c r="A725" s="130"/>
    </row>
    <row r="726" spans="1:1" ht="15" customHeight="1" x14ac:dyDescent="0.3">
      <c r="A726" s="130"/>
    </row>
    <row r="727" spans="1:1" ht="15" customHeight="1" x14ac:dyDescent="0.3">
      <c r="A727" s="130"/>
    </row>
    <row r="728" spans="1:1" ht="15" customHeight="1" x14ac:dyDescent="0.3">
      <c r="A728" s="130"/>
    </row>
    <row r="729" spans="1:1" ht="15" customHeight="1" x14ac:dyDescent="0.3">
      <c r="A729" s="130"/>
    </row>
    <row r="730" spans="1:1" ht="15" customHeight="1" x14ac:dyDescent="0.3">
      <c r="A730" s="130"/>
    </row>
    <row r="731" spans="1:1" ht="15" customHeight="1" x14ac:dyDescent="0.3">
      <c r="A731" s="130"/>
    </row>
    <row r="732" spans="1:1" ht="15" customHeight="1" x14ac:dyDescent="0.3">
      <c r="A732" s="130"/>
    </row>
    <row r="733" spans="1:1" ht="15" customHeight="1" x14ac:dyDescent="0.3">
      <c r="A733" s="130"/>
    </row>
    <row r="734" spans="1:1" ht="15" customHeight="1" x14ac:dyDescent="0.3">
      <c r="A734" s="130"/>
    </row>
    <row r="735" spans="1:1" ht="15" customHeight="1" x14ac:dyDescent="0.3">
      <c r="A735" s="130"/>
    </row>
    <row r="736" spans="1:1" ht="15" customHeight="1" x14ac:dyDescent="0.3">
      <c r="A736" s="130"/>
    </row>
    <row r="737" spans="1:1" ht="15" customHeight="1" x14ac:dyDescent="0.3">
      <c r="A737" s="130"/>
    </row>
    <row r="738" spans="1:1" ht="15" customHeight="1" x14ac:dyDescent="0.3">
      <c r="A738" s="130"/>
    </row>
    <row r="739" spans="1:1" ht="15" customHeight="1" x14ac:dyDescent="0.3">
      <c r="A739" s="130"/>
    </row>
    <row r="740" spans="1:1" ht="15" customHeight="1" x14ac:dyDescent="0.3">
      <c r="A740" s="130"/>
    </row>
    <row r="741" spans="1:1" ht="15" customHeight="1" x14ac:dyDescent="0.3">
      <c r="A741" s="130"/>
    </row>
    <row r="742" spans="1:1" ht="15" customHeight="1" x14ac:dyDescent="0.3">
      <c r="A742" s="130"/>
    </row>
    <row r="743" spans="1:1" ht="15" customHeight="1" x14ac:dyDescent="0.3">
      <c r="A743" s="130"/>
    </row>
    <row r="744" spans="1:1" ht="15" customHeight="1" x14ac:dyDescent="0.3">
      <c r="A744" s="130"/>
    </row>
    <row r="745" spans="1:1" ht="15" customHeight="1" x14ac:dyDescent="0.3">
      <c r="A745" s="130"/>
    </row>
    <row r="746" spans="1:1" ht="15" customHeight="1" x14ac:dyDescent="0.3">
      <c r="A746" s="130"/>
    </row>
    <row r="747" spans="1:1" ht="15" customHeight="1" x14ac:dyDescent="0.3">
      <c r="A747" s="130"/>
    </row>
    <row r="748" spans="1:1" ht="15" customHeight="1" x14ac:dyDescent="0.3">
      <c r="A748" s="130"/>
    </row>
    <row r="749" spans="1:1" ht="15" customHeight="1" x14ac:dyDescent="0.3">
      <c r="A749" s="130"/>
    </row>
    <row r="750" spans="1:1" ht="15" customHeight="1" x14ac:dyDescent="0.3">
      <c r="A750" s="130"/>
    </row>
    <row r="751" spans="1:1" ht="15" customHeight="1" x14ac:dyDescent="0.3">
      <c r="A751" s="130"/>
    </row>
    <row r="752" spans="1:1" ht="15" customHeight="1" x14ac:dyDescent="0.3">
      <c r="A752" s="130"/>
    </row>
    <row r="753" spans="1:1" ht="15" customHeight="1" x14ac:dyDescent="0.3">
      <c r="A753" s="130"/>
    </row>
    <row r="754" spans="1:1" ht="15" customHeight="1" x14ac:dyDescent="0.3">
      <c r="A754" s="130"/>
    </row>
    <row r="755" spans="1:1" ht="15" customHeight="1" x14ac:dyDescent="0.3">
      <c r="A755" s="130"/>
    </row>
    <row r="756" spans="1:1" ht="15" customHeight="1" x14ac:dyDescent="0.3">
      <c r="A756" s="130"/>
    </row>
    <row r="757" spans="1:1" ht="15" customHeight="1" x14ac:dyDescent="0.3">
      <c r="A757" s="130"/>
    </row>
    <row r="758" spans="1:1" ht="15" customHeight="1" x14ac:dyDescent="0.3">
      <c r="A758" s="130"/>
    </row>
    <row r="759" spans="1:1" ht="15" customHeight="1" x14ac:dyDescent="0.3">
      <c r="A759" s="130"/>
    </row>
    <row r="760" spans="1:1" ht="15" customHeight="1" x14ac:dyDescent="0.3">
      <c r="A760" s="130"/>
    </row>
    <row r="761" spans="1:1" ht="15" customHeight="1" x14ac:dyDescent="0.3">
      <c r="A761" s="130"/>
    </row>
    <row r="762" spans="1:1" ht="15" customHeight="1" x14ac:dyDescent="0.3">
      <c r="A762" s="130"/>
    </row>
    <row r="763" spans="1:1" ht="15" customHeight="1" x14ac:dyDescent="0.3">
      <c r="A763" s="130"/>
    </row>
    <row r="764" spans="1:1" ht="15" customHeight="1" x14ac:dyDescent="0.3">
      <c r="A764" s="130"/>
    </row>
    <row r="765" spans="1:1" ht="15" customHeight="1" x14ac:dyDescent="0.3">
      <c r="A765" s="130"/>
    </row>
    <row r="766" spans="1:1" ht="15" customHeight="1" x14ac:dyDescent="0.3">
      <c r="A766" s="130"/>
    </row>
    <row r="767" spans="1:1" ht="15" customHeight="1" x14ac:dyDescent="0.3">
      <c r="A767" s="130"/>
    </row>
    <row r="768" spans="1:1" ht="15" customHeight="1" x14ac:dyDescent="0.3">
      <c r="A768" s="130"/>
    </row>
    <row r="769" spans="1:1" ht="15" customHeight="1" x14ac:dyDescent="0.3">
      <c r="A769" s="130"/>
    </row>
    <row r="770" spans="1:1" ht="15" customHeight="1" x14ac:dyDescent="0.3">
      <c r="A770" s="130"/>
    </row>
    <row r="771" spans="1:1" ht="15" customHeight="1" x14ac:dyDescent="0.3">
      <c r="A771" s="130"/>
    </row>
    <row r="772" spans="1:1" ht="15" customHeight="1" x14ac:dyDescent="0.3">
      <c r="A772" s="130"/>
    </row>
    <row r="773" spans="1:1" ht="15" customHeight="1" x14ac:dyDescent="0.3">
      <c r="A773" s="130"/>
    </row>
    <row r="774" spans="1:1" ht="15" customHeight="1" x14ac:dyDescent="0.3">
      <c r="A774" s="130"/>
    </row>
    <row r="775" spans="1:1" ht="15" customHeight="1" x14ac:dyDescent="0.3">
      <c r="A775" s="130"/>
    </row>
    <row r="776" spans="1:1" ht="15" customHeight="1" x14ac:dyDescent="0.3">
      <c r="A776" s="130"/>
    </row>
    <row r="777" spans="1:1" ht="15" customHeight="1" x14ac:dyDescent="0.3">
      <c r="A777" s="130"/>
    </row>
    <row r="778" spans="1:1" ht="15" customHeight="1" x14ac:dyDescent="0.3">
      <c r="A778" s="130"/>
    </row>
    <row r="779" spans="1:1" ht="15" customHeight="1" x14ac:dyDescent="0.3">
      <c r="A779" s="130"/>
    </row>
    <row r="780" spans="1:1" ht="15" customHeight="1" x14ac:dyDescent="0.3">
      <c r="A780" s="130"/>
    </row>
    <row r="781" spans="1:1" ht="15" customHeight="1" x14ac:dyDescent="0.3">
      <c r="A781" s="130"/>
    </row>
    <row r="782" spans="1:1" ht="15" customHeight="1" x14ac:dyDescent="0.3">
      <c r="A782" s="130"/>
    </row>
    <row r="783" spans="1:1" ht="15" customHeight="1" x14ac:dyDescent="0.3">
      <c r="A783" s="130"/>
    </row>
    <row r="784" spans="1:1" ht="15" customHeight="1" x14ac:dyDescent="0.3">
      <c r="A784" s="130"/>
    </row>
    <row r="785" spans="1:1" ht="15" customHeight="1" x14ac:dyDescent="0.3">
      <c r="A785" s="130"/>
    </row>
    <row r="786" spans="1:1" ht="15" customHeight="1" x14ac:dyDescent="0.3">
      <c r="A786" s="130"/>
    </row>
    <row r="787" spans="1:1" ht="15" customHeight="1" x14ac:dyDescent="0.3">
      <c r="A787" s="130"/>
    </row>
    <row r="788" spans="1:1" ht="15" customHeight="1" x14ac:dyDescent="0.3">
      <c r="A788" s="130"/>
    </row>
    <row r="789" spans="1:1" ht="15" customHeight="1" x14ac:dyDescent="0.3">
      <c r="A789" s="130"/>
    </row>
    <row r="790" spans="1:1" ht="15" customHeight="1" x14ac:dyDescent="0.3">
      <c r="A790" s="130"/>
    </row>
    <row r="791" spans="1:1" ht="15" customHeight="1" x14ac:dyDescent="0.3">
      <c r="A791" s="130"/>
    </row>
    <row r="792" spans="1:1" ht="15" customHeight="1" x14ac:dyDescent="0.3">
      <c r="A792" s="130"/>
    </row>
    <row r="793" spans="1:1" ht="15" customHeight="1" x14ac:dyDescent="0.3">
      <c r="A793" s="130"/>
    </row>
    <row r="794" spans="1:1" ht="15" customHeight="1" x14ac:dyDescent="0.3">
      <c r="A794" s="130"/>
    </row>
    <row r="795" spans="1:1" ht="15" customHeight="1" x14ac:dyDescent="0.3">
      <c r="A795" s="130"/>
    </row>
    <row r="796" spans="1:1" ht="13" x14ac:dyDescent="0.3">
      <c r="A796" s="130"/>
    </row>
    <row r="797" spans="1:1" ht="13" x14ac:dyDescent="0.3">
      <c r="A797" s="130"/>
    </row>
    <row r="798" spans="1:1" ht="13" x14ac:dyDescent="0.3">
      <c r="A798" s="130"/>
    </row>
    <row r="799" spans="1:1" ht="13" x14ac:dyDescent="0.3">
      <c r="A799" s="130"/>
    </row>
    <row r="800" spans="1:1" ht="13" x14ac:dyDescent="0.3">
      <c r="A800" s="130"/>
    </row>
    <row r="801" spans="1:1" ht="13" x14ac:dyDescent="0.3">
      <c r="A801" s="130"/>
    </row>
    <row r="802" spans="1:1" ht="13" x14ac:dyDescent="0.3">
      <c r="A802" s="130"/>
    </row>
    <row r="803" spans="1:1" ht="13" x14ac:dyDescent="0.3">
      <c r="A803" s="130"/>
    </row>
    <row r="804" spans="1:1" ht="13" x14ac:dyDescent="0.3">
      <c r="A804" s="130"/>
    </row>
    <row r="805" spans="1:1" ht="13" x14ac:dyDescent="0.3">
      <c r="A805" s="130"/>
    </row>
    <row r="806" spans="1:1" ht="13" x14ac:dyDescent="0.3">
      <c r="A806" s="130"/>
    </row>
    <row r="807" spans="1:1" ht="13" x14ac:dyDescent="0.3">
      <c r="A807" s="130"/>
    </row>
    <row r="808" spans="1:1" ht="13" x14ac:dyDescent="0.3">
      <c r="A808" s="130"/>
    </row>
    <row r="809" spans="1:1" ht="13" x14ac:dyDescent="0.3">
      <c r="A809" s="130"/>
    </row>
    <row r="810" spans="1:1" ht="13" x14ac:dyDescent="0.3">
      <c r="A810" s="130"/>
    </row>
    <row r="811" spans="1:1" ht="13" x14ac:dyDescent="0.3">
      <c r="A811" s="130"/>
    </row>
    <row r="812" spans="1:1" ht="13" x14ac:dyDescent="0.3">
      <c r="A812" s="130"/>
    </row>
    <row r="813" spans="1:1" ht="13" x14ac:dyDescent="0.3">
      <c r="A813" s="130"/>
    </row>
    <row r="814" spans="1:1" ht="13" x14ac:dyDescent="0.3">
      <c r="A814" s="130"/>
    </row>
    <row r="815" spans="1:1" ht="13" x14ac:dyDescent="0.3">
      <c r="A815" s="130"/>
    </row>
    <row r="816" spans="1:1" ht="13" x14ac:dyDescent="0.3">
      <c r="A816" s="130"/>
    </row>
    <row r="817" spans="1:1" ht="13" x14ac:dyDescent="0.3">
      <c r="A817" s="130"/>
    </row>
    <row r="818" spans="1:1" ht="13" x14ac:dyDescent="0.3">
      <c r="A818" s="130"/>
    </row>
    <row r="819" spans="1:1" ht="13" x14ac:dyDescent="0.3">
      <c r="A819" s="130"/>
    </row>
    <row r="820" spans="1:1" ht="13" x14ac:dyDescent="0.3">
      <c r="A820" s="130"/>
    </row>
    <row r="821" spans="1:1" ht="13" x14ac:dyDescent="0.3">
      <c r="A821" s="130"/>
    </row>
    <row r="822" spans="1:1" ht="13" x14ac:dyDescent="0.3">
      <c r="A822" s="130"/>
    </row>
    <row r="823" spans="1:1" ht="13" x14ac:dyDescent="0.3">
      <c r="A823" s="130"/>
    </row>
    <row r="824" spans="1:1" ht="13" x14ac:dyDescent="0.3">
      <c r="A824" s="130"/>
    </row>
    <row r="825" spans="1:1" ht="13" x14ac:dyDescent="0.3">
      <c r="A825" s="130"/>
    </row>
    <row r="826" spans="1:1" ht="13" x14ac:dyDescent="0.3">
      <c r="A826" s="130"/>
    </row>
    <row r="827" spans="1:1" ht="13" x14ac:dyDescent="0.3">
      <c r="A827" s="130"/>
    </row>
    <row r="828" spans="1:1" ht="13" x14ac:dyDescent="0.3">
      <c r="A828" s="130"/>
    </row>
    <row r="829" spans="1:1" ht="13" x14ac:dyDescent="0.3">
      <c r="A829" s="130"/>
    </row>
    <row r="830" spans="1:1" ht="13" x14ac:dyDescent="0.3">
      <c r="A830" s="130"/>
    </row>
    <row r="831" spans="1:1" ht="13" x14ac:dyDescent="0.3">
      <c r="A831" s="130"/>
    </row>
    <row r="832" spans="1:1" ht="13" x14ac:dyDescent="0.3">
      <c r="A832" s="130"/>
    </row>
    <row r="833" spans="1:1" ht="13" x14ac:dyDescent="0.3">
      <c r="A833" s="130"/>
    </row>
    <row r="834" spans="1:1" ht="13" x14ac:dyDescent="0.3">
      <c r="A834" s="130"/>
    </row>
    <row r="835" spans="1:1" ht="13" x14ac:dyDescent="0.3">
      <c r="A835" s="130"/>
    </row>
    <row r="836" spans="1:1" ht="13" x14ac:dyDescent="0.3">
      <c r="A836" s="130"/>
    </row>
    <row r="837" spans="1:1" ht="13" x14ac:dyDescent="0.3">
      <c r="A837" s="130"/>
    </row>
    <row r="838" spans="1:1" ht="13" x14ac:dyDescent="0.3">
      <c r="A838" s="130"/>
    </row>
    <row r="839" spans="1:1" ht="13" x14ac:dyDescent="0.3">
      <c r="A839" s="130"/>
    </row>
    <row r="840" spans="1:1" ht="13" x14ac:dyDescent="0.3">
      <c r="A840" s="130"/>
    </row>
    <row r="841" spans="1:1" ht="13" x14ac:dyDescent="0.3">
      <c r="A841" s="130"/>
    </row>
    <row r="842" spans="1:1" ht="13" x14ac:dyDescent="0.3">
      <c r="A842" s="130"/>
    </row>
    <row r="843" spans="1:1" ht="13" x14ac:dyDescent="0.3">
      <c r="A843" s="130"/>
    </row>
    <row r="844" spans="1:1" ht="13" x14ac:dyDescent="0.3">
      <c r="A844" s="130"/>
    </row>
    <row r="845" spans="1:1" ht="13" x14ac:dyDescent="0.3">
      <c r="A845" s="130"/>
    </row>
    <row r="846" spans="1:1" ht="13" x14ac:dyDescent="0.3">
      <c r="A846" s="130"/>
    </row>
    <row r="847" spans="1:1" ht="13" x14ac:dyDescent="0.3">
      <c r="A847" s="130"/>
    </row>
    <row r="848" spans="1:1" ht="13" x14ac:dyDescent="0.3">
      <c r="A848" s="130"/>
    </row>
    <row r="849" spans="1:1" ht="13" x14ac:dyDescent="0.3">
      <c r="A849" s="130"/>
    </row>
    <row r="850" spans="1:1" ht="13" x14ac:dyDescent="0.3">
      <c r="A850" s="130"/>
    </row>
    <row r="851" spans="1:1" ht="13" x14ac:dyDescent="0.3">
      <c r="A851" s="130"/>
    </row>
    <row r="852" spans="1:1" ht="13" x14ac:dyDescent="0.3">
      <c r="A852" s="130"/>
    </row>
    <row r="853" spans="1:1" ht="13" x14ac:dyDescent="0.3">
      <c r="A853" s="130"/>
    </row>
    <row r="854" spans="1:1" ht="13" x14ac:dyDescent="0.3">
      <c r="A854" s="130"/>
    </row>
    <row r="855" spans="1:1" ht="13" x14ac:dyDescent="0.3">
      <c r="A855" s="130"/>
    </row>
    <row r="856" spans="1:1" ht="13" x14ac:dyDescent="0.3">
      <c r="A856" s="130"/>
    </row>
    <row r="857" spans="1:1" ht="13" x14ac:dyDescent="0.3">
      <c r="A857" s="130"/>
    </row>
    <row r="858" spans="1:1" ht="13" x14ac:dyDescent="0.3">
      <c r="A858" s="130"/>
    </row>
    <row r="859" spans="1:1" ht="13" x14ac:dyDescent="0.3">
      <c r="A859" s="130"/>
    </row>
    <row r="860" spans="1:1" ht="13" x14ac:dyDescent="0.3">
      <c r="A860" s="130"/>
    </row>
    <row r="861" spans="1:1" ht="13" x14ac:dyDescent="0.3">
      <c r="A861" s="130"/>
    </row>
    <row r="862" spans="1:1" ht="13" x14ac:dyDescent="0.3">
      <c r="A862" s="130"/>
    </row>
    <row r="863" spans="1:1" ht="13" x14ac:dyDescent="0.3">
      <c r="A863" s="130"/>
    </row>
    <row r="864" spans="1:1" ht="13" x14ac:dyDescent="0.3">
      <c r="A864" s="130"/>
    </row>
    <row r="865" spans="1:1" ht="13" x14ac:dyDescent="0.3">
      <c r="A865" s="130"/>
    </row>
    <row r="866" spans="1:1" ht="13" x14ac:dyDescent="0.3">
      <c r="A866" s="130"/>
    </row>
    <row r="867" spans="1:1" ht="13" x14ac:dyDescent="0.3">
      <c r="A867" s="130"/>
    </row>
    <row r="868" spans="1:1" ht="13" x14ac:dyDescent="0.3">
      <c r="A868" s="130"/>
    </row>
    <row r="869" spans="1:1" ht="13" x14ac:dyDescent="0.3">
      <c r="A869" s="130"/>
    </row>
    <row r="870" spans="1:1" ht="13" x14ac:dyDescent="0.3">
      <c r="A870" s="130"/>
    </row>
    <row r="871" spans="1:1" ht="13" x14ac:dyDescent="0.3">
      <c r="A871" s="130"/>
    </row>
    <row r="872" spans="1:1" ht="13" x14ac:dyDescent="0.3">
      <c r="A872" s="130"/>
    </row>
    <row r="873" spans="1:1" ht="13" x14ac:dyDescent="0.3">
      <c r="A873" s="130"/>
    </row>
    <row r="874" spans="1:1" ht="13" x14ac:dyDescent="0.3">
      <c r="A874" s="130"/>
    </row>
    <row r="875" spans="1:1" ht="13" x14ac:dyDescent="0.3">
      <c r="A875" s="130"/>
    </row>
    <row r="876" spans="1:1" ht="13" x14ac:dyDescent="0.3">
      <c r="A876" s="130"/>
    </row>
    <row r="877" spans="1:1" ht="13" x14ac:dyDescent="0.3">
      <c r="A877" s="130"/>
    </row>
    <row r="878" spans="1:1" ht="13" x14ac:dyDescent="0.3">
      <c r="A878" s="130"/>
    </row>
    <row r="879" spans="1:1" ht="13" x14ac:dyDescent="0.3">
      <c r="A879" s="130"/>
    </row>
    <row r="880" spans="1:1" ht="13" x14ac:dyDescent="0.3">
      <c r="A880" s="130"/>
    </row>
    <row r="881" spans="1:1" ht="13" x14ac:dyDescent="0.3">
      <c r="A881" s="130"/>
    </row>
    <row r="882" spans="1:1" ht="13" x14ac:dyDescent="0.3">
      <c r="A882" s="130"/>
    </row>
    <row r="883" spans="1:1" ht="13" x14ac:dyDescent="0.3">
      <c r="A883" s="130"/>
    </row>
    <row r="884" spans="1:1" ht="13" x14ac:dyDescent="0.3">
      <c r="A884" s="130"/>
    </row>
    <row r="885" spans="1:1" ht="13" x14ac:dyDescent="0.3">
      <c r="A885" s="130"/>
    </row>
    <row r="886" spans="1:1" ht="13" x14ac:dyDescent="0.3">
      <c r="A886" s="130"/>
    </row>
    <row r="887" spans="1:1" ht="13" x14ac:dyDescent="0.3">
      <c r="A887" s="130"/>
    </row>
    <row r="888" spans="1:1" ht="13" x14ac:dyDescent="0.3">
      <c r="A888" s="130"/>
    </row>
    <row r="889" spans="1:1" ht="13" x14ac:dyDescent="0.3">
      <c r="A889" s="130"/>
    </row>
    <row r="890" spans="1:1" ht="13" x14ac:dyDescent="0.3">
      <c r="A890" s="130"/>
    </row>
    <row r="891" spans="1:1" ht="13" x14ac:dyDescent="0.3">
      <c r="A891" s="130"/>
    </row>
    <row r="892" spans="1:1" ht="13" x14ac:dyDescent="0.3">
      <c r="A892" s="130"/>
    </row>
    <row r="893" spans="1:1" ht="13" x14ac:dyDescent="0.3">
      <c r="A893" s="130"/>
    </row>
    <row r="894" spans="1:1" ht="13" x14ac:dyDescent="0.3">
      <c r="A894" s="130"/>
    </row>
    <row r="895" spans="1:1" ht="13" x14ac:dyDescent="0.3">
      <c r="A895" s="130"/>
    </row>
    <row r="896" spans="1:1" ht="13" x14ac:dyDescent="0.3">
      <c r="A896" s="130"/>
    </row>
    <row r="897" spans="1:1" ht="13" x14ac:dyDescent="0.3">
      <c r="A897" s="130"/>
    </row>
    <row r="898" spans="1:1" ht="13" x14ac:dyDescent="0.3">
      <c r="A898" s="130"/>
    </row>
    <row r="899" spans="1:1" ht="13" x14ac:dyDescent="0.3">
      <c r="A899" s="130"/>
    </row>
    <row r="900" spans="1:1" ht="13" x14ac:dyDescent="0.3">
      <c r="A900" s="130"/>
    </row>
    <row r="901" spans="1:1" ht="13" x14ac:dyDescent="0.3">
      <c r="A901" s="130"/>
    </row>
    <row r="902" spans="1:1" ht="13" x14ac:dyDescent="0.3">
      <c r="A902" s="130"/>
    </row>
    <row r="903" spans="1:1" ht="13" x14ac:dyDescent="0.3">
      <c r="A903" s="130"/>
    </row>
    <row r="904" spans="1:1" ht="13" x14ac:dyDescent="0.3">
      <c r="A904" s="130"/>
    </row>
    <row r="905" spans="1:1" ht="13" x14ac:dyDescent="0.3">
      <c r="A905" s="130"/>
    </row>
    <row r="906" spans="1:1" ht="13" x14ac:dyDescent="0.3">
      <c r="A906" s="130"/>
    </row>
    <row r="907" spans="1:1" ht="13" x14ac:dyDescent="0.3">
      <c r="A907" s="130"/>
    </row>
    <row r="908" spans="1:1" ht="13" x14ac:dyDescent="0.3">
      <c r="A908" s="130"/>
    </row>
    <row r="909" spans="1:1" ht="13" x14ac:dyDescent="0.3">
      <c r="A909" s="130"/>
    </row>
    <row r="910" spans="1:1" ht="13" x14ac:dyDescent="0.3">
      <c r="A910" s="130"/>
    </row>
    <row r="911" spans="1:1" ht="13" x14ac:dyDescent="0.3">
      <c r="A911" s="130"/>
    </row>
    <row r="912" spans="1:1" ht="13" x14ac:dyDescent="0.3">
      <c r="A912" s="130"/>
    </row>
    <row r="913" spans="1:1" ht="13" x14ac:dyDescent="0.3">
      <c r="A913" s="130"/>
    </row>
    <row r="914" spans="1:1" ht="13" x14ac:dyDescent="0.3">
      <c r="A914" s="130"/>
    </row>
    <row r="915" spans="1:1" ht="13" x14ac:dyDescent="0.3">
      <c r="A915" s="130"/>
    </row>
    <row r="916" spans="1:1" ht="13" x14ac:dyDescent="0.3">
      <c r="A916" s="130"/>
    </row>
    <row r="917" spans="1:1" ht="13" x14ac:dyDescent="0.3">
      <c r="A917" s="130"/>
    </row>
    <row r="918" spans="1:1" ht="13" x14ac:dyDescent="0.3">
      <c r="A918" s="130"/>
    </row>
    <row r="919" spans="1:1" ht="13" x14ac:dyDescent="0.3">
      <c r="A919" s="130"/>
    </row>
    <row r="920" spans="1:1" ht="13" x14ac:dyDescent="0.3">
      <c r="A920" s="130"/>
    </row>
    <row r="921" spans="1:1" ht="13" x14ac:dyDescent="0.3">
      <c r="A921" s="130"/>
    </row>
    <row r="922" spans="1:1" ht="13" x14ac:dyDescent="0.3">
      <c r="A922" s="130"/>
    </row>
    <row r="923" spans="1:1" ht="13" x14ac:dyDescent="0.3">
      <c r="A923" s="130"/>
    </row>
    <row r="924" spans="1:1" ht="13" x14ac:dyDescent="0.3">
      <c r="A924" s="130"/>
    </row>
    <row r="925" spans="1:1" ht="13" x14ac:dyDescent="0.3">
      <c r="A925" s="130"/>
    </row>
    <row r="926" spans="1:1" ht="13" x14ac:dyDescent="0.3">
      <c r="A926" s="130"/>
    </row>
    <row r="927" spans="1:1" ht="13" x14ac:dyDescent="0.3">
      <c r="A927" s="130"/>
    </row>
    <row r="928" spans="1:1" ht="13" x14ac:dyDescent="0.3">
      <c r="A928" s="130"/>
    </row>
    <row r="929" spans="1:1" ht="13" x14ac:dyDescent="0.3">
      <c r="A929" s="130"/>
    </row>
    <row r="930" spans="1:1" ht="13" x14ac:dyDescent="0.3">
      <c r="A930" s="130"/>
    </row>
    <row r="931" spans="1:1" ht="13" x14ac:dyDescent="0.3">
      <c r="A931" s="130"/>
    </row>
    <row r="932" spans="1:1" ht="13" x14ac:dyDescent="0.3">
      <c r="A932" s="130"/>
    </row>
    <row r="933" spans="1:1" ht="13" x14ac:dyDescent="0.3">
      <c r="A933" s="130"/>
    </row>
    <row r="934" spans="1:1" ht="13" x14ac:dyDescent="0.3">
      <c r="A934" s="130"/>
    </row>
    <row r="935" spans="1:1" ht="13" x14ac:dyDescent="0.3">
      <c r="A935" s="130"/>
    </row>
    <row r="936" spans="1:1" ht="13" x14ac:dyDescent="0.3">
      <c r="A936" s="130"/>
    </row>
    <row r="937" spans="1:1" ht="13" x14ac:dyDescent="0.3">
      <c r="A937" s="130"/>
    </row>
    <row r="938" spans="1:1" ht="13" x14ac:dyDescent="0.3">
      <c r="A938" s="130"/>
    </row>
    <row r="939" spans="1:1" ht="13" x14ac:dyDescent="0.3">
      <c r="A939" s="130"/>
    </row>
    <row r="940" spans="1:1" ht="13" x14ac:dyDescent="0.3">
      <c r="A940" s="130"/>
    </row>
    <row r="941" spans="1:1" ht="13" x14ac:dyDescent="0.3">
      <c r="A941" s="130"/>
    </row>
    <row r="942" spans="1:1" ht="13" x14ac:dyDescent="0.3">
      <c r="A942" s="130"/>
    </row>
    <row r="943" spans="1:1" ht="13" x14ac:dyDescent="0.3">
      <c r="A943" s="130"/>
    </row>
    <row r="944" spans="1:1" ht="13" x14ac:dyDescent="0.3">
      <c r="A944" s="130"/>
    </row>
    <row r="945" spans="1:1" ht="13" x14ac:dyDescent="0.3">
      <c r="A945" s="130"/>
    </row>
    <row r="946" spans="1:1" ht="13" x14ac:dyDescent="0.3">
      <c r="A946" s="130"/>
    </row>
    <row r="947" spans="1:1" ht="13" x14ac:dyDescent="0.3">
      <c r="A947" s="130"/>
    </row>
    <row r="948" spans="1:1" ht="13" x14ac:dyDescent="0.3">
      <c r="A948" s="130"/>
    </row>
    <row r="949" spans="1:1" ht="13" x14ac:dyDescent="0.3">
      <c r="A949" s="130"/>
    </row>
    <row r="950" spans="1:1" ht="13" x14ac:dyDescent="0.3">
      <c r="A950" s="130"/>
    </row>
    <row r="951" spans="1:1" ht="13" x14ac:dyDescent="0.3">
      <c r="A951" s="130"/>
    </row>
    <row r="952" spans="1:1" ht="13" x14ac:dyDescent="0.3">
      <c r="A952" s="130"/>
    </row>
    <row r="953" spans="1:1" ht="13" x14ac:dyDescent="0.3">
      <c r="A953" s="130"/>
    </row>
    <row r="954" spans="1:1" ht="13" x14ac:dyDescent="0.3">
      <c r="A954" s="130"/>
    </row>
    <row r="955" spans="1:1" ht="13" x14ac:dyDescent="0.3">
      <c r="A955" s="130"/>
    </row>
    <row r="956" spans="1:1" ht="13" x14ac:dyDescent="0.3">
      <c r="A956" s="130"/>
    </row>
    <row r="957" spans="1:1" ht="13" x14ac:dyDescent="0.3">
      <c r="A957" s="130"/>
    </row>
    <row r="958" spans="1:1" ht="13" x14ac:dyDescent="0.3">
      <c r="A958" s="130"/>
    </row>
    <row r="959" spans="1:1" ht="13" x14ac:dyDescent="0.3">
      <c r="A959" s="130"/>
    </row>
    <row r="960" spans="1:1" ht="13" x14ac:dyDescent="0.3">
      <c r="A960" s="130"/>
    </row>
    <row r="961" spans="1:1" ht="13" x14ac:dyDescent="0.3">
      <c r="A961" s="130"/>
    </row>
    <row r="962" spans="1:1" ht="13" x14ac:dyDescent="0.3">
      <c r="A962" s="130"/>
    </row>
    <row r="963" spans="1:1" ht="13" x14ac:dyDescent="0.3">
      <c r="A963" s="130"/>
    </row>
    <row r="964" spans="1:1" ht="13" x14ac:dyDescent="0.3">
      <c r="A964" s="130"/>
    </row>
    <row r="965" spans="1:1" ht="13" x14ac:dyDescent="0.3">
      <c r="A965" s="130"/>
    </row>
    <row r="966" spans="1:1" ht="13" x14ac:dyDescent="0.3">
      <c r="A966" s="130"/>
    </row>
    <row r="967" spans="1:1" ht="13" x14ac:dyDescent="0.3">
      <c r="A967" s="130"/>
    </row>
    <row r="968" spans="1:1" ht="13" x14ac:dyDescent="0.3">
      <c r="A968" s="130"/>
    </row>
    <row r="969" spans="1:1" ht="13" x14ac:dyDescent="0.3">
      <c r="A969" s="130"/>
    </row>
    <row r="970" spans="1:1" ht="13" x14ac:dyDescent="0.3">
      <c r="A970" s="130"/>
    </row>
    <row r="971" spans="1:1" ht="13" x14ac:dyDescent="0.3">
      <c r="A971" s="130"/>
    </row>
    <row r="972" spans="1:1" ht="13" x14ac:dyDescent="0.3">
      <c r="A972" s="130"/>
    </row>
    <row r="973" spans="1:1" ht="13" x14ac:dyDescent="0.3">
      <c r="A973" s="130"/>
    </row>
    <row r="974" spans="1:1" ht="13" x14ac:dyDescent="0.3">
      <c r="A974" s="130"/>
    </row>
    <row r="975" spans="1:1" ht="13" x14ac:dyDescent="0.3">
      <c r="A975" s="130"/>
    </row>
    <row r="976" spans="1:1" ht="13" x14ac:dyDescent="0.3">
      <c r="A976" s="130"/>
    </row>
    <row r="977" spans="1:1" ht="13" x14ac:dyDescent="0.3">
      <c r="A977" s="130"/>
    </row>
    <row r="978" spans="1:1" ht="13" x14ac:dyDescent="0.3">
      <c r="A978" s="130"/>
    </row>
    <row r="979" spans="1:1" ht="13" x14ac:dyDescent="0.3">
      <c r="A979" s="130"/>
    </row>
    <row r="980" spans="1:1" ht="13" x14ac:dyDescent="0.3">
      <c r="A980" s="130"/>
    </row>
    <row r="981" spans="1:1" ht="13" x14ac:dyDescent="0.3">
      <c r="A981" s="130"/>
    </row>
    <row r="982" spans="1:1" ht="13" x14ac:dyDescent="0.3">
      <c r="A982" s="130"/>
    </row>
    <row r="983" spans="1:1" ht="13" x14ac:dyDescent="0.3">
      <c r="A983" s="130"/>
    </row>
    <row r="984" spans="1:1" ht="13" x14ac:dyDescent="0.3">
      <c r="A984" s="130"/>
    </row>
    <row r="985" spans="1:1" ht="13" x14ac:dyDescent="0.3">
      <c r="A985" s="130"/>
    </row>
    <row r="986" spans="1:1" ht="13" x14ac:dyDescent="0.3">
      <c r="A986" s="130"/>
    </row>
    <row r="987" spans="1:1" ht="13" x14ac:dyDescent="0.3">
      <c r="A987" s="130"/>
    </row>
    <row r="988" spans="1:1" ht="13" x14ac:dyDescent="0.3">
      <c r="A988" s="130"/>
    </row>
    <row r="989" spans="1:1" ht="13" x14ac:dyDescent="0.3">
      <c r="A989" s="130"/>
    </row>
    <row r="990" spans="1:1" ht="13" x14ac:dyDescent="0.3">
      <c r="A990" s="130"/>
    </row>
    <row r="991" spans="1:1" ht="13" x14ac:dyDescent="0.3">
      <c r="A991" s="130"/>
    </row>
    <row r="992" spans="1:1" ht="13" x14ac:dyDescent="0.3">
      <c r="A992" s="130"/>
    </row>
    <row r="993" spans="1:1" ht="13" x14ac:dyDescent="0.3">
      <c r="A993" s="130"/>
    </row>
    <row r="994" spans="1:1" ht="13" x14ac:dyDescent="0.3">
      <c r="A994" s="130"/>
    </row>
    <row r="995" spans="1:1" ht="13" x14ac:dyDescent="0.3">
      <c r="A995" s="130"/>
    </row>
    <row r="996" spans="1:1" ht="13" x14ac:dyDescent="0.3">
      <c r="A996" s="130"/>
    </row>
    <row r="997" spans="1:1" ht="13" x14ac:dyDescent="0.3">
      <c r="A997" s="130"/>
    </row>
    <row r="998" spans="1:1" ht="13" x14ac:dyDescent="0.3">
      <c r="A998" s="130"/>
    </row>
    <row r="999" spans="1:1" ht="13" x14ac:dyDescent="0.3">
      <c r="A999" s="130"/>
    </row>
    <row r="1000" spans="1:1" ht="13" x14ac:dyDescent="0.3">
      <c r="A1000" s="130"/>
    </row>
    <row r="1001" spans="1:1" ht="13" x14ac:dyDescent="0.3">
      <c r="A1001" s="130"/>
    </row>
    <row r="1002" spans="1:1" ht="13" x14ac:dyDescent="0.3">
      <c r="A1002" s="130"/>
    </row>
    <row r="1003" spans="1:1" ht="13" x14ac:dyDescent="0.3">
      <c r="A1003" s="130"/>
    </row>
    <row r="1004" spans="1:1" ht="13" x14ac:dyDescent="0.3">
      <c r="A1004" s="130"/>
    </row>
    <row r="1005" spans="1:1" ht="13" x14ac:dyDescent="0.3">
      <c r="A1005" s="130"/>
    </row>
    <row r="1006" spans="1:1" ht="13" x14ac:dyDescent="0.3">
      <c r="A1006" s="130"/>
    </row>
    <row r="1007" spans="1:1" ht="13" x14ac:dyDescent="0.3">
      <c r="A1007" s="130"/>
    </row>
    <row r="1008" spans="1:1" ht="13" x14ac:dyDescent="0.3">
      <c r="A1008" s="130"/>
    </row>
    <row r="1009" spans="1:1" ht="13" x14ac:dyDescent="0.3">
      <c r="A1009" s="130"/>
    </row>
    <row r="1010" spans="1:1" ht="13" x14ac:dyDescent="0.3">
      <c r="A1010" s="130"/>
    </row>
    <row r="1011" spans="1:1" ht="13" x14ac:dyDescent="0.3">
      <c r="A1011" s="130"/>
    </row>
    <row r="1012" spans="1:1" ht="13" x14ac:dyDescent="0.3">
      <c r="A1012" s="130"/>
    </row>
    <row r="1013" spans="1:1" ht="13" x14ac:dyDescent="0.3">
      <c r="A1013" s="130"/>
    </row>
  </sheetData>
  <mergeCells count="18">
    <mergeCell ref="B8:M8"/>
    <mergeCell ref="B140:C140"/>
    <mergeCell ref="B1:M1"/>
    <mergeCell ref="B2:M2"/>
    <mergeCell ref="N1:O1"/>
    <mergeCell ref="G188:M188"/>
    <mergeCell ref="B181:M187"/>
    <mergeCell ref="B180:M180"/>
    <mergeCell ref="B179:M179"/>
    <mergeCell ref="B3:M3"/>
    <mergeCell ref="B4:E4"/>
    <mergeCell ref="G4:M4"/>
    <mergeCell ref="B5:E5"/>
    <mergeCell ref="G5:M5"/>
    <mergeCell ref="B13:M13"/>
    <mergeCell ref="B134:M134"/>
    <mergeCell ref="B126:M126"/>
    <mergeCell ref="B177:M177"/>
  </mergeCells>
  <phoneticPr fontId="6" type="noConversion"/>
  <conditionalFormatting sqref="F190:F308">
    <cfRule type="expression" dxfId="640" priority="25">
      <formula>NOT(ISERROR(FIND(".", F190)))</formula>
    </cfRule>
  </conditionalFormatting>
  <conditionalFormatting sqref="F190:F308">
    <cfRule type="expression" dxfId="639" priority="213" stopIfTrue="1">
      <formula>NOT(ISERROR(FIND("$", $B190)))</formula>
    </cfRule>
  </conditionalFormatting>
  <conditionalFormatting sqref="G190:G308">
    <cfRule type="expression" dxfId="638" priority="22">
      <formula>NOT(ISERROR(FIND(".", G190)))</formula>
    </cfRule>
  </conditionalFormatting>
  <conditionalFormatting sqref="G190:G308">
    <cfRule type="expression" dxfId="637" priority="23" stopIfTrue="1">
      <formula>NOT(ISERROR(FIND("$", $B190)))</formula>
    </cfRule>
  </conditionalFormatting>
  <conditionalFormatting sqref="H190:H308">
    <cfRule type="expression" dxfId="636" priority="20">
      <formula>NOT(ISERROR(FIND(".", H190)))</formula>
    </cfRule>
  </conditionalFormatting>
  <conditionalFormatting sqref="H190:H308">
    <cfRule type="expression" dxfId="635" priority="21" stopIfTrue="1">
      <formula>NOT(ISERROR(FIND("$", $B190)))</formula>
    </cfRule>
  </conditionalFormatting>
  <conditionalFormatting sqref="I190:I308">
    <cfRule type="expression" dxfId="634" priority="18">
      <formula>NOT(ISERROR(FIND(".", I190)))</formula>
    </cfRule>
  </conditionalFormatting>
  <conditionalFormatting sqref="I190:I308">
    <cfRule type="expression" dxfId="633" priority="19" stopIfTrue="1">
      <formula>NOT(ISERROR(FIND("$", $B190)))</formula>
    </cfRule>
  </conditionalFormatting>
  <conditionalFormatting sqref="J190:J308">
    <cfRule type="expression" dxfId="632" priority="16">
      <formula>NOT(ISERROR(FIND(".", J190)))</formula>
    </cfRule>
  </conditionalFormatting>
  <conditionalFormatting sqref="J190:J308">
    <cfRule type="expression" dxfId="631" priority="17" stopIfTrue="1">
      <formula>NOT(ISERROR(FIND("$", $B190)))</formula>
    </cfRule>
  </conditionalFormatting>
  <conditionalFormatting sqref="K190:K308">
    <cfRule type="expression" dxfId="630" priority="14">
      <formula>NOT(ISERROR(FIND(".", K190)))</formula>
    </cfRule>
  </conditionalFormatting>
  <conditionalFormatting sqref="K190:K308">
    <cfRule type="expression" dxfId="629" priority="15" stopIfTrue="1">
      <formula>NOT(ISERROR(FIND("$", $B190)))</formula>
    </cfRule>
  </conditionalFormatting>
  <conditionalFormatting sqref="L190:L308">
    <cfRule type="expression" dxfId="628" priority="12">
      <formula>NOT(ISERROR(FIND(".", L190)))</formula>
    </cfRule>
  </conditionalFormatting>
  <conditionalFormatting sqref="L190:L308">
    <cfRule type="expression" dxfId="627" priority="13" stopIfTrue="1">
      <formula>NOT(ISERROR(FIND("$", $B190)))</formula>
    </cfRule>
  </conditionalFormatting>
  <conditionalFormatting sqref="M190:M308">
    <cfRule type="expression" dxfId="626" priority="10">
      <formula>NOT(ISERROR(FIND(".", M190)))</formula>
    </cfRule>
  </conditionalFormatting>
  <conditionalFormatting sqref="M190:M308">
    <cfRule type="expression" dxfId="625" priority="11" stopIfTrue="1">
      <formula>NOT(ISERROR(FIND("$", $B190)))</formula>
    </cfRule>
  </conditionalFormatting>
  <conditionalFormatting sqref="G190:M308">
    <cfRule type="expression" dxfId="624" priority="8" stopIfTrue="1">
      <formula>IF(AND(NOT(G190 = 0), ABS(G190) &lt; 0.01), TRUE, FALSE)</formula>
    </cfRule>
    <cfRule type="expression" dxfId="623" priority="9" stopIfTrue="1">
      <formula>NOT(ISERROR(FIND("$", $B190)))</formula>
    </cfRule>
  </conditionalFormatting>
  <conditionalFormatting sqref="A1:A10013">
    <cfRule type="duplicateValues" dxfId="622" priority="1122"/>
  </conditionalFormatting>
  <conditionalFormatting sqref="G11:M11">
    <cfRule type="expression" dxfId="621" priority="3">
      <formula>IF(G11 = "None", FALSE, TRUE)</formula>
    </cfRule>
    <cfRule type="expression" dxfId="620" priority="4">
      <formula>IF(G11 = "None", TRUE, FALSE)</formula>
    </cfRule>
  </conditionalFormatting>
  <conditionalFormatting sqref="G10:M10">
    <cfRule type="expression" dxfId="619" priority="1">
      <formula>IF(G10 = "None", FALSE, TRUE)</formula>
    </cfRule>
    <cfRule type="expression" dxfId="618" priority="2">
      <formula>IF(G10 = "None", TRUE, FALSE)</formula>
    </cfRule>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11" orientation="landscape" r:id="rId1"/>
  <headerFooter alignWithMargins="0">
    <oddFooter>&amp;C &amp;P&amp;R&amp;F, &amp;D</oddFooter>
  </headerFooter>
  <cellWatches>
    <cellWatch r="E209"/>
    <cellWatch r="G209"/>
  </cellWatche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81"/>
  <sheetViews>
    <sheetView workbookViewId="0">
      <pane ySplit="6" topLeftCell="A277" activePane="bottomLeft" state="frozen"/>
      <selection pane="bottomLeft" activeCell="G296" sqref="G296"/>
    </sheetView>
  </sheetViews>
  <sheetFormatPr defaultColWidth="9.453125" defaultRowHeight="12.5" outlineLevelRow="2" x14ac:dyDescent="0.25"/>
  <cols>
    <col min="1" max="1" width="4.453125" style="353" customWidth="1"/>
    <col min="2" max="2" width="38.453125" style="353" customWidth="1"/>
    <col min="3" max="3" width="10.54296875" style="353" customWidth="1"/>
    <col min="4" max="4" width="12.54296875" style="353" customWidth="1"/>
    <col min="5" max="5" width="11" style="353" customWidth="1"/>
    <col min="6" max="6" width="10.54296875" style="353" customWidth="1"/>
    <col min="7" max="9" width="13.54296875" style="353" customWidth="1"/>
    <col min="10" max="13" width="10.54296875" style="353" customWidth="1"/>
    <col min="14" max="14" width="18.453125" style="90" bestFit="1" customWidth="1"/>
    <col min="15" max="15" width="20.453125" style="90" customWidth="1"/>
    <col min="16" max="16" width="26.54296875" style="353" bestFit="1" customWidth="1"/>
    <col min="17" max="17" width="12.453125" style="353" customWidth="1"/>
    <col min="18" max="18" width="12" style="353" customWidth="1"/>
    <col min="19" max="19" width="11.453125" style="353" customWidth="1"/>
    <col min="20" max="20" width="7.453125" style="353" customWidth="1"/>
    <col min="21" max="21" width="10.453125" style="353" customWidth="1"/>
    <col min="22" max="23" width="12" style="353" customWidth="1"/>
    <col min="24" max="24" width="10.54296875" style="353" bestFit="1" customWidth="1"/>
    <col min="25" max="25" width="10" style="353" customWidth="1"/>
    <col min="26" max="26" width="12.54296875" style="353" customWidth="1"/>
    <col min="27" max="27" width="10.453125" style="353" customWidth="1"/>
    <col min="28" max="31" width="17.54296875" style="353" customWidth="1"/>
    <col min="32" max="16384" width="9.453125" style="353"/>
  </cols>
  <sheetData>
    <row r="1" spans="1:16" ht="20.5" thickBot="1" x14ac:dyDescent="0.45">
      <c r="A1" s="1380"/>
      <c r="B1" s="1421" t="s">
        <v>281</v>
      </c>
      <c r="C1" s="1422"/>
      <c r="D1" s="1422"/>
      <c r="E1" s="1422"/>
      <c r="F1" s="1422"/>
      <c r="G1" s="1422"/>
      <c r="H1" s="1422"/>
      <c r="I1" s="1422"/>
      <c r="J1" s="1422"/>
      <c r="K1" s="1422"/>
      <c r="L1" s="1422"/>
      <c r="M1" s="1423"/>
      <c r="N1" s="1419" t="s">
        <v>6</v>
      </c>
      <c r="O1" s="1420"/>
      <c r="P1"/>
    </row>
    <row r="2" spans="1:16" ht="16" thickBot="1" x14ac:dyDescent="0.4">
      <c r="A2" s="1380"/>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c r="P2"/>
    </row>
    <row r="3" spans="1:16" ht="15.5" x14ac:dyDescent="0.35">
      <c r="A3" s="1384"/>
      <c r="B3" s="1445" t="s">
        <v>122</v>
      </c>
      <c r="C3" s="1466"/>
      <c r="D3" s="1466"/>
      <c r="E3" s="1466"/>
      <c r="F3" s="1466"/>
      <c r="G3" s="1466"/>
      <c r="H3" s="1466"/>
      <c r="I3" s="1466"/>
      <c r="J3" s="1466"/>
      <c r="K3" s="1466"/>
      <c r="L3" s="1466"/>
      <c r="M3" s="1467"/>
      <c r="N3" s="1243" t="s">
        <v>12</v>
      </c>
      <c r="O3" s="1242" t="s">
        <v>13</v>
      </c>
      <c r="P3"/>
    </row>
    <row r="4" spans="1:16" ht="13" x14ac:dyDescent="0.3">
      <c r="A4" s="1380"/>
      <c r="B4" s="1447" t="s">
        <v>282</v>
      </c>
      <c r="C4" s="1468"/>
      <c r="D4" s="1468"/>
      <c r="E4" s="1469"/>
      <c r="F4" s="264"/>
      <c r="G4" s="1448" t="s">
        <v>9</v>
      </c>
      <c r="H4" s="1473"/>
      <c r="I4" s="1473"/>
      <c r="J4" s="1473"/>
      <c r="K4" s="1473"/>
      <c r="L4" s="1473"/>
      <c r="M4" s="1474"/>
      <c r="N4" s="1240" t="s">
        <v>14</v>
      </c>
      <c r="O4" s="1242" t="s">
        <v>15</v>
      </c>
      <c r="P4"/>
    </row>
    <row r="5" spans="1:16" ht="13.5" thickBot="1" x14ac:dyDescent="0.35">
      <c r="A5" s="1380"/>
      <c r="B5" s="1470" t="s">
        <v>10</v>
      </c>
      <c r="C5" s="1471"/>
      <c r="D5" s="1471"/>
      <c r="E5" s="1472"/>
      <c r="F5" s="680"/>
      <c r="G5" s="1451" t="s">
        <v>11</v>
      </c>
      <c r="H5" s="1475"/>
      <c r="I5" s="1475"/>
      <c r="J5" s="1475"/>
      <c r="K5" s="1475"/>
      <c r="L5" s="1475"/>
      <c r="M5" s="1476"/>
      <c r="N5" s="1240" t="s">
        <v>17</v>
      </c>
      <c r="O5" s="1246" t="s">
        <v>18</v>
      </c>
      <c r="P5"/>
    </row>
    <row r="6" spans="1:16" ht="16" thickBot="1" x14ac:dyDescent="0.4">
      <c r="A6" s="1380"/>
      <c r="B6" s="481"/>
      <c r="C6" s="684"/>
      <c r="D6" s="684"/>
      <c r="E6" s="684"/>
      <c r="F6" s="684"/>
      <c r="G6" s="682" t="s">
        <v>50</v>
      </c>
      <c r="H6" s="682" t="s">
        <v>51</v>
      </c>
      <c r="I6" s="682" t="s">
        <v>52</v>
      </c>
      <c r="J6" s="682" t="s">
        <v>53</v>
      </c>
      <c r="K6" s="682" t="s">
        <v>54</v>
      </c>
      <c r="L6" s="682" t="s">
        <v>55</v>
      </c>
      <c r="M6" s="683" t="s">
        <v>56</v>
      </c>
      <c r="N6" s="1244" t="s">
        <v>22</v>
      </c>
      <c r="O6" s="1245" t="s">
        <v>23</v>
      </c>
    </row>
    <row r="7" spans="1:16" ht="16" thickBot="1" x14ac:dyDescent="0.4">
      <c r="A7" s="1380"/>
      <c r="C7" s="17"/>
      <c r="D7" s="17"/>
      <c r="E7" s="17"/>
      <c r="F7" s="17"/>
      <c r="G7" s="727"/>
      <c r="H7" s="727"/>
      <c r="I7" s="443"/>
      <c r="J7" s="443"/>
      <c r="K7" s="443"/>
      <c r="L7" s="443"/>
      <c r="M7" s="525"/>
      <c r="N7" s="169"/>
    </row>
    <row r="8" spans="1:16" ht="20.5" thickBot="1" x14ac:dyDescent="0.45">
      <c r="A8" s="1380"/>
      <c r="B8" s="1453" t="s">
        <v>129</v>
      </c>
      <c r="C8" s="1454"/>
      <c r="D8" s="1454"/>
      <c r="E8" s="1454"/>
      <c r="F8" s="1454"/>
      <c r="G8" s="1454"/>
      <c r="H8" s="1454"/>
      <c r="I8" s="1454"/>
      <c r="J8" s="1454"/>
      <c r="K8" s="1454"/>
      <c r="L8" s="1454"/>
      <c r="M8" s="1455"/>
      <c r="N8" s="169"/>
    </row>
    <row r="9" spans="1:16" ht="18.5" thickBot="1" x14ac:dyDescent="0.45">
      <c r="A9" s="1380"/>
      <c r="B9" s="1461" t="s">
        <v>283</v>
      </c>
      <c r="C9" s="1462"/>
      <c r="D9" s="1462"/>
      <c r="E9" s="1462"/>
      <c r="F9" s="1462"/>
      <c r="G9" s="1462"/>
      <c r="H9" s="1462"/>
      <c r="I9" s="1462"/>
      <c r="J9" s="1462"/>
      <c r="K9" s="1462"/>
      <c r="L9" s="1462"/>
      <c r="M9" s="1463"/>
      <c r="N9" s="169"/>
    </row>
    <row r="10" spans="1:16" ht="15.5" x14ac:dyDescent="0.35">
      <c r="A10" s="1380"/>
      <c r="C10" s="17"/>
      <c r="D10" s="17"/>
      <c r="E10" s="17"/>
      <c r="F10" s="17"/>
      <c r="G10" s="443"/>
      <c r="H10" s="443"/>
      <c r="I10" s="443"/>
      <c r="J10" s="443"/>
      <c r="K10" s="443"/>
      <c r="L10" s="443"/>
      <c r="M10" s="525"/>
      <c r="N10" s="169"/>
    </row>
    <row r="11" spans="1:16" ht="15.5" outlineLevel="1" x14ac:dyDescent="0.35">
      <c r="A11" s="1380"/>
      <c r="B11" s="6" t="s">
        <v>129</v>
      </c>
      <c r="C11" s="7"/>
      <c r="D11" s="7"/>
      <c r="N11" s="169"/>
    </row>
    <row r="12" spans="1:16" ht="13.4" customHeight="1" outlineLevel="1" x14ac:dyDescent="0.35">
      <c r="A12" s="1380"/>
      <c r="B12" s="353" t="s">
        <v>284</v>
      </c>
      <c r="C12" s="88"/>
      <c r="D12" s="88"/>
      <c r="E12" s="88"/>
      <c r="F12" s="88"/>
      <c r="G12" s="457">
        <v>1</v>
      </c>
      <c r="H12" s="457">
        <v>1</v>
      </c>
      <c r="I12" s="457">
        <v>1</v>
      </c>
      <c r="J12" s="457">
        <f>1</f>
        <v>1</v>
      </c>
      <c r="K12" s="457">
        <f>1</f>
        <v>1</v>
      </c>
      <c r="L12" s="457">
        <f>1</f>
        <v>1</v>
      </c>
      <c r="M12" s="457">
        <f>1</f>
        <v>1</v>
      </c>
      <c r="N12" s="169"/>
    </row>
    <row r="13" spans="1:16" ht="13.4" customHeight="1" outlineLevel="1" x14ac:dyDescent="0.35">
      <c r="A13" s="1380"/>
      <c r="B13" s="353" t="s">
        <v>285</v>
      </c>
      <c r="C13" s="88"/>
      <c r="D13" s="88"/>
      <c r="E13" s="88"/>
      <c r="F13" s="106" t="str">
        <f>IF(SUM('Battery Design'!G12:M12)&gt;7,"Must select if packs&gt;1"," ")</f>
        <v xml:space="preserve"> </v>
      </c>
      <c r="G13" s="286"/>
      <c r="H13" s="286"/>
      <c r="I13" s="286"/>
      <c r="J13" s="286"/>
      <c r="K13" s="286"/>
      <c r="L13" s="286"/>
      <c r="M13" s="286"/>
      <c r="N13" s="169"/>
    </row>
    <row r="14" spans="1:16" ht="13.4" customHeight="1" outlineLevel="1" x14ac:dyDescent="0.35">
      <c r="A14" s="1380"/>
      <c r="B14" s="353" t="s">
        <v>286</v>
      </c>
      <c r="G14" s="189">
        <f>G22*'Battery Design'!G12</f>
        <v>300</v>
      </c>
      <c r="H14" s="189">
        <f>H22*'Battery Design'!H12</f>
        <v>300</v>
      </c>
      <c r="I14" s="189">
        <f>I22*'Battery Design'!I12</f>
        <v>300</v>
      </c>
      <c r="J14" s="189">
        <f>J22*'Battery Design'!J12</f>
        <v>300</v>
      </c>
      <c r="K14" s="189">
        <f>K22*'Battery Design'!K12</f>
        <v>300</v>
      </c>
      <c r="L14" s="189">
        <f>L22*'Battery Design'!L12</f>
        <v>300</v>
      </c>
      <c r="M14" s="189">
        <f>M22*'Battery Design'!M12</f>
        <v>300</v>
      </c>
      <c r="N14" s="169"/>
    </row>
    <row r="15" spans="1:16" ht="13.4" customHeight="1" outlineLevel="1" x14ac:dyDescent="0.35">
      <c r="A15" s="1380"/>
      <c r="B15" s="353" t="s">
        <v>287</v>
      </c>
      <c r="G15" s="189">
        <f>G12*G24</f>
        <v>100</v>
      </c>
      <c r="H15" s="189">
        <f t="shared" ref="H15:M15" si="0">H12*H24</f>
        <v>100</v>
      </c>
      <c r="I15" s="189">
        <f t="shared" si="0"/>
        <v>100</v>
      </c>
      <c r="J15" s="189">
        <f t="shared" si="0"/>
        <v>100</v>
      </c>
      <c r="K15" s="189">
        <f t="shared" si="0"/>
        <v>100</v>
      </c>
      <c r="L15" s="189">
        <f t="shared" si="0"/>
        <v>100</v>
      </c>
      <c r="M15" s="189">
        <f t="shared" si="0"/>
        <v>100</v>
      </c>
      <c r="N15" s="169"/>
    </row>
    <row r="16" spans="1:16" ht="13.4" customHeight="1" outlineLevel="1" x14ac:dyDescent="0.35">
      <c r="A16" s="1380"/>
      <c r="B16" s="353" t="s">
        <v>133</v>
      </c>
      <c r="G16" s="84">
        <f ca="1">G359*IF('Battery Design'!G13="S",'Battery Design'!G12,1)</f>
        <v>371.32048846307276</v>
      </c>
      <c r="H16" s="84">
        <f ca="1">H359*IF('Battery Design'!H13="S",'Battery Design'!H12,1)</f>
        <v>371.32048846307276</v>
      </c>
      <c r="I16" s="84">
        <f ca="1">I359*IF('Battery Design'!I13="S",'Battery Design'!I12,1)</f>
        <v>371.32048846307276</v>
      </c>
      <c r="J16" s="84">
        <f ca="1">J359*IF('Battery Design'!J13="S",'Battery Design'!J12,1)</f>
        <v>371.32048846307276</v>
      </c>
      <c r="K16" s="84">
        <f ca="1">K359*IF('Battery Design'!K13="S",'Battery Design'!K12,1)</f>
        <v>371.32048846307276</v>
      </c>
      <c r="L16" s="84">
        <f ca="1">L359*IF('Battery Design'!L13="S",'Battery Design'!L12,1)</f>
        <v>371.32048846307276</v>
      </c>
      <c r="M16" s="84">
        <f ca="1">M359*IF(M13="S", M12,1)</f>
        <v>371.32048846307276</v>
      </c>
      <c r="N16" s="169"/>
    </row>
    <row r="17" spans="1:14" ht="13.4" customHeight="1" outlineLevel="1" x14ac:dyDescent="0.35">
      <c r="A17" s="1380"/>
      <c r="B17" s="353" t="s">
        <v>134</v>
      </c>
      <c r="G17" s="84">
        <f ca="1">G358*IF('Battery Design'!G13="S",'Battery Design'!G12,1)</f>
        <v>366.68124488915322</v>
      </c>
      <c r="H17" s="84">
        <f ca="1">H358*IF('Battery Design'!H13="S",'Battery Design'!H12,1)</f>
        <v>366.68124488915322</v>
      </c>
      <c r="I17" s="84">
        <f ca="1">I358*IF('Battery Design'!I13="S",'Battery Design'!I12,1)</f>
        <v>367.11916387785027</v>
      </c>
      <c r="J17" s="84">
        <f ca="1">J358*IF('Battery Design'!J13="S",'Battery Design'!J12,1)</f>
        <v>367.65945476249624</v>
      </c>
      <c r="K17" s="84">
        <f ca="1">K358*IF('Battery Design'!K13="S",'Battery Design'!K12,1)</f>
        <v>368.28574818539863</v>
      </c>
      <c r="L17" s="84">
        <f ca="1">L358*IF('Battery Design'!L13="S",'Battery Design'!L12,1)</f>
        <v>369.03843276594796</v>
      </c>
      <c r="M17" s="84">
        <f ca="1">M358*IF('Battery Design'!M13="S",'Battery Design'!M12,1)</f>
        <v>370.03571135223439</v>
      </c>
      <c r="N17" s="169"/>
    </row>
    <row r="18" spans="1:14" ht="13.4" customHeight="1" outlineLevel="1" x14ac:dyDescent="0.35">
      <c r="A18" s="1380"/>
      <c r="C18" s="17"/>
      <c r="D18" s="17"/>
      <c r="E18" s="17"/>
      <c r="F18" s="17"/>
      <c r="G18" s="443"/>
      <c r="H18" s="443"/>
      <c r="I18" s="443"/>
      <c r="J18" s="443"/>
      <c r="K18" s="443"/>
      <c r="L18" s="443"/>
      <c r="M18" s="525"/>
      <c r="N18" s="169"/>
    </row>
    <row r="19" spans="1:14" ht="15.5" outlineLevel="1" x14ac:dyDescent="0.35">
      <c r="A19" s="1380"/>
      <c r="B19" s="6" t="s">
        <v>288</v>
      </c>
      <c r="G19" s="84"/>
      <c r="H19" s="84"/>
      <c r="I19" s="84"/>
      <c r="J19" s="84"/>
      <c r="K19" s="84"/>
      <c r="L19" s="84"/>
      <c r="M19" s="84"/>
      <c r="N19" s="169"/>
    </row>
    <row r="20" spans="1:14" ht="13.4" customHeight="1" outlineLevel="1" x14ac:dyDescent="0.35">
      <c r="A20" s="1380"/>
      <c r="B20" s="353" t="s">
        <v>289</v>
      </c>
      <c r="C20" s="7"/>
      <c r="D20" s="7"/>
      <c r="G20" s="456" t="str">
        <f>Dashboard!$E33</f>
        <v>EV</v>
      </c>
      <c r="H20" s="456" t="str">
        <f>Dashboard!$E33</f>
        <v>EV</v>
      </c>
      <c r="I20" s="456" t="str">
        <f>Dashboard!$E33</f>
        <v>EV</v>
      </c>
      <c r="J20" s="456" t="str">
        <f>Dashboard!$E33</f>
        <v>EV</v>
      </c>
      <c r="K20" s="456" t="str">
        <f>Dashboard!$E33</f>
        <v>EV</v>
      </c>
      <c r="L20" s="456" t="str">
        <f>Dashboard!$E33</f>
        <v>EV</v>
      </c>
      <c r="M20" s="456" t="str">
        <f>Dashboard!$E33</f>
        <v>EV</v>
      </c>
      <c r="N20" s="169"/>
    </row>
    <row r="21" spans="1:14" ht="13.4" customHeight="1" outlineLevel="1" x14ac:dyDescent="0.35">
      <c r="A21" s="1380"/>
      <c r="B21" s="59" t="s">
        <v>290</v>
      </c>
      <c r="G21" s="458">
        <f>Dashboard!D42</f>
        <v>10</v>
      </c>
      <c r="H21" s="620">
        <f>Dashboard!E42</f>
        <v>10</v>
      </c>
      <c r="I21" s="620">
        <f>Dashboard!F42</f>
        <v>10</v>
      </c>
      <c r="J21" s="620">
        <f>Dashboard!G42</f>
        <v>10</v>
      </c>
      <c r="K21" s="620">
        <f>Dashboard!H42</f>
        <v>10</v>
      </c>
      <c r="L21" s="620">
        <f>Dashboard!I42</f>
        <v>10</v>
      </c>
      <c r="M21" s="620">
        <f>Dashboard!J42</f>
        <v>10</v>
      </c>
      <c r="N21" s="169"/>
    </row>
    <row r="22" spans="1:14" ht="13.4" customHeight="1" outlineLevel="1" x14ac:dyDescent="0.35">
      <c r="A22" s="1380"/>
      <c r="B22" s="353" t="s">
        <v>291</v>
      </c>
      <c r="F22" s="123"/>
      <c r="G22" s="458">
        <f>Dashboard!D38</f>
        <v>300</v>
      </c>
      <c r="H22" s="458">
        <f>Dashboard!E38</f>
        <v>300</v>
      </c>
      <c r="I22" s="458">
        <f>Dashboard!F38</f>
        <v>300</v>
      </c>
      <c r="J22" s="458">
        <f>Dashboard!G38</f>
        <v>300</v>
      </c>
      <c r="K22" s="458">
        <f>Dashboard!H38</f>
        <v>300</v>
      </c>
      <c r="L22" s="458">
        <f>Dashboard!I38</f>
        <v>300</v>
      </c>
      <c r="M22" s="458">
        <f>Dashboard!J38</f>
        <v>300</v>
      </c>
      <c r="N22" s="169"/>
    </row>
    <row r="23" spans="1:14" ht="13.4" customHeight="1" outlineLevel="1" x14ac:dyDescent="0.35">
      <c r="A23" s="1380"/>
      <c r="B23" s="353" t="s">
        <v>292</v>
      </c>
      <c r="G23" s="147">
        <f ca="1">'Battery Design'!G360*IF('Battery Design'!G13="S",'Battery Design'!G12,1)</f>
        <v>480.27467992176258</v>
      </c>
      <c r="H23" s="147">
        <f ca="1">'Battery Design'!H360*IF('Battery Design'!H13="S",'Battery Design'!H12,1)</f>
        <v>480.27467992176258</v>
      </c>
      <c r="I23" s="147">
        <f ca="1">'Battery Design'!I360*IF('Battery Design'!I13="S",'Battery Design'!I12,1)</f>
        <v>525.15774318809815</v>
      </c>
      <c r="J23" s="147">
        <f ca="1">'Battery Design'!J360*IF('Battery Design'!J13="S",'Battery Design'!J12,1)</f>
        <v>593.83376160044793</v>
      </c>
      <c r="K23" s="147">
        <f ca="1">'Battery Design'!K360*IF('Battery Design'!K13="S",'Battery Design'!K12,1)</f>
        <v>700.21713621164781</v>
      </c>
      <c r="L23" s="147">
        <f ca="1">'Battery Design'!L360*IF('Battery Design'!L13="S",'Battery Design'!L12,1)</f>
        <v>893.31582663602194</v>
      </c>
      <c r="M23" s="147">
        <f ca="1">'Battery Design'!M360*IF('Battery Design'!M13="S",'Battery Design'!M12,1)</f>
        <v>1411.1752017052218</v>
      </c>
      <c r="N23" s="169"/>
    </row>
    <row r="24" spans="1:14" ht="13.4" customHeight="1" outlineLevel="1" x14ac:dyDescent="0.35">
      <c r="A24" s="1380"/>
      <c r="B24" s="353" t="s">
        <v>293</v>
      </c>
      <c r="G24" s="999">
        <f>IF(Dashboard!D52 &gt; 0, Dashboard!D52, G463*G149*G12)</f>
        <v>100</v>
      </c>
      <c r="H24" s="999">
        <f>IF(Dashboard!E52 &gt; 0, Dashboard!E52, H463*H149*H12)</f>
        <v>100</v>
      </c>
      <c r="I24" s="999">
        <f>IF(Dashboard!F52 &gt; 0, Dashboard!F52, I463*I149*I12)</f>
        <v>100</v>
      </c>
      <c r="J24" s="999">
        <f>IF(Dashboard!G52 &gt; 0, Dashboard!G52, J463*J149*J12)</f>
        <v>100</v>
      </c>
      <c r="K24" s="999">
        <f>IF(Dashboard!H52 &gt; 0, Dashboard!H52, K463*K149*K12)</f>
        <v>100</v>
      </c>
      <c r="L24" s="999">
        <f>IF(Dashboard!I52 &gt; 0, Dashboard!I52, L463*L149*L12)</f>
        <v>100</v>
      </c>
      <c r="M24" s="999">
        <f>IF(Dashboard!J52 &gt; 0, Dashboard!J52, M463*M149*M12)</f>
        <v>100</v>
      </c>
      <c r="N24" s="169"/>
    </row>
    <row r="25" spans="1:14" ht="13.4" customHeight="1" outlineLevel="1" x14ac:dyDescent="0.35">
      <c r="A25" s="1380"/>
      <c r="B25" s="353" t="s">
        <v>73</v>
      </c>
      <c r="G25" s="458">
        <f>Dashboard!D67</f>
        <v>20</v>
      </c>
      <c r="H25" s="458">
        <f>Dashboard!E67</f>
        <v>20</v>
      </c>
      <c r="I25" s="458">
        <f>Dashboard!F67</f>
        <v>20</v>
      </c>
      <c r="J25" s="458">
        <f>Dashboard!G67</f>
        <v>20</v>
      </c>
      <c r="K25" s="458">
        <f>Dashboard!H67</f>
        <v>20</v>
      </c>
      <c r="L25" s="458">
        <f>Dashboard!I67</f>
        <v>20</v>
      </c>
      <c r="M25" s="458">
        <f>Dashboard!J67</f>
        <v>20</v>
      </c>
      <c r="N25" s="169"/>
    </row>
    <row r="26" spans="1:14" ht="13.4" customHeight="1" outlineLevel="1" x14ac:dyDescent="0.35">
      <c r="A26" s="1380"/>
      <c r="B26" s="353" t="s">
        <v>74</v>
      </c>
      <c r="G26" s="458">
        <f>Dashboard!D68</f>
        <v>2</v>
      </c>
      <c r="H26" s="458">
        <f>Dashboard!E68</f>
        <v>2</v>
      </c>
      <c r="I26" s="458">
        <f>Dashboard!F68</f>
        <v>2</v>
      </c>
      <c r="J26" s="458">
        <f>Dashboard!G68</f>
        <v>2</v>
      </c>
      <c r="K26" s="458">
        <f>Dashboard!H68</f>
        <v>2</v>
      </c>
      <c r="L26" s="458">
        <f>Dashboard!I68</f>
        <v>2</v>
      </c>
      <c r="M26" s="458">
        <f>Dashboard!J68</f>
        <v>2</v>
      </c>
      <c r="N26" s="169"/>
    </row>
    <row r="27" spans="1:14" ht="13.4" customHeight="1" outlineLevel="1" x14ac:dyDescent="0.35">
      <c r="A27" s="1380"/>
      <c r="B27" s="353" t="s">
        <v>75</v>
      </c>
      <c r="G27" s="458">
        <f>Dashboard!D69</f>
        <v>5</v>
      </c>
      <c r="H27" s="458">
        <f>Dashboard!E69</f>
        <v>5</v>
      </c>
      <c r="I27" s="458">
        <f>Dashboard!F69</f>
        <v>5</v>
      </c>
      <c r="J27" s="458">
        <f>Dashboard!G69</f>
        <v>5</v>
      </c>
      <c r="K27" s="458">
        <f>Dashboard!H69</f>
        <v>5</v>
      </c>
      <c r="L27" s="458">
        <f>Dashboard!I69</f>
        <v>5</v>
      </c>
      <c r="M27" s="458">
        <f>Dashboard!J69</f>
        <v>5</v>
      </c>
      <c r="N27" s="169"/>
    </row>
    <row r="28" spans="1:14" ht="13.4" customHeight="1" outlineLevel="1" x14ac:dyDescent="0.35">
      <c r="A28" s="1380"/>
      <c r="B28" s="61" t="s">
        <v>76</v>
      </c>
      <c r="G28" s="458">
        <f>Dashboard!D70</f>
        <v>4</v>
      </c>
      <c r="H28" s="458">
        <f>Dashboard!E70</f>
        <v>4</v>
      </c>
      <c r="I28" s="458">
        <f>Dashboard!F70</f>
        <v>4</v>
      </c>
      <c r="J28" s="458">
        <f>Dashboard!G70</f>
        <v>4</v>
      </c>
      <c r="K28" s="458">
        <f>Dashboard!H70</f>
        <v>4</v>
      </c>
      <c r="L28" s="458">
        <f>Dashboard!I70</f>
        <v>4</v>
      </c>
      <c r="M28" s="458">
        <f>Dashboard!J70</f>
        <v>4</v>
      </c>
      <c r="N28" s="169"/>
    </row>
    <row r="29" spans="1:14" ht="13.4" customHeight="1" outlineLevel="1" x14ac:dyDescent="0.35">
      <c r="A29" s="1380"/>
      <c r="B29" s="353" t="s">
        <v>154</v>
      </c>
      <c r="G29" s="62">
        <f t="shared" ref="G29:M29" si="1">G27*G28</f>
        <v>20</v>
      </c>
      <c r="H29" s="62">
        <f t="shared" si="1"/>
        <v>20</v>
      </c>
      <c r="I29" s="62">
        <f t="shared" si="1"/>
        <v>20</v>
      </c>
      <c r="J29" s="62">
        <f t="shared" si="1"/>
        <v>20</v>
      </c>
      <c r="K29" s="62">
        <f t="shared" si="1"/>
        <v>20</v>
      </c>
      <c r="L29" s="62">
        <f t="shared" si="1"/>
        <v>20</v>
      </c>
      <c r="M29" s="62">
        <f t="shared" si="1"/>
        <v>20</v>
      </c>
      <c r="N29" s="169"/>
    </row>
    <row r="30" spans="1:14" ht="13.4" customHeight="1" outlineLevel="1" x14ac:dyDescent="0.35">
      <c r="A30" s="1380"/>
      <c r="B30" s="353" t="s">
        <v>77</v>
      </c>
      <c r="G30" s="458">
        <f>Dashboard!D71</f>
        <v>2</v>
      </c>
      <c r="H30" s="458">
        <f>Dashboard!E71</f>
        <v>2</v>
      </c>
      <c r="I30" s="458">
        <f>Dashboard!F71</f>
        <v>2</v>
      </c>
      <c r="J30" s="458">
        <f>Dashboard!G71</f>
        <v>2</v>
      </c>
      <c r="K30" s="458">
        <f>Dashboard!H71</f>
        <v>2</v>
      </c>
      <c r="L30" s="458">
        <f>Dashboard!I71</f>
        <v>2</v>
      </c>
      <c r="M30" s="458">
        <f>Dashboard!J71</f>
        <v>2</v>
      </c>
      <c r="N30" s="169"/>
    </row>
    <row r="31" spans="1:14" ht="13.4" customHeight="1" outlineLevel="1" x14ac:dyDescent="0.35">
      <c r="A31" s="1380"/>
      <c r="B31" s="353" t="s">
        <v>294</v>
      </c>
      <c r="G31" s="189">
        <f t="shared" ref="G31:M31" si="2">G29*G25</f>
        <v>400</v>
      </c>
      <c r="H31" s="189">
        <f t="shared" si="2"/>
        <v>400</v>
      </c>
      <c r="I31" s="189">
        <f t="shared" si="2"/>
        <v>400</v>
      </c>
      <c r="J31" s="189">
        <f t="shared" si="2"/>
        <v>400</v>
      </c>
      <c r="K31" s="189">
        <f t="shared" si="2"/>
        <v>400</v>
      </c>
      <c r="L31" s="189">
        <f t="shared" si="2"/>
        <v>400</v>
      </c>
      <c r="M31" s="189">
        <f t="shared" si="2"/>
        <v>400</v>
      </c>
      <c r="N31" s="169"/>
    </row>
    <row r="32" spans="1:14" ht="13.4" customHeight="1" outlineLevel="1" x14ac:dyDescent="0.35">
      <c r="A32" s="1380"/>
      <c r="B32" s="353" t="s">
        <v>295</v>
      </c>
      <c r="G32" s="189">
        <f t="shared" ref="G32:M32" si="3">G31*G12</f>
        <v>400</v>
      </c>
      <c r="H32" s="189">
        <f t="shared" si="3"/>
        <v>400</v>
      </c>
      <c r="I32" s="189">
        <f t="shared" si="3"/>
        <v>400</v>
      </c>
      <c r="J32" s="189">
        <f t="shared" si="3"/>
        <v>400</v>
      </c>
      <c r="K32" s="189">
        <f t="shared" si="3"/>
        <v>400</v>
      </c>
      <c r="L32" s="189">
        <f t="shared" si="3"/>
        <v>400</v>
      </c>
      <c r="M32" s="189">
        <f t="shared" si="3"/>
        <v>400</v>
      </c>
      <c r="N32" s="169"/>
    </row>
    <row r="33" spans="1:22" ht="13.4" customHeight="1" outlineLevel="1" x14ac:dyDescent="0.35">
      <c r="A33" s="1380"/>
      <c r="G33" s="189"/>
      <c r="H33" s="189"/>
      <c r="I33" s="189"/>
      <c r="J33" s="189"/>
      <c r="K33" s="189"/>
      <c r="L33" s="189"/>
      <c r="M33" s="189"/>
      <c r="N33" s="169"/>
    </row>
    <row r="34" spans="1:22" ht="15.5" outlineLevel="1" x14ac:dyDescent="0.35">
      <c r="A34" s="1380"/>
      <c r="B34" s="6" t="s">
        <v>296</v>
      </c>
      <c r="E34" s="88"/>
      <c r="F34" s="106" t="str">
        <f>IF(OR(Dashboard!D50="x",Dashboard!E50="x",Dashboard!F50="x",Dashboard!G50="x",Dashboard!H50="x",Dashboard!I50="x",Dashboard!J50="x"),"Inadequate capacity if X"," ")</f>
        <v xml:space="preserve"> </v>
      </c>
      <c r="G34" s="174" t="str">
        <f ca="1">IF(OR(MIN(G276,G277)&lt;Chem!$C27),"X","Ok")</f>
        <v>Ok</v>
      </c>
      <c r="H34" s="174" t="str">
        <f ca="1">IF(OR(MIN(H276,H277)&lt;Chem!$C27),"X","Ok")</f>
        <v>Ok</v>
      </c>
      <c r="I34" s="174" t="str">
        <f ca="1">IF(OR(MIN(I276,I277)&lt;Chem!$C27),"X","Ok")</f>
        <v>Ok</v>
      </c>
      <c r="J34" s="174" t="str">
        <f ca="1">IF(OR(MIN(J276,J277)&lt;Chem!$C27),"X","Ok")</f>
        <v>Ok</v>
      </c>
      <c r="K34" s="174" t="str">
        <f ca="1">IF(OR(MIN(K276,K277)&lt;Chem!$C27),"X","Ok")</f>
        <v>Ok</v>
      </c>
      <c r="L34" s="174" t="str">
        <f ca="1">IF(OR(MIN(L276,L277)&lt;Chem!$C27),"X","Ok")</f>
        <v>Ok</v>
      </c>
      <c r="M34" s="174" t="str">
        <f ca="1">IF(OR(MIN(M276,M277)&lt;Chem!$C27),"X","Ok")</f>
        <v>Ok</v>
      </c>
      <c r="N34" s="169"/>
    </row>
    <row r="35" spans="1:22" ht="13.4" customHeight="1" outlineLevel="1" x14ac:dyDescent="0.35">
      <c r="A35" s="1380"/>
      <c r="B35" s="353" t="s">
        <v>202</v>
      </c>
      <c r="D35" s="222"/>
      <c r="G35" s="84">
        <f t="shared" ref="G35:M35" ca="1" si="4">G36/G26</f>
        <v>68.179107463097623</v>
      </c>
      <c r="H35" s="84">
        <f t="shared" ca="1" si="4"/>
        <v>68.179107463097623</v>
      </c>
      <c r="I35" s="84">
        <f t="shared" ca="1" si="4"/>
        <v>68.097779848719952</v>
      </c>
      <c r="J35" s="84">
        <f t="shared" ca="1" si="4"/>
        <v>67.997707324430706</v>
      </c>
      <c r="K35" s="84">
        <f t="shared" ca="1" si="4"/>
        <v>67.882072882751757</v>
      </c>
      <c r="L35" s="84">
        <f t="shared" ca="1" si="4"/>
        <v>67.743621748620214</v>
      </c>
      <c r="M35" s="84">
        <f t="shared" ca="1" si="4"/>
        <v>67.561046766653277</v>
      </c>
      <c r="N35" s="169"/>
    </row>
    <row r="36" spans="1:22" ht="13.4" customHeight="1" outlineLevel="1" x14ac:dyDescent="0.35">
      <c r="A36" s="1380"/>
      <c r="B36" s="353" t="s">
        <v>297</v>
      </c>
      <c r="D36" s="222"/>
      <c r="G36" s="84">
        <f t="shared" ref="G36:M36" ca="1" si="5">G464/G30</f>
        <v>136.35821492619525</v>
      </c>
      <c r="H36" s="84">
        <f t="shared" ca="1" si="5"/>
        <v>136.35821492619525</v>
      </c>
      <c r="I36" s="84">
        <f t="shared" ca="1" si="5"/>
        <v>136.1955596974399</v>
      </c>
      <c r="J36" s="84">
        <f t="shared" ca="1" si="5"/>
        <v>135.99541464886141</v>
      </c>
      <c r="K36" s="84">
        <f t="shared" ca="1" si="5"/>
        <v>135.76414576550351</v>
      </c>
      <c r="L36" s="84">
        <f t="shared" ca="1" si="5"/>
        <v>135.48724349724043</v>
      </c>
      <c r="M36" s="84">
        <f t="shared" ca="1" si="5"/>
        <v>135.12209353330655</v>
      </c>
      <c r="N36" s="169"/>
    </row>
    <row r="37" spans="1:22" ht="13.4" customHeight="1" outlineLevel="1" x14ac:dyDescent="0.35">
      <c r="A37" s="1380"/>
      <c r="B37" s="353" t="s">
        <v>157</v>
      </c>
      <c r="D37" s="222"/>
      <c r="G37" s="84">
        <f t="shared" ref="G37:M37" ca="1" si="6">G35*G26*G30</f>
        <v>272.71642985239049</v>
      </c>
      <c r="H37" s="84">
        <f t="shared" ca="1" si="6"/>
        <v>272.71642985239049</v>
      </c>
      <c r="I37" s="84">
        <f t="shared" ca="1" si="6"/>
        <v>272.39111939487981</v>
      </c>
      <c r="J37" s="84">
        <f t="shared" ca="1" si="6"/>
        <v>271.99082929772283</v>
      </c>
      <c r="K37" s="84">
        <f t="shared" ca="1" si="6"/>
        <v>271.52829153100703</v>
      </c>
      <c r="L37" s="84">
        <f t="shared" ca="1" si="6"/>
        <v>270.97448699448086</v>
      </c>
      <c r="M37" s="84">
        <f t="shared" ca="1" si="6"/>
        <v>270.24418706661311</v>
      </c>
      <c r="N37" s="169"/>
    </row>
    <row r="38" spans="1:22" ht="13.4" customHeight="1" outlineLevel="1" x14ac:dyDescent="0.35">
      <c r="A38" s="1380"/>
      <c r="B38" s="353" t="s">
        <v>135</v>
      </c>
      <c r="D38" s="222"/>
      <c r="G38" s="3">
        <f t="shared" ref="G38:M38" ca="1" si="7">IF(G13="P",G12*G37,G37)</f>
        <v>272.71642985239049</v>
      </c>
      <c r="H38" s="84">
        <f t="shared" ca="1" si="7"/>
        <v>272.71642985239049</v>
      </c>
      <c r="I38" s="84">
        <f t="shared" ca="1" si="7"/>
        <v>272.39111939487981</v>
      </c>
      <c r="J38" s="84">
        <f t="shared" ca="1" si="7"/>
        <v>271.99082929772283</v>
      </c>
      <c r="K38" s="84">
        <f t="shared" ca="1" si="7"/>
        <v>271.52829153100703</v>
      </c>
      <c r="L38" s="84">
        <f t="shared" ca="1" si="7"/>
        <v>270.97448699448086</v>
      </c>
      <c r="M38" s="84">
        <f t="shared" ca="1" si="7"/>
        <v>270.24418706661311</v>
      </c>
      <c r="N38" s="169"/>
    </row>
    <row r="39" spans="1:22" ht="16" thickBot="1" x14ac:dyDescent="0.4">
      <c r="A39" s="1380"/>
      <c r="C39" s="17"/>
      <c r="D39" s="17"/>
      <c r="E39" s="17"/>
      <c r="F39" s="17"/>
      <c r="G39" s="443"/>
      <c r="H39" s="443"/>
      <c r="I39" s="443"/>
      <c r="J39" s="443"/>
      <c r="K39" s="443"/>
      <c r="L39" s="443"/>
      <c r="M39" s="525"/>
      <c r="N39" s="169"/>
    </row>
    <row r="40" spans="1:22" ht="20.5" thickBot="1" x14ac:dyDescent="0.45">
      <c r="A40" s="1380"/>
      <c r="B40" s="1453" t="s">
        <v>298</v>
      </c>
      <c r="C40" s="1454"/>
      <c r="D40" s="1454"/>
      <c r="E40" s="1454"/>
      <c r="F40" s="1454"/>
      <c r="G40" s="1454"/>
      <c r="H40" s="1454"/>
      <c r="I40" s="1454"/>
      <c r="J40" s="1454"/>
      <c r="K40" s="1454"/>
      <c r="L40" s="1454"/>
      <c r="M40" s="1455"/>
      <c r="N40" s="169"/>
    </row>
    <row r="41" spans="1:22" ht="18.5" thickBot="1" x14ac:dyDescent="0.45">
      <c r="A41" s="1380"/>
      <c r="B41" s="1461" t="s">
        <v>299</v>
      </c>
      <c r="C41" s="1462"/>
      <c r="D41" s="1462"/>
      <c r="E41" s="1462"/>
      <c r="F41" s="1462"/>
      <c r="G41" s="1462"/>
      <c r="H41" s="1462"/>
      <c r="I41" s="1462"/>
      <c r="J41" s="1462"/>
      <c r="K41" s="1462"/>
      <c r="L41" s="1462"/>
      <c r="M41" s="1463"/>
      <c r="N41" s="169"/>
    </row>
    <row r="42" spans="1:22" ht="15.5" x14ac:dyDescent="0.35">
      <c r="A42" s="1380"/>
      <c r="C42" s="17"/>
      <c r="D42" s="17"/>
      <c r="E42" s="17"/>
      <c r="F42" s="17"/>
      <c r="G42" s="443"/>
      <c r="H42" s="443"/>
      <c r="I42" s="443"/>
      <c r="J42" s="443"/>
      <c r="K42" s="443"/>
      <c r="L42" s="443"/>
      <c r="M42" s="525"/>
      <c r="N42" s="169"/>
    </row>
    <row r="43" spans="1:22" ht="15.5" outlineLevel="1" x14ac:dyDescent="0.35">
      <c r="A43" s="1380"/>
      <c r="B43" s="27" t="s">
        <v>300</v>
      </c>
      <c r="C43" s="10"/>
      <c r="D43" s="1051"/>
      <c r="E43" s="445" t="s">
        <v>301</v>
      </c>
      <c r="F43" s="174" t="s">
        <v>302</v>
      </c>
      <c r="N43" s="61"/>
      <c r="P43" s="9"/>
      <c r="Q43" s="190"/>
      <c r="R43" s="190"/>
      <c r="S43" s="190"/>
      <c r="T43" s="190"/>
      <c r="U43" s="190"/>
      <c r="V43" s="9"/>
    </row>
    <row r="44" spans="1:22" ht="13" outlineLevel="1" x14ac:dyDescent="0.3">
      <c r="A44" s="1380"/>
      <c r="B44" s="24" t="s">
        <v>303</v>
      </c>
      <c r="C44" s="4"/>
      <c r="D44" s="4"/>
      <c r="E44" s="444">
        <f>Chem!C11</f>
        <v>96</v>
      </c>
      <c r="F44" s="444">
        <f>Chem!C17</f>
        <v>4.6500000000000004</v>
      </c>
      <c r="G44" s="159">
        <f t="shared" ref="G44:M44" ca="1" si="8">G35/G98*1000</f>
        <v>319.19057801075667</v>
      </c>
      <c r="H44" s="159">
        <f t="shared" ca="1" si="8"/>
        <v>319.19057801075667</v>
      </c>
      <c r="I44" s="159">
        <f t="shared" ca="1" si="8"/>
        <v>318.80983075243427</v>
      </c>
      <c r="J44" s="159">
        <f t="shared" ca="1" si="8"/>
        <v>318.34132642523736</v>
      </c>
      <c r="K44" s="159">
        <f t="shared" ca="1" si="8"/>
        <v>317.79996667954941</v>
      </c>
      <c r="L44" s="159">
        <f t="shared" ca="1" si="8"/>
        <v>317.15178721264147</v>
      </c>
      <c r="M44" s="159">
        <f t="shared" ca="1" si="8"/>
        <v>316.29703542440672</v>
      </c>
      <c r="N44" s="446"/>
      <c r="O44" s="61"/>
      <c r="T44" s="11"/>
      <c r="U44" s="16"/>
      <c r="V44" s="16"/>
    </row>
    <row r="45" spans="1:22" ht="13" outlineLevel="1" x14ac:dyDescent="0.3">
      <c r="A45" s="1380"/>
      <c r="B45" s="24" t="s">
        <v>304</v>
      </c>
      <c r="C45" s="18"/>
      <c r="D45" s="90"/>
      <c r="E45" s="444">
        <f>Chem!C12</f>
        <v>2</v>
      </c>
      <c r="F45" s="444">
        <f>Chem!C18</f>
        <v>1.825</v>
      </c>
      <c r="G45" s="176">
        <f t="shared" ref="G45:M47" ca="1" si="9">G$48*$E45/100</f>
        <v>6.6498037085574309</v>
      </c>
      <c r="H45" s="176">
        <f t="shared" ca="1" si="9"/>
        <v>6.6498037085574309</v>
      </c>
      <c r="I45" s="176">
        <f t="shared" ca="1" si="9"/>
        <v>6.6418714740090472</v>
      </c>
      <c r="J45" s="176">
        <f t="shared" ca="1" si="9"/>
        <v>6.6321109671924452</v>
      </c>
      <c r="K45" s="176">
        <f t="shared" ca="1" si="9"/>
        <v>6.6208326391572792</v>
      </c>
      <c r="L45" s="176">
        <f t="shared" ca="1" si="9"/>
        <v>6.6073289002633651</v>
      </c>
      <c r="M45" s="176">
        <f t="shared" ca="1" si="9"/>
        <v>6.5895215713418063</v>
      </c>
      <c r="N45" s="447"/>
      <c r="O45" s="61"/>
      <c r="T45" s="11"/>
      <c r="U45" s="190"/>
      <c r="V45" s="16"/>
    </row>
    <row r="46" spans="1:22" ht="13" outlineLevel="1" x14ac:dyDescent="0.3">
      <c r="A46" s="1380"/>
      <c r="B46" s="1051" t="s">
        <v>305</v>
      </c>
      <c r="C46" s="1051"/>
      <c r="D46" s="1051"/>
      <c r="E46" s="444">
        <f>Chem!C13</f>
        <v>2</v>
      </c>
      <c r="F46" s="444">
        <f>Chem!C19</f>
        <v>1.77</v>
      </c>
      <c r="G46" s="176">
        <f t="shared" ca="1" si="9"/>
        <v>6.6498037085574309</v>
      </c>
      <c r="H46" s="176">
        <f t="shared" ca="1" si="9"/>
        <v>6.6498037085574309</v>
      </c>
      <c r="I46" s="176">
        <f t="shared" ca="1" si="9"/>
        <v>6.6418714740090472</v>
      </c>
      <c r="J46" s="176">
        <f t="shared" ca="1" si="9"/>
        <v>6.6321109671924452</v>
      </c>
      <c r="K46" s="176">
        <f t="shared" ca="1" si="9"/>
        <v>6.6208326391572792</v>
      </c>
      <c r="L46" s="176">
        <f t="shared" ca="1" si="9"/>
        <v>6.6073289002633651</v>
      </c>
      <c r="M46" s="176">
        <f t="shared" ca="1" si="9"/>
        <v>6.5895215713418063</v>
      </c>
      <c r="N46" s="447"/>
      <c r="O46" s="61"/>
      <c r="T46" s="11"/>
      <c r="U46" s="190"/>
      <c r="V46" s="16"/>
    </row>
    <row r="47" spans="1:22" ht="13" outlineLevel="1" x14ac:dyDescent="0.3">
      <c r="A47" s="1380"/>
      <c r="B47" s="1051" t="s">
        <v>306</v>
      </c>
      <c r="C47" s="448" t="s">
        <v>307</v>
      </c>
      <c r="D47" s="449">
        <f>Chem!C22</f>
        <v>25</v>
      </c>
      <c r="E47" s="15"/>
      <c r="F47" s="15"/>
      <c r="G47" s="450">
        <f t="shared" ca="1" si="9"/>
        <v>0</v>
      </c>
      <c r="H47" s="450">
        <f t="shared" ca="1" si="9"/>
        <v>0</v>
      </c>
      <c r="I47" s="450">
        <f t="shared" ca="1" si="9"/>
        <v>0</v>
      </c>
      <c r="J47" s="450">
        <f t="shared" ca="1" si="9"/>
        <v>0</v>
      </c>
      <c r="K47" s="450">
        <f t="shared" ca="1" si="9"/>
        <v>0</v>
      </c>
      <c r="L47" s="450">
        <f t="shared" ca="1" si="9"/>
        <v>0</v>
      </c>
      <c r="M47" s="450">
        <f t="shared" ca="1" si="9"/>
        <v>0</v>
      </c>
      <c r="N47" s="447"/>
      <c r="O47" s="61"/>
      <c r="T47" s="11"/>
      <c r="U47" s="190"/>
      <c r="V47" s="16"/>
    </row>
    <row r="48" spans="1:22" ht="13" outlineLevel="1" x14ac:dyDescent="0.3">
      <c r="A48" s="1380"/>
      <c r="B48" s="1051" t="s">
        <v>308</v>
      </c>
      <c r="C48" s="1051"/>
      <c r="D48" s="1051"/>
      <c r="E48" s="174">
        <f>SUM(E44:E47)</f>
        <v>100</v>
      </c>
      <c r="F48" s="101">
        <f>(100-D47)/(E44/F44+E45/F45+E46/F46)</f>
        <v>3.2792626350835063</v>
      </c>
      <c r="G48" s="451">
        <f t="shared" ref="G48:M48" ca="1" si="10">G44/$E44*100</f>
        <v>332.49018542787155</v>
      </c>
      <c r="H48" s="451">
        <f t="shared" ca="1" si="10"/>
        <v>332.49018542787155</v>
      </c>
      <c r="I48" s="451">
        <f t="shared" ca="1" si="10"/>
        <v>332.09357370045234</v>
      </c>
      <c r="J48" s="451">
        <f t="shared" ca="1" si="10"/>
        <v>331.60554835962228</v>
      </c>
      <c r="K48" s="451">
        <f t="shared" ca="1" si="10"/>
        <v>331.04163195786396</v>
      </c>
      <c r="L48" s="451">
        <f t="shared" ca="1" si="10"/>
        <v>330.36644501316823</v>
      </c>
      <c r="M48" s="451">
        <f t="shared" ca="1" si="10"/>
        <v>329.47607856709033</v>
      </c>
      <c r="N48" s="452"/>
      <c r="O48" s="61"/>
      <c r="T48" s="11"/>
      <c r="U48" s="190"/>
      <c r="V48" s="16"/>
    </row>
    <row r="49" spans="1:22" ht="13" outlineLevel="1" x14ac:dyDescent="0.3">
      <c r="A49" s="1380"/>
      <c r="B49" s="1051"/>
      <c r="C49" s="1051"/>
      <c r="D49" s="1051"/>
      <c r="E49" s="174"/>
      <c r="F49" s="101"/>
      <c r="G49" s="451"/>
      <c r="H49" s="451"/>
      <c r="I49" s="451"/>
      <c r="J49" s="451"/>
      <c r="K49" s="451"/>
      <c r="L49" s="451"/>
      <c r="M49" s="451"/>
      <c r="N49" s="452"/>
      <c r="O49" s="61"/>
      <c r="T49" s="11"/>
      <c r="U49" s="190"/>
      <c r="V49" s="16"/>
    </row>
    <row r="50" spans="1:22" ht="15.5" outlineLevel="1" x14ac:dyDescent="0.35">
      <c r="A50" s="1380"/>
      <c r="B50" s="659" t="s">
        <v>309</v>
      </c>
      <c r="C50" s="9"/>
      <c r="D50" s="9"/>
      <c r="E50" s="190" t="s">
        <v>301</v>
      </c>
      <c r="F50" s="190" t="s">
        <v>302</v>
      </c>
      <c r="G50" s="10"/>
      <c r="H50" s="10"/>
      <c r="I50" s="10"/>
      <c r="J50" s="10"/>
      <c r="K50" s="10"/>
      <c r="L50" s="10"/>
      <c r="M50" s="10"/>
      <c r="N50" s="59"/>
      <c r="O50" s="61"/>
      <c r="T50" s="11"/>
      <c r="U50" s="16"/>
      <c r="V50" s="16"/>
    </row>
    <row r="51" spans="1:22" ht="13" outlineLevel="1" x14ac:dyDescent="0.3">
      <c r="A51" s="1380"/>
      <c r="B51" s="24" t="s">
        <v>310</v>
      </c>
      <c r="C51" s="9"/>
      <c r="D51" s="9"/>
      <c r="E51" s="238">
        <f>Chem!C40</f>
        <v>98</v>
      </c>
      <c r="F51" s="237">
        <f>Chem!C46</f>
        <v>2.2400000000000002</v>
      </c>
      <c r="G51" s="22">
        <f t="shared" ref="G51:M51" ca="1" si="11">G35/G100*1000*G102*(1+G103/100)</f>
        <v>216.52074867430588</v>
      </c>
      <c r="H51" s="22">
        <f t="shared" ca="1" si="11"/>
        <v>216.52074867430588</v>
      </c>
      <c r="I51" s="22">
        <f t="shared" ca="1" si="11"/>
        <v>216.21214350268883</v>
      </c>
      <c r="J51" s="22">
        <f t="shared" ca="1" si="11"/>
        <v>215.86118805831296</v>
      </c>
      <c r="K51" s="22">
        <f t="shared" ca="1" si="11"/>
        <v>215.35532274255232</v>
      </c>
      <c r="L51" s="22">
        <f t="shared" ca="1" si="11"/>
        <v>214.75522668492988</v>
      </c>
      <c r="M51" s="22">
        <f t="shared" ca="1" si="11"/>
        <v>213.61787721824723</v>
      </c>
      <c r="N51" s="135"/>
      <c r="O51" s="61"/>
      <c r="T51" s="9"/>
      <c r="U51" s="9"/>
      <c r="V51" s="9"/>
    </row>
    <row r="52" spans="1:22" ht="13" outlineLevel="1" x14ac:dyDescent="0.3">
      <c r="A52" s="1380"/>
      <c r="B52" s="24" t="s">
        <v>311</v>
      </c>
      <c r="C52" s="9"/>
      <c r="D52" s="9"/>
      <c r="E52" s="238">
        <f>Chem!C41</f>
        <v>0</v>
      </c>
      <c r="F52" s="237">
        <f>Chem!C47</f>
        <v>1.95</v>
      </c>
      <c r="G52" s="347">
        <f t="shared" ref="G52:M54" ca="1" si="12">G$55*$E52/100</f>
        <v>0</v>
      </c>
      <c r="H52" s="347">
        <f t="shared" ca="1" si="12"/>
        <v>0</v>
      </c>
      <c r="I52" s="347">
        <f t="shared" ca="1" si="12"/>
        <v>0</v>
      </c>
      <c r="J52" s="347">
        <f t="shared" ca="1" si="12"/>
        <v>0</v>
      </c>
      <c r="K52" s="347">
        <f t="shared" ca="1" si="12"/>
        <v>0</v>
      </c>
      <c r="L52" s="347">
        <f t="shared" ca="1" si="12"/>
        <v>0</v>
      </c>
      <c r="M52" s="347">
        <f t="shared" ca="1" si="12"/>
        <v>0</v>
      </c>
      <c r="N52" s="136"/>
      <c r="O52" s="61"/>
      <c r="T52" s="11"/>
      <c r="U52" s="16"/>
      <c r="V52" s="9"/>
    </row>
    <row r="53" spans="1:22" ht="13" outlineLevel="1" x14ac:dyDescent="0.3">
      <c r="A53" s="1380"/>
      <c r="B53" s="1051" t="s">
        <v>312</v>
      </c>
      <c r="C53" s="9"/>
      <c r="D53" s="9"/>
      <c r="E53" s="238">
        <f>Chem!C42</f>
        <v>2</v>
      </c>
      <c r="F53" s="237">
        <f>Chem!C48</f>
        <v>1.1000000000000001</v>
      </c>
      <c r="G53" s="347">
        <f t="shared" ca="1" si="12"/>
        <v>4.4187907892715481</v>
      </c>
      <c r="H53" s="347">
        <f t="shared" ca="1" si="12"/>
        <v>4.4187907892715481</v>
      </c>
      <c r="I53" s="347">
        <f t="shared" ca="1" si="12"/>
        <v>4.4124927245446699</v>
      </c>
      <c r="J53" s="347">
        <f t="shared" ca="1" si="12"/>
        <v>4.4053303685369993</v>
      </c>
      <c r="K53" s="347">
        <f t="shared" ca="1" si="12"/>
        <v>4.3950065865827002</v>
      </c>
      <c r="L53" s="347">
        <f t="shared" ca="1" si="12"/>
        <v>4.3827597282638751</v>
      </c>
      <c r="M53" s="347">
        <f t="shared" ca="1" si="12"/>
        <v>4.3595485146581066</v>
      </c>
      <c r="N53" s="136"/>
      <c r="O53" s="61"/>
      <c r="T53" s="11"/>
      <c r="U53" s="9"/>
      <c r="V53" s="9"/>
    </row>
    <row r="54" spans="1:22" ht="13" outlineLevel="1" x14ac:dyDescent="0.3">
      <c r="A54" s="1380"/>
      <c r="B54" s="1051" t="s">
        <v>313</v>
      </c>
      <c r="C54" s="13" t="s">
        <v>307</v>
      </c>
      <c r="D54" s="236">
        <f>Chem!C51</f>
        <v>25</v>
      </c>
      <c r="E54" s="14"/>
      <c r="F54" s="15"/>
      <c r="G54" s="348">
        <f t="shared" ca="1" si="12"/>
        <v>0</v>
      </c>
      <c r="H54" s="348">
        <f t="shared" ca="1" si="12"/>
        <v>0</v>
      </c>
      <c r="I54" s="348">
        <f t="shared" ca="1" si="12"/>
        <v>0</v>
      </c>
      <c r="J54" s="348">
        <f t="shared" ca="1" si="12"/>
        <v>0</v>
      </c>
      <c r="K54" s="348">
        <f t="shared" ca="1" si="12"/>
        <v>0</v>
      </c>
      <c r="L54" s="348">
        <f t="shared" ca="1" si="12"/>
        <v>0</v>
      </c>
      <c r="M54" s="348">
        <f t="shared" ca="1" si="12"/>
        <v>0</v>
      </c>
      <c r="N54" s="136"/>
      <c r="O54" s="61"/>
      <c r="T54" s="11"/>
      <c r="U54" s="9"/>
      <c r="V54" s="9"/>
    </row>
    <row r="55" spans="1:22" ht="13" outlineLevel="1" x14ac:dyDescent="0.3">
      <c r="A55" s="1380"/>
      <c r="B55" s="1051" t="s">
        <v>314</v>
      </c>
      <c r="C55" s="9"/>
      <c r="D55" s="9"/>
      <c r="E55" s="12">
        <f>SUM(E51:E54)</f>
        <v>100</v>
      </c>
      <c r="F55" s="11">
        <f>(100-D54)/(E51/F51+E53/F53+E52/F52)</f>
        <v>1.6458852867830427</v>
      </c>
      <c r="G55" s="1000">
        <f t="shared" ref="G55:M55" ca="1" si="13">G51/$E51*100</f>
        <v>220.9395394635774</v>
      </c>
      <c r="H55" s="347">
        <f t="shared" ca="1" si="13"/>
        <v>220.9395394635774</v>
      </c>
      <c r="I55" s="347">
        <f t="shared" ca="1" si="13"/>
        <v>220.62463622723351</v>
      </c>
      <c r="J55" s="347">
        <f t="shared" ca="1" si="13"/>
        <v>220.26651842684996</v>
      </c>
      <c r="K55" s="347">
        <f t="shared" ca="1" si="13"/>
        <v>219.75032932913501</v>
      </c>
      <c r="L55" s="347">
        <f t="shared" ca="1" si="13"/>
        <v>219.13798641319374</v>
      </c>
      <c r="M55" s="347">
        <f t="shared" ca="1" si="13"/>
        <v>217.97742573290532</v>
      </c>
      <c r="N55" s="1290"/>
      <c r="O55" s="61"/>
      <c r="T55" s="11"/>
      <c r="U55" s="9"/>
      <c r="V55" s="9"/>
    </row>
    <row r="56" spans="1:22" ht="13" outlineLevel="1" x14ac:dyDescent="0.3">
      <c r="A56" s="1380"/>
      <c r="B56" s="1051"/>
      <c r="C56" s="9"/>
      <c r="D56" s="9"/>
      <c r="E56" s="12"/>
      <c r="F56" s="11"/>
      <c r="G56" s="347"/>
      <c r="H56" s="347"/>
      <c r="I56" s="347"/>
      <c r="J56" s="347"/>
      <c r="K56" s="347"/>
      <c r="L56" s="347"/>
      <c r="M56" s="347"/>
      <c r="N56" s="136"/>
      <c r="O56" s="61"/>
      <c r="T56" s="11"/>
      <c r="U56" s="9"/>
      <c r="V56" s="9"/>
    </row>
    <row r="57" spans="1:22" ht="15.5" outlineLevel="1" x14ac:dyDescent="0.35">
      <c r="A57" s="1380"/>
      <c r="B57" s="659" t="s">
        <v>315</v>
      </c>
      <c r="C57" s="107"/>
      <c r="G57" s="347"/>
      <c r="H57" s="347"/>
      <c r="I57" s="347"/>
      <c r="J57" s="347"/>
      <c r="K57" s="347"/>
      <c r="L57" s="347"/>
      <c r="M57" s="347"/>
      <c r="N57" s="136"/>
      <c r="O57" s="61"/>
    </row>
    <row r="58" spans="1:22" ht="14" outlineLevel="1" x14ac:dyDescent="0.3">
      <c r="A58" s="1380"/>
      <c r="B58" s="10" t="str">
        <f>"Positive electrode additve (" &amp; Chem!$C$73&amp; "), g/cell"</f>
        <v>Positive electrode additve (None), g/cell</v>
      </c>
      <c r="C58" s="107"/>
      <c r="D58" s="9"/>
      <c r="E58" s="62"/>
      <c r="F58" s="11"/>
      <c r="G58" s="347">
        <f ca="1">G48*Chem!$C$74</f>
        <v>0</v>
      </c>
      <c r="H58" s="347">
        <f ca="1">H48*Chem!$C$74</f>
        <v>0</v>
      </c>
      <c r="I58" s="347">
        <f ca="1">I48*Chem!$C$74</f>
        <v>0</v>
      </c>
      <c r="J58" s="347">
        <f ca="1">J48*Chem!$C$74</f>
        <v>0</v>
      </c>
      <c r="K58" s="347">
        <f ca="1">K48*Chem!$C$74</f>
        <v>0</v>
      </c>
      <c r="L58" s="347">
        <f ca="1">L48*Chem!$C$74</f>
        <v>0</v>
      </c>
      <c r="M58" s="347">
        <f ca="1">M48*Chem!$C$74</f>
        <v>0</v>
      </c>
      <c r="N58" s="136"/>
      <c r="O58" s="61"/>
    </row>
    <row r="59" spans="1:22" ht="14" outlineLevel="1" x14ac:dyDescent="0.3">
      <c r="A59" s="1380"/>
      <c r="B59" s="10" t="str">
        <f>"Negative electrode additve (" &amp; Chem!$C$79&amp; "), g/cell"</f>
        <v>Negative electrode additve (None), g/cell</v>
      </c>
      <c r="C59" s="107"/>
      <c r="D59" s="9"/>
      <c r="E59" s="62"/>
      <c r="F59" s="11"/>
      <c r="G59" s="347">
        <f ca="1">Chem!$C$80*G55</f>
        <v>0</v>
      </c>
      <c r="H59" s="347">
        <f ca="1">Chem!$C$80*H55</f>
        <v>0</v>
      </c>
      <c r="I59" s="347">
        <f ca="1">Chem!$C$80*I55</f>
        <v>0</v>
      </c>
      <c r="J59" s="347">
        <f ca="1">Chem!$C$80*J55</f>
        <v>0</v>
      </c>
      <c r="K59" s="347">
        <f ca="1">Chem!$C$80*K55</f>
        <v>0</v>
      </c>
      <c r="L59" s="347">
        <f ca="1">Chem!$C$80*L55</f>
        <v>0</v>
      </c>
      <c r="M59" s="347">
        <f ca="1">Chem!$C$80*M55</f>
        <v>0</v>
      </c>
      <c r="N59" s="136"/>
      <c r="O59" s="61"/>
    </row>
    <row r="60" spans="1:22" outlineLevel="1" x14ac:dyDescent="0.25">
      <c r="B60" s="59" t="str">
        <f>"Electrolyte additve (" &amp; Chem!$C$85&amp; "), g/cell"</f>
        <v>Electrolyte additve (None), g/cell</v>
      </c>
      <c r="G60" s="176">
        <f ca="1">G67*Chem!$C$86*Chem!$C$87</f>
        <v>0</v>
      </c>
      <c r="H60" s="176">
        <f ca="1">H67*Chem!$C$86*Chem!$C$87</f>
        <v>0</v>
      </c>
      <c r="I60" s="176">
        <f ca="1">I67*Chem!$C$86*Chem!$C$87</f>
        <v>0</v>
      </c>
      <c r="J60" s="176">
        <f ca="1">J67*Chem!$C$86*Chem!$C$87</f>
        <v>0</v>
      </c>
      <c r="K60" s="176">
        <f ca="1">K67*Chem!$C$86*Chem!$C$87</f>
        <v>0</v>
      </c>
      <c r="L60" s="176">
        <f ca="1">L67*Chem!$C$86*Chem!$C$87</f>
        <v>0</v>
      </c>
      <c r="M60" s="176">
        <f ca="1">M67*Chem!$C$86*Chem!$C$87</f>
        <v>0</v>
      </c>
    </row>
    <row r="61" spans="1:22" ht="14" outlineLevel="1" x14ac:dyDescent="0.3">
      <c r="A61" s="1380"/>
      <c r="B61" s="10"/>
      <c r="C61" s="107"/>
      <c r="D61" s="9"/>
      <c r="E61" s="62"/>
      <c r="F61" s="11"/>
      <c r="G61" s="347"/>
      <c r="H61" s="347"/>
      <c r="I61" s="347"/>
      <c r="J61" s="347"/>
      <c r="K61" s="347"/>
      <c r="L61" s="347"/>
      <c r="M61" s="347"/>
      <c r="N61" s="136"/>
      <c r="O61" s="61"/>
    </row>
    <row r="62" spans="1:22" ht="15.5" outlineLevel="1" x14ac:dyDescent="0.35">
      <c r="A62" s="1380"/>
      <c r="B62" s="659" t="s">
        <v>316</v>
      </c>
      <c r="C62" s="107"/>
      <c r="D62" s="61"/>
      <c r="E62" s="62" t="s">
        <v>317</v>
      </c>
      <c r="F62" s="11" t="s">
        <v>302</v>
      </c>
      <c r="G62" s="347"/>
      <c r="H62" s="347"/>
      <c r="I62" s="347"/>
      <c r="J62" s="347"/>
      <c r="K62" s="347"/>
      <c r="L62" s="347"/>
      <c r="M62" s="347"/>
      <c r="N62" s="136"/>
      <c r="O62" s="61"/>
    </row>
    <row r="63" spans="1:22" ht="13" outlineLevel="1" x14ac:dyDescent="0.3">
      <c r="A63" s="1380"/>
      <c r="B63" s="10" t="s">
        <v>318</v>
      </c>
      <c r="C63" s="9"/>
      <c r="D63" s="236" t="str">
        <f>IF(Chem!C30="aluminum","Al","Cu")</f>
        <v>Al</v>
      </c>
      <c r="E63" s="444">
        <f>Chem!C31</f>
        <v>15</v>
      </c>
      <c r="F63" s="237">
        <f>IF(D63="Al",_rho_Al,_rho_Cu)</f>
        <v>2.7</v>
      </c>
      <c r="G63" s="16">
        <f t="shared" ref="G63:M63" ca="1" si="14">G296*G297*(G298+G302)/1000000</f>
        <v>0.47368842395389577</v>
      </c>
      <c r="H63" s="16">
        <f t="shared" ca="1" si="14"/>
        <v>0.47368842395389577</v>
      </c>
      <c r="I63" s="16">
        <f t="shared" ca="1" si="14"/>
        <v>0.52378425547234886</v>
      </c>
      <c r="J63" s="16">
        <f t="shared" ca="1" si="14"/>
        <v>0.60353393289721813</v>
      </c>
      <c r="K63" s="16">
        <f t="shared" ca="1" si="14"/>
        <v>0.73139057786770301</v>
      </c>
      <c r="L63" s="16">
        <f t="shared" ca="1" si="14"/>
        <v>0.98609131160882757</v>
      </c>
      <c r="M63" s="16">
        <f t="shared" ca="1" si="14"/>
        <v>1.8347846767195775</v>
      </c>
      <c r="N63" s="137"/>
      <c r="O63" s="868"/>
    </row>
    <row r="64" spans="1:22" ht="13" outlineLevel="1" x14ac:dyDescent="0.3">
      <c r="A64" s="1380"/>
      <c r="B64" s="10" t="s">
        <v>319</v>
      </c>
      <c r="C64" s="9"/>
      <c r="D64" s="236" t="str">
        <f>IF(Chem!C57="aluminum","Al","Cu")</f>
        <v>Cu</v>
      </c>
      <c r="E64" s="444">
        <f>Chem!C58</f>
        <v>10</v>
      </c>
      <c r="F64" s="237">
        <f>IF(D64="Al",_rho_Al,_rho_Cu)</f>
        <v>8.9600000000000009</v>
      </c>
      <c r="G64" s="16">
        <f t="shared" ref="G64:M64" ca="1" si="15">(G296+1)*(G297+G299)*(G298+G303+G299)/1000000</f>
        <v>0.50547562588281381</v>
      </c>
      <c r="H64" s="16">
        <f t="shared" ca="1" si="15"/>
        <v>0.50547562588281381</v>
      </c>
      <c r="I64" s="16">
        <f t="shared" ca="1" si="15"/>
        <v>0.55737191691433308</v>
      </c>
      <c r="J64" s="16">
        <f t="shared" ca="1" si="15"/>
        <v>0.63991847199690988</v>
      </c>
      <c r="K64" s="16">
        <f t="shared" ca="1" si="15"/>
        <v>0.77224211465204828</v>
      </c>
      <c r="L64" s="16">
        <f t="shared" ca="1" si="15"/>
        <v>1.035530195000786</v>
      </c>
      <c r="M64" s="16">
        <f t="shared" ca="1" si="15"/>
        <v>1.9106070009891081</v>
      </c>
      <c r="N64" s="1291"/>
      <c r="O64" s="61"/>
    </row>
    <row r="65" spans="1:19" ht="13" outlineLevel="1" x14ac:dyDescent="0.3">
      <c r="A65" s="1380"/>
      <c r="B65" s="10" t="s">
        <v>320</v>
      </c>
      <c r="C65" s="9"/>
      <c r="D65" s="9"/>
      <c r="E65" s="238">
        <f>Chem!C61</f>
        <v>15</v>
      </c>
      <c r="F65" s="239">
        <f>Chem!C63</f>
        <v>0.47299999999999998</v>
      </c>
      <c r="G65" s="16">
        <f t="shared" ref="G65:M65" ca="1" si="16">(G297+G300)*(G298+G301)*2*G296/1000000</f>
        <v>0.88789336206686842</v>
      </c>
      <c r="H65" s="16">
        <f t="shared" ca="1" si="16"/>
        <v>0.88789336206686842</v>
      </c>
      <c r="I65" s="16">
        <f t="shared" ca="1" si="16"/>
        <v>0.98247577676996378</v>
      </c>
      <c r="J65" s="16">
        <f t="shared" ca="1" si="16"/>
        <v>1.1316153199403376</v>
      </c>
      <c r="K65" s="16">
        <f t="shared" ca="1" si="16"/>
        <v>1.3742010989698372</v>
      </c>
      <c r="L65" s="16">
        <f t="shared" ca="1" si="16"/>
        <v>1.853860214666937</v>
      </c>
      <c r="M65" s="16">
        <f t="shared" ca="1" si="16"/>
        <v>3.4643528205354324</v>
      </c>
      <c r="N65" s="1291"/>
      <c r="O65" s="61"/>
    </row>
    <row r="66" spans="1:19" ht="13" outlineLevel="1" x14ac:dyDescent="0.3">
      <c r="A66" s="1380"/>
      <c r="B66" s="353" t="s">
        <v>321</v>
      </c>
      <c r="C66" s="9"/>
      <c r="D66" s="9"/>
      <c r="E66" s="238"/>
      <c r="F66" s="237">
        <f>Chem!C66</f>
        <v>1.2</v>
      </c>
      <c r="G66" s="11">
        <f ca="1">(G48/$F48*$D47/100+G55/$F55*$D54/100+G65*$E65*Chem!$C62/100+G81*G297*G298/1000*0.02)/1000</f>
        <v>7.0878089497745628E-2</v>
      </c>
      <c r="H66" s="11">
        <f ca="1">(H48/$F48*$D47/100+H55/$F55*$D54/100+H65*$E65*Chem!$C62/100+H81*H297*H298/1000*0.02)/1000</f>
        <v>7.0878089497745628E-2</v>
      </c>
      <c r="I66" s="11">
        <f ca="1">(I48/$F48*$D47/100+I55/$F55*$D54/100+I65*$E65*Chem!$C62/100+I81*I297*I298/1000*0.02)/1000</f>
        <v>7.1555891575164454E-2</v>
      </c>
      <c r="J66" s="11">
        <f ca="1">(J48/$F48*$D47/100+J55/$F55*$D54/100+J65*$E65*Chem!$C62/100+J81*J297*J298/1000*0.02)/1000</f>
        <v>7.2657134644772053E-2</v>
      </c>
      <c r="K66" s="11">
        <f ca="1">(K48/$F48*$D47/100+K55/$F55*$D54/100+K65*$E65*Chem!$C62/100+K81*K297*K298/1000*0.02)/1000</f>
        <v>7.4481467801589679E-2</v>
      </c>
      <c r="L66" s="11">
        <f ca="1">(L48/$F48*$D47/100+L55/$F55*$D54/100+L65*$E65*Chem!$C62/100+L81*L297*L298/1000*0.02)/1000</f>
        <v>7.818834737591375E-2</v>
      </c>
      <c r="M66" s="11">
        <f ca="1">(M48/$F48*$D47/100+M55/$F55*$D54/100+M65*$E65*Chem!$C62/100+M81*M297*M298/1000*0.02)/1000</f>
        <v>9.0901144089803931E-2</v>
      </c>
      <c r="N66" s="1290"/>
      <c r="O66" s="61"/>
    </row>
    <row r="67" spans="1:19" ht="14" outlineLevel="1" x14ac:dyDescent="0.3">
      <c r="A67" s="1380"/>
      <c r="B67" s="10" t="s">
        <v>322</v>
      </c>
      <c r="C67" s="107"/>
      <c r="D67" s="9"/>
      <c r="E67" s="62"/>
      <c r="F67" s="11"/>
      <c r="G67" s="117">
        <f ca="1">G66*Chem!$C$66*1000</f>
        <v>85.053707397294744</v>
      </c>
      <c r="H67" s="117">
        <f ca="1">H66*Chem!$C$66*1000</f>
        <v>85.053707397294744</v>
      </c>
      <c r="I67" s="117">
        <f ca="1">I66*Chem!$C$66*1000</f>
        <v>85.867069890197342</v>
      </c>
      <c r="J67" s="117">
        <f ca="1">J66*Chem!$C$66*1000</f>
        <v>87.18856157372646</v>
      </c>
      <c r="K67" s="117">
        <f ca="1">K66*Chem!$C$66*1000</f>
        <v>89.377761361907616</v>
      </c>
      <c r="L67" s="117">
        <f ca="1">L66*Chem!$C$66*1000</f>
        <v>93.826016851096497</v>
      </c>
      <c r="M67" s="117">
        <f ca="1">M66*Chem!$C$66*1000</f>
        <v>109.08137290776472</v>
      </c>
      <c r="N67" s="136"/>
      <c r="O67" s="61"/>
    </row>
    <row r="68" spans="1:19" ht="13" outlineLevel="1" x14ac:dyDescent="0.3">
      <c r="A68" s="1380"/>
      <c r="B68" s="9" t="s">
        <v>323</v>
      </c>
      <c r="C68" s="9"/>
      <c r="D68" s="9"/>
      <c r="E68" s="77"/>
      <c r="F68" s="47"/>
      <c r="G68" s="117">
        <f t="shared" ref="G68:M68" ca="1" si="17">((G87+G88)*G92+G89*G91)*G85/1000*$F63</f>
        <v>5.7495197439491355</v>
      </c>
      <c r="H68" s="117">
        <f t="shared" ca="1" si="17"/>
        <v>5.7495197439491355</v>
      </c>
      <c r="I68" s="117">
        <f t="shared" ca="1" si="17"/>
        <v>5.7610269629745137</v>
      </c>
      <c r="J68" s="117">
        <f t="shared" ca="1" si="17"/>
        <v>5.8046717409292414</v>
      </c>
      <c r="K68" s="117">
        <f t="shared" ca="1" si="17"/>
        <v>5.8306048691813199</v>
      </c>
      <c r="L68" s="117">
        <f t="shared" ca="1" si="17"/>
        <v>5.9424002758909316</v>
      </c>
      <c r="M68" s="117">
        <f t="shared" ca="1" si="17"/>
        <v>6.2621867200613606</v>
      </c>
      <c r="N68" s="138"/>
      <c r="O68" s="61"/>
    </row>
    <row r="69" spans="1:19" ht="13" outlineLevel="1" x14ac:dyDescent="0.3">
      <c r="A69" s="1380"/>
      <c r="B69" s="9" t="s">
        <v>324</v>
      </c>
      <c r="C69" s="9"/>
      <c r="D69" s="9"/>
      <c r="E69" s="62"/>
      <c r="F69" s="47"/>
      <c r="G69" s="117">
        <f t="shared" ref="G69:M69" ca="1" si="18">((G87+G88)*G92+G89*G91)*G86/1000*$F64</f>
        <v>12.719925161922042</v>
      </c>
      <c r="H69" s="117">
        <f t="shared" ca="1" si="18"/>
        <v>12.719925161922042</v>
      </c>
      <c r="I69" s="117">
        <f t="shared" ca="1" si="18"/>
        <v>12.745383108210284</v>
      </c>
      <c r="J69" s="117">
        <f t="shared" ca="1" si="18"/>
        <v>12.841940444129879</v>
      </c>
      <c r="K69" s="117">
        <f t="shared" ca="1" si="18"/>
        <v>12.899313488361637</v>
      </c>
      <c r="L69" s="117">
        <f t="shared" ca="1" si="18"/>
        <v>13.146643573329074</v>
      </c>
      <c r="M69" s="117">
        <f t="shared" ca="1" si="18"/>
        <v>13.854121731296248</v>
      </c>
      <c r="N69" s="138"/>
      <c r="O69" s="61"/>
    </row>
    <row r="70" spans="1:19" ht="13" outlineLevel="1" x14ac:dyDescent="0.3">
      <c r="A70" s="1380"/>
      <c r="B70" s="61" t="s">
        <v>325</v>
      </c>
      <c r="C70" s="9"/>
      <c r="D70" s="9"/>
      <c r="E70" s="62"/>
      <c r="F70" s="47"/>
      <c r="G70" s="126">
        <f>100</f>
        <v>100</v>
      </c>
      <c r="H70" s="126">
        <f>100</f>
        <v>100</v>
      </c>
      <c r="I70" s="126">
        <f>100</f>
        <v>100</v>
      </c>
      <c r="J70" s="126">
        <f>100</f>
        <v>100</v>
      </c>
      <c r="K70" s="126">
        <f>100</f>
        <v>100</v>
      </c>
      <c r="L70" s="126">
        <f>100</f>
        <v>100</v>
      </c>
      <c r="M70" s="126">
        <f>100</f>
        <v>100</v>
      </c>
      <c r="N70" s="77"/>
      <c r="O70" s="61"/>
    </row>
    <row r="71" spans="1:19" ht="13" outlineLevel="1" x14ac:dyDescent="0.3">
      <c r="A71" s="1380"/>
      <c r="B71" s="61" t="s">
        <v>326</v>
      </c>
      <c r="C71" s="9"/>
      <c r="D71" s="9"/>
      <c r="E71" s="62"/>
      <c r="F71" s="47"/>
      <c r="G71" s="126">
        <f>30</f>
        <v>30</v>
      </c>
      <c r="H71" s="126">
        <f>30</f>
        <v>30</v>
      </c>
      <c r="I71" s="126">
        <f>30</f>
        <v>30</v>
      </c>
      <c r="J71" s="126">
        <f>30</f>
        <v>30</v>
      </c>
      <c r="K71" s="126">
        <f>30</f>
        <v>30</v>
      </c>
      <c r="L71" s="126">
        <f>30</f>
        <v>30</v>
      </c>
      <c r="M71" s="126">
        <f>30</f>
        <v>30</v>
      </c>
      <c r="N71" s="77"/>
      <c r="O71" s="61"/>
    </row>
    <row r="72" spans="1:19" ht="13" outlineLevel="1" x14ac:dyDescent="0.3">
      <c r="A72" s="1380"/>
      <c r="B72" s="61" t="s">
        <v>327</v>
      </c>
      <c r="C72" s="9"/>
      <c r="D72" s="9"/>
      <c r="E72" s="62"/>
      <c r="F72" s="47"/>
      <c r="G72" s="126">
        <f>20</f>
        <v>20</v>
      </c>
      <c r="H72" s="126">
        <f>20</f>
        <v>20</v>
      </c>
      <c r="I72" s="126">
        <f>20</f>
        <v>20</v>
      </c>
      <c r="J72" s="126">
        <f>20</f>
        <v>20</v>
      </c>
      <c r="K72" s="126">
        <f>20</f>
        <v>20</v>
      </c>
      <c r="L72" s="126">
        <f>20</f>
        <v>20</v>
      </c>
      <c r="M72" s="126">
        <f>20</f>
        <v>20</v>
      </c>
      <c r="N72" s="77"/>
      <c r="O72" s="61"/>
    </row>
    <row r="73" spans="1:19" ht="13" outlineLevel="1" x14ac:dyDescent="0.3">
      <c r="A73" s="1380"/>
      <c r="B73" s="61" t="s">
        <v>328</v>
      </c>
      <c r="C73" s="9"/>
      <c r="D73" s="9"/>
      <c r="E73" s="62"/>
      <c r="F73" s="47"/>
      <c r="G73" s="12">
        <f>G71+G70+G72</f>
        <v>150</v>
      </c>
      <c r="H73" s="12">
        <f t="shared" ref="H73:M73" si="19">H71+H70+H72</f>
        <v>150</v>
      </c>
      <c r="I73" s="12">
        <f t="shared" si="19"/>
        <v>150</v>
      </c>
      <c r="J73" s="12">
        <f t="shared" si="19"/>
        <v>150</v>
      </c>
      <c r="K73" s="12">
        <f t="shared" si="19"/>
        <v>150</v>
      </c>
      <c r="L73" s="12">
        <f t="shared" si="19"/>
        <v>150</v>
      </c>
      <c r="M73" s="12">
        <f t="shared" si="19"/>
        <v>150</v>
      </c>
      <c r="N73" s="1290"/>
      <c r="O73" s="61"/>
      <c r="Q73" s="176"/>
    </row>
    <row r="74" spans="1:19" ht="13" outlineLevel="1" x14ac:dyDescent="0.3">
      <c r="A74" s="1380"/>
      <c r="B74" s="61" t="s">
        <v>329</v>
      </c>
      <c r="C74" s="9"/>
      <c r="D74" s="9"/>
      <c r="E74" s="62"/>
      <c r="F74" s="47"/>
      <c r="G74" s="117">
        <f t="shared" ref="G74:M74" si="20">(G71*_rho_PET+G70*_rho_Al+G72*_rho_PP)/G73</f>
        <v>2.2021333333333333</v>
      </c>
      <c r="H74" s="117">
        <f t="shared" si="20"/>
        <v>2.2021333333333333</v>
      </c>
      <c r="I74" s="117">
        <f t="shared" si="20"/>
        <v>2.2021333333333333</v>
      </c>
      <c r="J74" s="117">
        <f t="shared" si="20"/>
        <v>2.2021333333333333</v>
      </c>
      <c r="K74" s="117">
        <f t="shared" si="20"/>
        <v>2.2021333333333333</v>
      </c>
      <c r="L74" s="117">
        <f t="shared" si="20"/>
        <v>2.2021333333333333</v>
      </c>
      <c r="M74" s="117">
        <f t="shared" si="20"/>
        <v>2.2021333333333333</v>
      </c>
      <c r="N74" s="1290"/>
      <c r="O74" s="506"/>
    </row>
    <row r="75" spans="1:19" ht="13" outlineLevel="1" x14ac:dyDescent="0.3">
      <c r="A75" s="1380"/>
      <c r="B75" s="61" t="s">
        <v>330</v>
      </c>
      <c r="C75" s="9"/>
      <c r="D75" s="9"/>
      <c r="E75" s="62"/>
      <c r="F75" s="47"/>
      <c r="G75" s="150">
        <f>6</f>
        <v>6</v>
      </c>
      <c r="H75" s="150">
        <f>6</f>
        <v>6</v>
      </c>
      <c r="I75" s="150">
        <f>6</f>
        <v>6</v>
      </c>
      <c r="J75" s="150">
        <f>6</f>
        <v>6</v>
      </c>
      <c r="K75" s="150">
        <f>6</f>
        <v>6</v>
      </c>
      <c r="L75" s="150">
        <f>6</f>
        <v>6</v>
      </c>
      <c r="M75" s="150">
        <f>6</f>
        <v>6</v>
      </c>
      <c r="N75" s="1290"/>
      <c r="O75" s="506"/>
    </row>
    <row r="76" spans="1:19" ht="13" outlineLevel="1" x14ac:dyDescent="0.3">
      <c r="A76" s="1380"/>
      <c r="B76" s="9" t="s">
        <v>331</v>
      </c>
      <c r="C76" s="9"/>
      <c r="D76" s="9"/>
      <c r="E76" s="62"/>
      <c r="F76" s="47"/>
      <c r="G76" s="16">
        <f t="shared" ref="G76:M76" ca="1" si="21">((G305+2*G81+G75)*(G306-2*G87)+(G305+G75)*(G306-2*G87))*G73/1000*G74/1000</f>
        <v>16.39656533851057</v>
      </c>
      <c r="H76" s="16">
        <f t="shared" ca="1" si="21"/>
        <v>16.39656533851057</v>
      </c>
      <c r="I76" s="16">
        <f t="shared" ca="1" si="21"/>
        <v>16.519182720740321</v>
      </c>
      <c r="J76" s="16">
        <f t="shared" ca="1" si="21"/>
        <v>16.653533883086862</v>
      </c>
      <c r="K76" s="16">
        <f t="shared" ca="1" si="21"/>
        <v>16.998330555443125</v>
      </c>
      <c r="L76" s="16">
        <f t="shared" ca="1" si="21"/>
        <v>17.536727397505011</v>
      </c>
      <c r="M76" s="16">
        <f t="shared" ca="1" si="21"/>
        <v>19.507238514742244</v>
      </c>
      <c r="N76" s="1290"/>
      <c r="O76" s="506"/>
    </row>
    <row r="77" spans="1:19" ht="13" outlineLevel="1" x14ac:dyDescent="0.3">
      <c r="A77" s="1380"/>
      <c r="B77" s="61" t="s">
        <v>332</v>
      </c>
      <c r="C77" s="9"/>
      <c r="D77" s="9"/>
      <c r="E77" s="12"/>
      <c r="F77" s="16"/>
      <c r="G77" s="12">
        <f t="shared" ref="G77:M77" ca="1" si="22">G48+G55+G63*$E63*$F63+G64*$E64*$F64+G65*$E65*$F65+G66*$F66*1000+G68+G69+G76+G58+G59</f>
        <v>744.12404318622259</v>
      </c>
      <c r="H77" s="12">
        <f t="shared" ca="1" si="22"/>
        <v>744.12404318622259</v>
      </c>
      <c r="I77" s="12">
        <f t="shared" ca="1" si="22"/>
        <v>751.73532434814558</v>
      </c>
      <c r="J77" s="12">
        <f t="shared" ca="1" si="22"/>
        <v>764.16940449658193</v>
      </c>
      <c r="K77" s="12">
        <f t="shared" ca="1" si="22"/>
        <v>784.4621402355491</v>
      </c>
      <c r="L77" s="12">
        <f t="shared" ca="1" si="22"/>
        <v>825.82956133947334</v>
      </c>
      <c r="M77" s="12">
        <f t="shared" ca="1" si="22"/>
        <v>966.23717413132601</v>
      </c>
      <c r="N77" s="77"/>
      <c r="O77" s="61"/>
    </row>
    <row r="78" spans="1:19" ht="13" outlineLevel="1" x14ac:dyDescent="0.3">
      <c r="A78" s="1380"/>
      <c r="B78" s="61" t="s">
        <v>333</v>
      </c>
      <c r="C78" s="9"/>
      <c r="D78" s="9"/>
      <c r="E78" s="64"/>
      <c r="F78" s="11"/>
      <c r="G78" s="532">
        <f>3</f>
        <v>3</v>
      </c>
      <c r="H78" s="532">
        <f>3</f>
        <v>3</v>
      </c>
      <c r="I78" s="532">
        <f>3</f>
        <v>3</v>
      </c>
      <c r="J78" s="532">
        <f>3</f>
        <v>3</v>
      </c>
      <c r="K78" s="532">
        <f>3</f>
        <v>3</v>
      </c>
      <c r="L78" s="532">
        <f>3</f>
        <v>3</v>
      </c>
      <c r="M78" s="532">
        <f>3</f>
        <v>3</v>
      </c>
      <c r="N78" s="135"/>
      <c r="O78" s="61"/>
    </row>
    <row r="79" spans="1:19" ht="13" outlineLevel="1" x14ac:dyDescent="0.3">
      <c r="A79" s="1380"/>
      <c r="B79" s="61" t="s">
        <v>334</v>
      </c>
      <c r="C79" s="9"/>
      <c r="D79" s="9"/>
      <c r="E79" s="64"/>
      <c r="F79" s="11"/>
      <c r="G79" s="1295">
        <f>IF(G80= "", 'Vehicle Considerations'!$B$12, G80)</f>
        <v>20</v>
      </c>
      <c r="H79" s="1295">
        <f>IF(H80= "", 'Vehicle Considerations'!$B$12, H80)</f>
        <v>20</v>
      </c>
      <c r="I79" s="1295">
        <f>IF(I80= "", 'Vehicle Considerations'!$B$12, I80)</f>
        <v>20</v>
      </c>
      <c r="J79" s="1295">
        <f>IF(J80= "", 'Vehicle Considerations'!$B$12, J80)</f>
        <v>20</v>
      </c>
      <c r="K79" s="1295">
        <f>IF(K80= "", 'Vehicle Considerations'!$B$12, K80)</f>
        <v>20</v>
      </c>
      <c r="L79" s="1295">
        <f>IF(L80= "", 'Vehicle Considerations'!$B$12, L80)</f>
        <v>20</v>
      </c>
      <c r="M79" s="1295">
        <f>IF(M80= "", 'Vehicle Considerations'!$B$12, M80)</f>
        <v>20</v>
      </c>
      <c r="N79" s="211"/>
      <c r="O79" s="61"/>
    </row>
    <row r="80" spans="1:19" ht="14" outlineLevel="1" x14ac:dyDescent="0.3">
      <c r="A80" s="1380"/>
      <c r="B80" s="61" t="s">
        <v>335</v>
      </c>
      <c r="C80" s="9"/>
      <c r="D80" s="9"/>
      <c r="E80" s="64"/>
      <c r="F80" s="11"/>
      <c r="G80" s="1320"/>
      <c r="H80" s="1320"/>
      <c r="I80" s="1320"/>
      <c r="J80" s="1320"/>
      <c r="K80" s="1320"/>
      <c r="L80" s="1320"/>
      <c r="M80" s="1320"/>
      <c r="N80" s="186"/>
      <c r="O80" s="61"/>
      <c r="S80" s="96"/>
    </row>
    <row r="81" spans="1:32" ht="13" outlineLevel="1" x14ac:dyDescent="0.3">
      <c r="A81" s="1380"/>
      <c r="B81" s="61" t="s">
        <v>210</v>
      </c>
      <c r="C81" s="9"/>
      <c r="D81" s="9"/>
      <c r="E81" s="64"/>
      <c r="G81" s="141">
        <f t="shared" ref="G81:M81" ca="1" si="23">IF(G80=0,G79,G80)+G470</f>
        <v>20.110917842490693</v>
      </c>
      <c r="H81" s="141">
        <f t="shared" ca="1" si="23"/>
        <v>20.110917842490693</v>
      </c>
      <c r="I81" s="141">
        <f t="shared" ca="1" si="23"/>
        <v>20.046883370495337</v>
      </c>
      <c r="J81" s="141">
        <f t="shared" ca="1" si="23"/>
        <v>20.164715249111477</v>
      </c>
      <c r="K81" s="141">
        <f t="shared" ca="1" si="23"/>
        <v>19.954895781958339</v>
      </c>
      <c r="L81" s="141">
        <f t="shared" ca="1" si="23"/>
        <v>20.056724738105832</v>
      </c>
      <c r="M81" s="141">
        <f t="shared" ca="1" si="23"/>
        <v>19.984047291165613</v>
      </c>
      <c r="N81" s="129"/>
      <c r="O81" s="61"/>
    </row>
    <row r="82" spans="1:32" ht="13" outlineLevel="1" x14ac:dyDescent="0.3">
      <c r="A82" s="1380"/>
      <c r="B82" s="61" t="s">
        <v>336</v>
      </c>
      <c r="C82" s="9"/>
      <c r="D82" s="9"/>
      <c r="E82" s="64"/>
      <c r="G82" s="1294">
        <v>1</v>
      </c>
      <c r="H82" s="1294">
        <v>1</v>
      </c>
      <c r="I82" s="1294">
        <v>1</v>
      </c>
      <c r="J82" s="1294">
        <v>1</v>
      </c>
      <c r="K82" s="1294">
        <v>1</v>
      </c>
      <c r="L82" s="1294">
        <v>1</v>
      </c>
      <c r="M82" s="1294">
        <v>1</v>
      </c>
      <c r="N82" s="212"/>
      <c r="O82" s="61"/>
      <c r="T82" s="453"/>
      <c r="U82" s="453"/>
      <c r="V82" s="453"/>
      <c r="W82" s="453"/>
      <c r="X82" s="453"/>
      <c r="Y82" s="453"/>
      <c r="Z82" s="453"/>
      <c r="AA82" s="453"/>
      <c r="AB82" s="453"/>
    </row>
    <row r="83" spans="1:32" ht="13" outlineLevel="1" x14ac:dyDescent="0.3">
      <c r="A83" s="1380"/>
      <c r="B83" s="61"/>
      <c r="C83" s="9"/>
      <c r="D83" s="9"/>
      <c r="E83" s="64"/>
      <c r="G83" s="661"/>
      <c r="H83" s="661"/>
      <c r="I83" s="661"/>
      <c r="J83" s="661"/>
      <c r="K83" s="661"/>
      <c r="L83" s="661"/>
      <c r="M83" s="661"/>
      <c r="N83" s="212"/>
      <c r="O83" s="61"/>
      <c r="T83" s="453"/>
      <c r="U83" s="453"/>
      <c r="V83" s="453"/>
      <c r="W83" s="453"/>
      <c r="X83" s="453"/>
      <c r="Y83" s="453"/>
      <c r="Z83" s="453"/>
      <c r="AA83" s="453"/>
      <c r="AB83" s="453"/>
    </row>
    <row r="84" spans="1:32" ht="14" outlineLevel="1" x14ac:dyDescent="0.3">
      <c r="A84" s="1380"/>
      <c r="B84" s="664" t="s">
        <v>337</v>
      </c>
      <c r="D84" s="222"/>
      <c r="G84" s="512"/>
      <c r="H84" s="512"/>
      <c r="I84" s="512"/>
      <c r="J84" s="512"/>
      <c r="K84" s="512"/>
      <c r="L84" s="512"/>
      <c r="M84" s="512"/>
      <c r="N84" s="446"/>
      <c r="O84" s="61"/>
    </row>
    <row r="85" spans="1:32" ht="13" outlineLevel="1" x14ac:dyDescent="0.3">
      <c r="A85" s="1380"/>
      <c r="B85" s="353" t="s">
        <v>338</v>
      </c>
      <c r="C85" s="85"/>
      <c r="D85" s="515"/>
      <c r="E85" s="85"/>
      <c r="F85" s="174"/>
      <c r="G85" s="150">
        <v>1.2</v>
      </c>
      <c r="H85" s="150">
        <v>1.2</v>
      </c>
      <c r="I85" s="150">
        <v>1.2</v>
      </c>
      <c r="J85" s="150">
        <v>1.2</v>
      </c>
      <c r="K85" s="150">
        <v>1.2</v>
      </c>
      <c r="L85" s="150">
        <v>1.2</v>
      </c>
      <c r="M85" s="150">
        <v>1.2</v>
      </c>
      <c r="N85" s="446"/>
      <c r="O85" s="61"/>
    </row>
    <row r="86" spans="1:32" ht="13" outlineLevel="1" x14ac:dyDescent="0.3">
      <c r="A86" s="1380"/>
      <c r="B86" s="353" t="s">
        <v>339</v>
      </c>
      <c r="C86" s="85"/>
      <c r="D86" s="515"/>
      <c r="E86" s="85"/>
      <c r="F86" s="174"/>
      <c r="G86" s="150">
        <f t="shared" ref="G86:M86" si="24">IF($D64="Cu",0.8,1.2)</f>
        <v>0.8</v>
      </c>
      <c r="H86" s="150">
        <f t="shared" si="24"/>
        <v>0.8</v>
      </c>
      <c r="I86" s="150">
        <f t="shared" si="24"/>
        <v>0.8</v>
      </c>
      <c r="J86" s="150">
        <f t="shared" si="24"/>
        <v>0.8</v>
      </c>
      <c r="K86" s="150">
        <f t="shared" si="24"/>
        <v>0.8</v>
      </c>
      <c r="L86" s="150">
        <f t="shared" si="24"/>
        <v>0.8</v>
      </c>
      <c r="M86" s="150">
        <f t="shared" si="24"/>
        <v>0.8</v>
      </c>
      <c r="N86" s="512"/>
      <c r="O86" s="512"/>
      <c r="P86" s="446"/>
      <c r="Q86" s="61"/>
    </row>
    <row r="87" spans="1:32" ht="13" outlineLevel="1" x14ac:dyDescent="0.3">
      <c r="A87" s="1380"/>
      <c r="B87" s="353" t="s">
        <v>340</v>
      </c>
      <c r="C87" s="85"/>
      <c r="D87" s="515"/>
      <c r="E87" s="85"/>
      <c r="F87" s="174" t="s">
        <v>341</v>
      </c>
      <c r="G87" s="126">
        <f>8</f>
        <v>8</v>
      </c>
      <c r="H87" s="126">
        <f>8</f>
        <v>8</v>
      </c>
      <c r="I87" s="126">
        <f>8</f>
        <v>8</v>
      </c>
      <c r="J87" s="126">
        <f>8</f>
        <v>8</v>
      </c>
      <c r="K87" s="126">
        <f>8</f>
        <v>8</v>
      </c>
      <c r="L87" s="126">
        <f>8</f>
        <v>8</v>
      </c>
      <c r="M87" s="126">
        <f>8</f>
        <v>8</v>
      </c>
      <c r="N87" s="512"/>
      <c r="O87" s="512"/>
      <c r="P87" s="446"/>
      <c r="Q87" s="61"/>
    </row>
    <row r="88" spans="1:32" ht="13" outlineLevel="1" x14ac:dyDescent="0.3">
      <c r="A88" s="1380"/>
      <c r="B88" s="353" t="s">
        <v>342</v>
      </c>
      <c r="C88" s="85"/>
      <c r="D88" s="515"/>
      <c r="E88" s="85"/>
      <c r="F88" s="174" t="s">
        <v>343</v>
      </c>
      <c r="G88" s="126">
        <f>5</f>
        <v>5</v>
      </c>
      <c r="H88" s="126">
        <f>5</f>
        <v>5</v>
      </c>
      <c r="I88" s="126">
        <f>5</f>
        <v>5</v>
      </c>
      <c r="J88" s="126">
        <f>5</f>
        <v>5</v>
      </c>
      <c r="K88" s="126">
        <f>5</f>
        <v>5</v>
      </c>
      <c r="L88" s="126">
        <f>5</f>
        <v>5</v>
      </c>
      <c r="M88" s="126">
        <f>5</f>
        <v>5</v>
      </c>
      <c r="N88" s="512"/>
      <c r="O88" s="512"/>
      <c r="P88" s="446"/>
      <c r="Q88" s="61"/>
    </row>
    <row r="89" spans="1:32" ht="13" outlineLevel="1" x14ac:dyDescent="0.3">
      <c r="A89" s="1380"/>
      <c r="B89" t="s">
        <v>344</v>
      </c>
      <c r="C89" s="85"/>
      <c r="D89" s="515"/>
      <c r="E89" s="85"/>
      <c r="F89" s="174" t="s">
        <v>345</v>
      </c>
      <c r="G89" s="2">
        <f t="shared" ref="G89:M89" ca="1" si="25">G302-G95</f>
        <v>20.122009626739761</v>
      </c>
      <c r="H89" s="2">
        <f t="shared" ca="1" si="25"/>
        <v>20.122009626739761</v>
      </c>
      <c r="I89" s="2">
        <f t="shared" ca="1" si="25"/>
        <v>20.05157170754487</v>
      </c>
      <c r="J89" s="2">
        <f t="shared" ca="1" si="25"/>
        <v>20.181186774022621</v>
      </c>
      <c r="K89" s="2">
        <f t="shared" ca="1" si="25"/>
        <v>19.950385360154172</v>
      </c>
      <c r="L89" s="2">
        <f t="shared" ca="1" si="25"/>
        <v>20.062397211916412</v>
      </c>
      <c r="M89" s="2">
        <f t="shared" ca="1" si="25"/>
        <v>19.982452020282174</v>
      </c>
      <c r="N89" s="512"/>
      <c r="O89" s="512"/>
      <c r="P89" s="446"/>
      <c r="Q89" s="61"/>
    </row>
    <row r="90" spans="1:32" ht="13" outlineLevel="1" x14ac:dyDescent="0.3">
      <c r="A90" s="1380"/>
      <c r="B90" s="353" t="s">
        <v>346</v>
      </c>
      <c r="C90" s="85"/>
      <c r="D90" s="515"/>
      <c r="E90" s="85"/>
      <c r="F90" s="174"/>
      <c r="G90" s="126">
        <f>2</f>
        <v>2</v>
      </c>
      <c r="H90" s="126">
        <f>2</f>
        <v>2</v>
      </c>
      <c r="I90" s="126">
        <f>2</f>
        <v>2</v>
      </c>
      <c r="J90" s="126">
        <f>2</f>
        <v>2</v>
      </c>
      <c r="K90" s="126">
        <f>2</f>
        <v>2</v>
      </c>
      <c r="L90" s="126">
        <f>2</f>
        <v>2</v>
      </c>
      <c r="M90" s="126">
        <f>2</f>
        <v>2</v>
      </c>
      <c r="N90" s="512"/>
      <c r="O90" s="512"/>
      <c r="P90" s="446"/>
      <c r="Q90" s="61"/>
    </row>
    <row r="91" spans="1:32" ht="13" outlineLevel="1" x14ac:dyDescent="0.3">
      <c r="A91" s="1380"/>
      <c r="B91" s="353" t="s">
        <v>347</v>
      </c>
      <c r="C91" s="85"/>
      <c r="D91" s="515"/>
      <c r="E91" s="85"/>
      <c r="F91" s="174" t="s">
        <v>348</v>
      </c>
      <c r="G91" s="2">
        <f t="shared" ref="G91:M91" ca="1" si="26">G297-2*G90</f>
        <v>62.346810985586643</v>
      </c>
      <c r="H91" s="2">
        <f t="shared" ca="1" si="26"/>
        <v>62.346810985586643</v>
      </c>
      <c r="I91" s="2">
        <f t="shared" ca="1" si="26"/>
        <v>62.742949032040869</v>
      </c>
      <c r="J91" s="2">
        <f t="shared" ca="1" si="26"/>
        <v>63.007461670957014</v>
      </c>
      <c r="K91" s="2">
        <f t="shared" ca="1" si="26"/>
        <v>64.137578345926258</v>
      </c>
      <c r="L91" s="2">
        <f t="shared" ca="1" si="26"/>
        <v>65.4993590917978</v>
      </c>
      <c r="M91" s="2">
        <f t="shared" ca="1" si="26"/>
        <v>70.700716688688658</v>
      </c>
      <c r="N91" s="512"/>
      <c r="O91" s="512"/>
      <c r="P91" s="446"/>
      <c r="Q91" s="61"/>
    </row>
    <row r="92" spans="1:32" ht="13" outlineLevel="1" x14ac:dyDescent="0.3">
      <c r="A92" s="1380"/>
      <c r="B92" s="353" t="s">
        <v>349</v>
      </c>
      <c r="C92"/>
      <c r="D92" s="562"/>
      <c r="E92"/>
      <c r="F92" s="174" t="s">
        <v>350</v>
      </c>
      <c r="G92" s="85">
        <f t="shared" ref="G92:M92" ca="1" si="27">IF(G297&gt;84,50,40)</f>
        <v>40</v>
      </c>
      <c r="H92" s="85">
        <f t="shared" ca="1" si="27"/>
        <v>40</v>
      </c>
      <c r="I92" s="85">
        <f t="shared" ca="1" si="27"/>
        <v>40</v>
      </c>
      <c r="J92" s="85">
        <f t="shared" ca="1" si="27"/>
        <v>40</v>
      </c>
      <c r="K92" s="85">
        <f t="shared" ca="1" si="27"/>
        <v>40</v>
      </c>
      <c r="L92" s="85">
        <f t="shared" ca="1" si="27"/>
        <v>40</v>
      </c>
      <c r="M92" s="85">
        <f t="shared" ca="1" si="27"/>
        <v>40</v>
      </c>
      <c r="N92" s="512"/>
      <c r="O92" s="512"/>
      <c r="P92" s="446"/>
      <c r="Q92" s="61"/>
    </row>
    <row r="93" spans="1:32" ht="13" outlineLevel="1" x14ac:dyDescent="0.3">
      <c r="A93" s="1380"/>
      <c r="B93" t="s">
        <v>351</v>
      </c>
      <c r="C93" s="85"/>
      <c r="D93" s="515"/>
      <c r="E93" s="85"/>
      <c r="F93" s="85"/>
      <c r="G93" s="2">
        <f t="shared" ref="G93:M93" ca="1" si="28">G89+G88+G87</f>
        <v>33.122009626739761</v>
      </c>
      <c r="H93" s="2">
        <f t="shared" ca="1" si="28"/>
        <v>33.122009626739761</v>
      </c>
      <c r="I93" s="2">
        <f t="shared" ca="1" si="28"/>
        <v>33.051571707544866</v>
      </c>
      <c r="J93" s="2">
        <f t="shared" ca="1" si="28"/>
        <v>33.181186774022621</v>
      </c>
      <c r="K93" s="2">
        <f t="shared" ca="1" si="28"/>
        <v>32.950385360154172</v>
      </c>
      <c r="L93" s="2">
        <f t="shared" ca="1" si="28"/>
        <v>33.062397211916412</v>
      </c>
      <c r="M93" s="2">
        <f t="shared" ca="1" si="28"/>
        <v>32.982452020282174</v>
      </c>
      <c r="N93" s="512"/>
      <c r="O93" s="512"/>
      <c r="P93" s="446"/>
      <c r="Q93" s="61"/>
    </row>
    <row r="94" spans="1:32" ht="13.4" customHeight="1" outlineLevel="1" x14ac:dyDescent="0.3">
      <c r="A94" s="1380"/>
      <c r="B94" s="1051" t="s">
        <v>352</v>
      </c>
      <c r="D94" s="515"/>
      <c r="E94" s="85"/>
      <c r="F94" s="85"/>
      <c r="G94" s="2">
        <f t="shared" ref="G94:M94" ca="1" si="29">1.2*G93</f>
        <v>39.746411552087714</v>
      </c>
      <c r="H94" s="2">
        <f t="shared" ca="1" si="29"/>
        <v>39.746411552087714</v>
      </c>
      <c r="I94" s="2">
        <f t="shared" ca="1" si="29"/>
        <v>39.661886049053841</v>
      </c>
      <c r="J94" s="2">
        <f t="shared" ca="1" si="29"/>
        <v>39.817424128827142</v>
      </c>
      <c r="K94" s="2">
        <f t="shared" ca="1" si="29"/>
        <v>39.540462432185002</v>
      </c>
      <c r="L94" s="2">
        <f t="shared" ca="1" si="29"/>
        <v>39.674876654299695</v>
      </c>
      <c r="M94" s="2">
        <f t="shared" ca="1" si="29"/>
        <v>39.578942424338607</v>
      </c>
      <c r="N94" s="512"/>
      <c r="O94" s="512"/>
      <c r="P94" s="446"/>
      <c r="Q94" s="61"/>
    </row>
    <row r="95" spans="1:32" ht="13" outlineLevel="1" x14ac:dyDescent="0.3">
      <c r="A95" s="1380"/>
      <c r="B95" s="61" t="s">
        <v>353</v>
      </c>
      <c r="D95" s="222"/>
      <c r="F95" s="174"/>
      <c r="G95" s="1293">
        <f t="shared" ref="G95:M95" ca="1" si="30">G81*0.1+G301/2</f>
        <v>4.0110917842490696</v>
      </c>
      <c r="H95" s="1293">
        <f t="shared" ca="1" si="30"/>
        <v>4.0110917842490696</v>
      </c>
      <c r="I95" s="1293">
        <f t="shared" ca="1" si="30"/>
        <v>4.0046883370495339</v>
      </c>
      <c r="J95" s="1293">
        <f t="shared" ca="1" si="30"/>
        <v>4.0164715249111484</v>
      </c>
      <c r="K95" s="1293">
        <f t="shared" ca="1" si="30"/>
        <v>3.9954895781958339</v>
      </c>
      <c r="L95" s="1293">
        <f t="shared" ca="1" si="30"/>
        <v>4.0056724738105833</v>
      </c>
      <c r="M95" s="1293">
        <f t="shared" ca="1" si="30"/>
        <v>3.9984047291165616</v>
      </c>
      <c r="N95" s="171"/>
      <c r="O95" s="61"/>
      <c r="W95" s="1380"/>
      <c r="X95" s="1380"/>
      <c r="Y95" s="1380"/>
      <c r="Z95" s="1380"/>
      <c r="AA95" s="1380"/>
      <c r="AB95" s="1380"/>
      <c r="AC95" s="1380"/>
      <c r="AD95" s="1380"/>
      <c r="AE95" s="1380"/>
      <c r="AF95" s="1380"/>
    </row>
    <row r="96" spans="1:32" ht="13" outlineLevel="1" x14ac:dyDescent="0.3">
      <c r="A96" s="1380"/>
      <c r="B96" s="61"/>
      <c r="D96" s="222"/>
      <c r="F96" s="174"/>
      <c r="G96" s="204"/>
      <c r="H96" s="204"/>
      <c r="I96" s="204"/>
      <c r="J96" s="204"/>
      <c r="K96" s="204"/>
      <c r="L96" s="204"/>
      <c r="M96" s="204"/>
      <c r="N96" s="171"/>
      <c r="O96" s="61"/>
      <c r="W96" s="1380"/>
      <c r="X96" s="1380"/>
      <c r="Y96" s="1380"/>
      <c r="Z96" s="1380"/>
      <c r="AA96" s="1380"/>
      <c r="AB96" s="1380"/>
      <c r="AC96" s="1380"/>
      <c r="AD96" s="1380"/>
      <c r="AE96" s="1380"/>
      <c r="AF96" s="1380"/>
    </row>
    <row r="97" spans="1:32" ht="15.5" outlineLevel="1" x14ac:dyDescent="0.35">
      <c r="A97" s="1380"/>
      <c r="B97" s="660" t="s">
        <v>354</v>
      </c>
      <c r="C97" s="107"/>
      <c r="D97" s="107"/>
      <c r="E97" s="12"/>
      <c r="F97" s="16"/>
      <c r="G97" s="23"/>
      <c r="H97" s="23"/>
      <c r="I97" s="23"/>
      <c r="J97" s="23"/>
      <c r="K97" s="23"/>
      <c r="L97" s="23"/>
      <c r="M97" s="23"/>
      <c r="N97" s="171"/>
      <c r="O97" s="61"/>
      <c r="W97" s="1380"/>
      <c r="X97" s="1380"/>
      <c r="Y97" s="1380"/>
      <c r="Z97" s="1380"/>
      <c r="AA97" s="1380"/>
      <c r="AB97" s="1380"/>
      <c r="AC97" s="1380"/>
      <c r="AD97" s="1380"/>
      <c r="AE97" s="1380"/>
      <c r="AF97" s="1380"/>
    </row>
    <row r="98" spans="1:32" ht="13" outlineLevel="1" x14ac:dyDescent="0.3">
      <c r="A98" s="1380"/>
      <c r="B98" s="353" t="s">
        <v>355</v>
      </c>
      <c r="F98" s="16"/>
      <c r="G98" s="999">
        <f>Chem!$C8</f>
        <v>213.6</v>
      </c>
      <c r="H98" s="999">
        <f>Chem!$C8</f>
        <v>213.6</v>
      </c>
      <c r="I98" s="999">
        <f>Chem!$C8</f>
        <v>213.6</v>
      </c>
      <c r="J98" s="999">
        <f>Chem!$C8</f>
        <v>213.6</v>
      </c>
      <c r="K98" s="999">
        <f>Chem!$C8</f>
        <v>213.6</v>
      </c>
      <c r="L98" s="999">
        <f>Chem!$C8</f>
        <v>213.6</v>
      </c>
      <c r="M98" s="999">
        <f>Chem!$C8</f>
        <v>213.6</v>
      </c>
      <c r="N98" s="136"/>
      <c r="O98" s="136"/>
      <c r="P98" s="136"/>
      <c r="W98" s="174"/>
      <c r="X98" s="174"/>
      <c r="Y98" s="174"/>
      <c r="Z98" s="174"/>
      <c r="AA98" s="174"/>
      <c r="AB98" s="174"/>
      <c r="AC98" s="174"/>
      <c r="AD98" s="174"/>
      <c r="AE98" s="174"/>
      <c r="AF98" s="174"/>
    </row>
    <row r="99" spans="1:32" ht="13" outlineLevel="1" x14ac:dyDescent="0.3">
      <c r="A99" s="1380"/>
      <c r="B99" s="10" t="s">
        <v>356</v>
      </c>
      <c r="C99" s="9"/>
      <c r="D99" s="9"/>
      <c r="F99" s="16"/>
      <c r="G99" s="11">
        <f t="shared" ref="G99:M99" si="31">G98/1000*$E44/100*$F48</f>
        <v>0.67243247889968349</v>
      </c>
      <c r="H99" s="11">
        <f t="shared" si="31"/>
        <v>0.67243247889968349</v>
      </c>
      <c r="I99" s="11">
        <f t="shared" si="31"/>
        <v>0.67243247889968349</v>
      </c>
      <c r="J99" s="11">
        <f t="shared" si="31"/>
        <v>0.67243247889968349</v>
      </c>
      <c r="K99" s="11">
        <f t="shared" si="31"/>
        <v>0.67243247889968349</v>
      </c>
      <c r="L99" s="11">
        <f t="shared" si="31"/>
        <v>0.67243247889968349</v>
      </c>
      <c r="M99" s="11">
        <f t="shared" si="31"/>
        <v>0.67243247889968349</v>
      </c>
      <c r="N99" s="53"/>
      <c r="O99" s="53"/>
      <c r="P99" s="53"/>
      <c r="W99" s="123"/>
      <c r="X99" s="123"/>
      <c r="Y99" s="123"/>
      <c r="Z99" s="123"/>
      <c r="AA99" s="123"/>
      <c r="AB99" s="123"/>
      <c r="AC99" s="123"/>
      <c r="AD99" s="123"/>
      <c r="AE99" s="123"/>
      <c r="AF99" s="123"/>
    </row>
    <row r="100" spans="1:32" ht="13" outlineLevel="1" x14ac:dyDescent="0.3">
      <c r="A100" s="1380"/>
      <c r="B100" s="353" t="s">
        <v>357</v>
      </c>
      <c r="C100" s="9"/>
      <c r="D100" s="9"/>
      <c r="F100" s="9"/>
      <c r="G100" s="237">
        <f>Chem!$C37</f>
        <v>360.4</v>
      </c>
      <c r="H100" s="237">
        <f>Chem!$C37</f>
        <v>360.4</v>
      </c>
      <c r="I100" s="237">
        <f>Chem!$C37</f>
        <v>360.4</v>
      </c>
      <c r="J100" s="237">
        <f>Chem!$C37</f>
        <v>360.4</v>
      </c>
      <c r="K100" s="237">
        <f>Chem!$C37</f>
        <v>360.4</v>
      </c>
      <c r="L100" s="237">
        <f>Chem!$C37</f>
        <v>360.4</v>
      </c>
      <c r="M100" s="237">
        <f>Chem!$C37</f>
        <v>360.4</v>
      </c>
      <c r="N100" s="139"/>
      <c r="O100" s="139"/>
      <c r="P100" s="139"/>
      <c r="W100" s="454"/>
      <c r="X100" s="454"/>
      <c r="Y100" s="454"/>
      <c r="Z100" s="454"/>
      <c r="AA100" s="454"/>
      <c r="AB100" s="454"/>
      <c r="AC100" s="454"/>
      <c r="AD100" s="454"/>
      <c r="AE100" s="454"/>
      <c r="AF100" s="454"/>
    </row>
    <row r="101" spans="1:32" ht="13" outlineLevel="1" x14ac:dyDescent="0.3">
      <c r="A101" s="1380"/>
      <c r="B101" s="10" t="s">
        <v>358</v>
      </c>
      <c r="C101" s="9"/>
      <c r="D101" s="9"/>
      <c r="F101" s="9"/>
      <c r="G101" s="11">
        <f t="shared" ref="G101:M101" si="32">G100/1000*$E51/100*$F55</f>
        <v>0.58131351620947647</v>
      </c>
      <c r="H101" s="11">
        <f t="shared" si="32"/>
        <v>0.58131351620947647</v>
      </c>
      <c r="I101" s="11">
        <f t="shared" si="32"/>
        <v>0.58131351620947647</v>
      </c>
      <c r="J101" s="11">
        <f t="shared" si="32"/>
        <v>0.58131351620947647</v>
      </c>
      <c r="K101" s="11">
        <f t="shared" si="32"/>
        <v>0.58131351620947647</v>
      </c>
      <c r="L101" s="11">
        <f t="shared" si="32"/>
        <v>0.58131351620947647</v>
      </c>
      <c r="M101" s="11">
        <f t="shared" si="32"/>
        <v>0.58131351620947647</v>
      </c>
      <c r="N101" s="53"/>
      <c r="O101" s="53"/>
      <c r="P101" s="53"/>
    </row>
    <row r="102" spans="1:32" ht="13" outlineLevel="1" x14ac:dyDescent="0.3">
      <c r="A102" s="1380"/>
      <c r="B102" s="10" t="s">
        <v>359</v>
      </c>
      <c r="C102" s="9"/>
      <c r="D102" s="9"/>
      <c r="F102" s="9"/>
      <c r="G102" s="237">
        <f>Chem!$C36</f>
        <v>1.1000000000000001</v>
      </c>
      <c r="H102" s="237">
        <f>Chem!$C36</f>
        <v>1.1000000000000001</v>
      </c>
      <c r="I102" s="237">
        <f>Chem!$C36</f>
        <v>1.1000000000000001</v>
      </c>
      <c r="J102" s="237">
        <f>Chem!$C36</f>
        <v>1.1000000000000001</v>
      </c>
      <c r="K102" s="237">
        <f>Chem!$C36</f>
        <v>1.1000000000000001</v>
      </c>
      <c r="L102" s="237">
        <f>Chem!$C36</f>
        <v>1.1000000000000001</v>
      </c>
      <c r="M102" s="237">
        <f>Chem!$C36</f>
        <v>1.1000000000000001</v>
      </c>
      <c r="N102" s="139"/>
      <c r="O102" s="139"/>
      <c r="P102" s="139"/>
      <c r="W102" s="454"/>
      <c r="X102" s="454"/>
      <c r="Y102" s="454"/>
      <c r="Z102" s="454"/>
      <c r="AA102" s="454"/>
      <c r="AB102" s="454"/>
      <c r="AC102" s="454"/>
      <c r="AD102" s="454"/>
      <c r="AE102" s="454"/>
      <c r="AF102" s="454"/>
    </row>
    <row r="103" spans="1:32" ht="13" outlineLevel="1" x14ac:dyDescent="0.3">
      <c r="A103" s="1380"/>
      <c r="B103" s="59" t="s">
        <v>360</v>
      </c>
      <c r="C103" s="174"/>
      <c r="E103" s="174"/>
      <c r="F103" s="106"/>
      <c r="G103" s="175">
        <f t="shared" ref="G103:M103" ca="1" si="33">(G297+G299)*(G298+G299)/G297/G298*100-100</f>
        <v>4.0495738168314261</v>
      </c>
      <c r="H103" s="175">
        <f t="shared" ca="1" si="33"/>
        <v>4.0495738168314261</v>
      </c>
      <c r="I103" s="175">
        <f t="shared" ca="1" si="33"/>
        <v>4.0253597527176481</v>
      </c>
      <c r="J103" s="175">
        <f t="shared" ca="1" si="33"/>
        <v>4.0093519156647659</v>
      </c>
      <c r="K103" s="175">
        <f t="shared" ca="1" si="33"/>
        <v>3.9423692246050308</v>
      </c>
      <c r="L103" s="175">
        <f t="shared" ca="1" si="33"/>
        <v>3.8645701643291517</v>
      </c>
      <c r="M103" s="175">
        <f t="shared" ca="1" si="33"/>
        <v>3.5936946643799388</v>
      </c>
      <c r="N103" s="1292"/>
      <c r="O103" s="47"/>
      <c r="P103" s="47"/>
      <c r="W103" s="454"/>
      <c r="X103" s="454"/>
      <c r="Y103" s="454"/>
      <c r="Z103" s="454"/>
      <c r="AA103" s="454"/>
      <c r="AB103" s="454"/>
      <c r="AC103" s="454"/>
      <c r="AD103" s="454"/>
      <c r="AE103" s="454"/>
      <c r="AF103" s="454"/>
    </row>
    <row r="104" spans="1:32" ht="13.5" outlineLevel="1" thickBot="1" x14ac:dyDescent="0.35">
      <c r="A104" s="1380"/>
      <c r="B104" s="59"/>
      <c r="C104" s="174"/>
      <c r="E104" s="174"/>
      <c r="F104" s="106"/>
      <c r="G104" s="175"/>
      <c r="H104" s="175"/>
      <c r="I104" s="175"/>
      <c r="J104" s="175"/>
      <c r="K104" s="175"/>
      <c r="L104" s="175"/>
      <c r="M104" s="175"/>
      <c r="N104" s="47"/>
      <c r="O104" s="47"/>
      <c r="P104" s="47"/>
      <c r="W104" s="454"/>
      <c r="X104" s="454"/>
      <c r="Y104" s="454"/>
      <c r="Z104" s="454"/>
      <c r="AA104" s="454"/>
      <c r="AB104" s="454"/>
      <c r="AC104" s="454"/>
      <c r="AD104" s="454"/>
      <c r="AE104" s="454"/>
      <c r="AF104" s="454"/>
    </row>
    <row r="105" spans="1:32" ht="20.5" thickBot="1" x14ac:dyDescent="0.45">
      <c r="A105" s="1380"/>
      <c r="B105" s="1453" t="s">
        <v>361</v>
      </c>
      <c r="C105" s="1454"/>
      <c r="D105" s="1454"/>
      <c r="E105" s="1454"/>
      <c r="F105" s="1454"/>
      <c r="G105" s="1454"/>
      <c r="H105" s="1454"/>
      <c r="I105" s="1454"/>
      <c r="J105" s="1454"/>
      <c r="K105" s="1454"/>
      <c r="L105" s="1454"/>
      <c r="M105" s="1455"/>
      <c r="N105" s="59"/>
      <c r="O105" s="59"/>
      <c r="P105" s="59"/>
      <c r="W105" s="454"/>
      <c r="X105" s="454"/>
      <c r="Y105" s="454"/>
      <c r="Z105" s="454"/>
      <c r="AA105" s="454"/>
      <c r="AB105" s="454"/>
      <c r="AC105" s="454"/>
      <c r="AD105" s="454"/>
      <c r="AE105" s="454"/>
      <c r="AF105" s="454"/>
    </row>
    <row r="106" spans="1:32" ht="18.5" thickBot="1" x14ac:dyDescent="0.45">
      <c r="A106" s="1380"/>
      <c r="B106" s="1461" t="s">
        <v>362</v>
      </c>
      <c r="C106" s="1462"/>
      <c r="D106" s="1462"/>
      <c r="E106" s="1462"/>
      <c r="F106" s="1462"/>
      <c r="G106" s="1462"/>
      <c r="H106" s="1462"/>
      <c r="I106" s="1462"/>
      <c r="J106" s="1462"/>
      <c r="K106" s="1462"/>
      <c r="L106" s="1462"/>
      <c r="M106" s="1463"/>
      <c r="N106" s="59"/>
      <c r="O106" s="59"/>
      <c r="P106" s="59"/>
      <c r="W106" s="454"/>
      <c r="X106" s="454"/>
      <c r="Y106" s="454"/>
      <c r="Z106" s="454"/>
      <c r="AA106" s="454"/>
      <c r="AB106" s="454"/>
      <c r="AC106" s="454"/>
      <c r="AD106" s="454"/>
      <c r="AE106" s="454"/>
      <c r="AF106" s="454"/>
    </row>
    <row r="107" spans="1:32" ht="14.5" thickBot="1" x14ac:dyDescent="0.35">
      <c r="A107" s="1380"/>
      <c r="B107" s="108"/>
      <c r="C107" s="107"/>
      <c r="D107" s="107"/>
      <c r="E107" s="110"/>
      <c r="F107" s="9"/>
      <c r="G107" s="10"/>
      <c r="H107" s="10"/>
      <c r="I107" s="10"/>
      <c r="J107" s="10"/>
      <c r="K107" s="10"/>
      <c r="L107" s="10"/>
      <c r="M107" s="10"/>
      <c r="N107" s="59"/>
      <c r="O107" s="59"/>
      <c r="P107" s="59"/>
      <c r="W107" s="454"/>
      <c r="X107" s="454"/>
      <c r="Y107" s="454"/>
      <c r="Z107" s="454"/>
      <c r="AA107" s="454"/>
      <c r="AB107" s="454"/>
      <c r="AC107" s="454"/>
      <c r="AD107" s="454"/>
      <c r="AE107" s="454"/>
      <c r="AF107" s="454"/>
    </row>
    <row r="108" spans="1:32" ht="18.5" thickBot="1" x14ac:dyDescent="0.45">
      <c r="A108" s="1380"/>
      <c r="B108" s="1458" t="s">
        <v>363</v>
      </c>
      <c r="C108" s="1459"/>
      <c r="D108" s="1459"/>
      <c r="E108" s="1459"/>
      <c r="F108" s="1459"/>
      <c r="G108" s="1459"/>
      <c r="H108" s="1459"/>
      <c r="I108" s="1459"/>
      <c r="J108" s="1459"/>
      <c r="K108" s="1459"/>
      <c r="L108" s="1459"/>
      <c r="M108" s="1460"/>
      <c r="N108" s="59"/>
      <c r="O108" s="59"/>
      <c r="P108" s="59"/>
      <c r="W108" s="454"/>
      <c r="X108" s="454"/>
      <c r="Y108" s="454"/>
      <c r="Z108" s="454"/>
      <c r="AA108" s="454"/>
      <c r="AB108" s="454"/>
      <c r="AC108" s="454"/>
      <c r="AD108" s="454"/>
      <c r="AE108" s="454"/>
      <c r="AF108" s="454"/>
    </row>
    <row r="109" spans="1:32" ht="14" x14ac:dyDescent="0.3">
      <c r="A109" s="1380"/>
      <c r="B109" s="108"/>
      <c r="C109" s="107"/>
      <c r="D109" s="107"/>
      <c r="E109" s="110"/>
      <c r="F109" s="9"/>
      <c r="G109" s="10"/>
      <c r="H109" s="10"/>
      <c r="I109" s="10"/>
      <c r="J109" s="10"/>
      <c r="K109" s="10"/>
      <c r="L109" s="10"/>
      <c r="M109" s="10"/>
      <c r="N109" s="59"/>
      <c r="O109" s="59"/>
      <c r="P109" s="59"/>
      <c r="W109" s="454"/>
      <c r="X109" s="454"/>
      <c r="Y109" s="454"/>
      <c r="Z109" s="454"/>
      <c r="AA109" s="454"/>
      <c r="AB109" s="454"/>
      <c r="AC109" s="454"/>
      <c r="AD109" s="454"/>
      <c r="AE109" s="454"/>
      <c r="AF109" s="454"/>
    </row>
    <row r="110" spans="1:32" ht="15.5" outlineLevel="1" x14ac:dyDescent="0.35">
      <c r="A110" s="1380"/>
      <c r="B110" s="659" t="s">
        <v>364</v>
      </c>
      <c r="C110" s="107"/>
      <c r="D110" s="107"/>
      <c r="E110" s="110"/>
      <c r="F110" s="9"/>
      <c r="G110" s="10"/>
      <c r="H110" s="10"/>
      <c r="I110" s="10"/>
      <c r="J110" s="10"/>
      <c r="K110" s="10"/>
      <c r="L110" s="10"/>
      <c r="M110" s="10"/>
      <c r="N110" s="59"/>
      <c r="O110" s="59"/>
      <c r="P110" s="59"/>
      <c r="W110" s="454"/>
      <c r="X110" s="454"/>
      <c r="Y110" s="454"/>
      <c r="Z110" s="454"/>
      <c r="AA110" s="454"/>
      <c r="AB110" s="454"/>
      <c r="AC110" s="454"/>
      <c r="AD110" s="454"/>
      <c r="AE110" s="454"/>
      <c r="AF110" s="454"/>
    </row>
    <row r="111" spans="1:32" ht="14" outlineLevel="1" x14ac:dyDescent="0.3">
      <c r="A111" s="1380"/>
      <c r="B111" s="10" t="s">
        <v>365</v>
      </c>
      <c r="C111" s="107"/>
      <c r="D111" s="107"/>
      <c r="E111" s="110"/>
      <c r="F111" s="9"/>
      <c r="G111" s="866">
        <f>EXP(Chem!$C$142*1000/8.31*(1/(298)-1/(Dashboard!D63+273)))</f>
        <v>0.81880563938097639</v>
      </c>
      <c r="H111" s="866">
        <f>EXP(Chem!$C$142*1000/8.31*(1/(298)-1/(Dashboard!E63+273)))</f>
        <v>0.81880563938097639</v>
      </c>
      <c r="I111" s="866">
        <f>EXP(Chem!$C$142*1000/8.31*(1/(298)-1/(Dashboard!F63+273)))</f>
        <v>0.81880563938097639</v>
      </c>
      <c r="J111" s="866">
        <f>EXP(Chem!$C$142*1000/8.31*(1/(298)-1/(Dashboard!G63+273)))</f>
        <v>0.81880563938097639</v>
      </c>
      <c r="K111" s="866">
        <f>EXP(Chem!$C$142*1000/8.31*(1/(298)-1/(Dashboard!H63+273)))</f>
        <v>0.81880563938097639</v>
      </c>
      <c r="L111" s="866">
        <f>EXP(Chem!$C$142*1000/8.31*(1/(298)-1/(Dashboard!I63+273)))</f>
        <v>0.81880563938097639</v>
      </c>
      <c r="M111" s="866">
        <f>EXP(Chem!$C$142*1000/8.31*(1/(298)-1/(Dashboard!J63+273)))</f>
        <v>0.81880563938097639</v>
      </c>
      <c r="N111" s="59"/>
      <c r="O111" s="59"/>
      <c r="P111" s="59"/>
      <c r="W111" s="454"/>
      <c r="X111" s="454"/>
      <c r="Y111" s="454"/>
      <c r="Z111" s="454"/>
      <c r="AA111" s="454"/>
      <c r="AB111" s="454"/>
      <c r="AC111" s="454"/>
      <c r="AD111" s="454"/>
      <c r="AE111" s="454"/>
      <c r="AF111" s="454"/>
    </row>
    <row r="112" spans="1:32" ht="13" outlineLevel="1" x14ac:dyDescent="0.3">
      <c r="A112" s="1380"/>
      <c r="B112" s="59" t="s">
        <v>366</v>
      </c>
      <c r="F112" s="84"/>
      <c r="G112" s="126">
        <v>80</v>
      </c>
      <c r="H112" s="126">
        <v>80</v>
      </c>
      <c r="I112" s="126">
        <v>80</v>
      </c>
      <c r="J112" s="126">
        <v>80</v>
      </c>
      <c r="K112" s="126">
        <v>80</v>
      </c>
      <c r="L112" s="126">
        <v>80</v>
      </c>
      <c r="M112" s="126">
        <v>80</v>
      </c>
      <c r="N112" s="59"/>
      <c r="O112" s="59"/>
      <c r="P112" s="59"/>
      <c r="W112" s="454"/>
      <c r="X112" s="454"/>
      <c r="Y112" s="454"/>
      <c r="Z112" s="454"/>
      <c r="AA112" s="454"/>
      <c r="AB112" s="454"/>
      <c r="AC112" s="454"/>
      <c r="AD112" s="454"/>
      <c r="AE112" s="454"/>
      <c r="AF112" s="454"/>
    </row>
    <row r="113" spans="1:32" ht="13" outlineLevel="1" x14ac:dyDescent="0.3">
      <c r="A113" s="1380"/>
      <c r="B113" s="353" t="s">
        <v>367</v>
      </c>
      <c r="F113" s="123"/>
      <c r="G113" s="84">
        <f ca="1">IF(Dashboard!$D6=0,100-G134,100/2*(1+1/G135*(MAX(G135^2-4*G22*1000/G31*G232/G287, 0.001))^0.5))</f>
        <v>88.737216246839651</v>
      </c>
      <c r="H113" s="84">
        <f ca="1">IF(Dashboard!$D6=0,100-H134,100/2*(1+1/H135*(MAX(H135^2-4*H22*1000/H31*H232/H287, 0.001))^0.5))</f>
        <v>88.737216246839651</v>
      </c>
      <c r="I113" s="84">
        <f ca="1">IF(Dashboard!$D6=0,100-I134,100/2*(1+1/I135*(MAX(I135^2-4*I22*1000/I31*I232/I287, 0.001))^0.5))</f>
        <v>89.824476298183669</v>
      </c>
      <c r="J113" s="84">
        <f ca="1">IF(Dashboard!$D6=0,100-J134,100/2*(1+1/J135*(MAX(J135^2-4*J22*1000/J31*J232/J287, 0.001))^0.5))</f>
        <v>91.130195440740565</v>
      </c>
      <c r="K113" s="84">
        <f ca="1">IF(Dashboard!$D6=0,100-K134,100/2*(1+1/K135*(MAX(K135^2-4*K22*1000/K31*K232/K287, 0.001))^0.5))</f>
        <v>92.596928917313605</v>
      </c>
      <c r="L113" s="84">
        <f ca="1">IF(Dashboard!$D6=0,100-L134,100/2*(1+1/L135*(MAX(L135^2-4*L22*1000/L31*L232/L287, 0.001))^0.5))</f>
        <v>94.302099692904264</v>
      </c>
      <c r="M113" s="84">
        <f ca="1">IF(Dashboard!$D6=0,100-M134,100/2*(1+1/M135*(MAX(M135^2-4*M22*1000/M31*M232/M287, 0.001))^0.5))</f>
        <v>96.474272113036193</v>
      </c>
      <c r="N113" s="59"/>
      <c r="O113" s="59"/>
      <c r="P113" s="59"/>
      <c r="W113" s="454"/>
      <c r="X113" s="454"/>
      <c r="Y113" s="454"/>
      <c r="Z113" s="454"/>
      <c r="AA113" s="454"/>
      <c r="AB113" s="454"/>
      <c r="AC113" s="454"/>
      <c r="AD113" s="454"/>
      <c r="AE113" s="454"/>
      <c r="AF113" s="454"/>
    </row>
    <row r="114" spans="1:32" ht="15.5" outlineLevel="1" x14ac:dyDescent="0.35">
      <c r="A114" s="1380"/>
      <c r="B114" s="659"/>
      <c r="C114" s="107"/>
      <c r="D114" s="107"/>
      <c r="E114" s="110"/>
      <c r="F114" s="9"/>
      <c r="G114" s="10"/>
      <c r="H114" s="10"/>
      <c r="I114" s="10"/>
      <c r="J114" s="10"/>
      <c r="K114" s="10"/>
      <c r="L114" s="10"/>
      <c r="M114" s="10"/>
      <c r="N114" s="59"/>
      <c r="O114" s="59"/>
      <c r="P114" s="59"/>
      <c r="W114" s="454"/>
      <c r="X114" s="454"/>
      <c r="Y114" s="454"/>
      <c r="Z114" s="454"/>
      <c r="AA114" s="454"/>
      <c r="AB114" s="454"/>
      <c r="AC114" s="454"/>
      <c r="AD114" s="454"/>
      <c r="AE114" s="454"/>
      <c r="AF114" s="454"/>
    </row>
    <row r="115" spans="1:32" ht="15.5" outlineLevel="1" x14ac:dyDescent="0.35">
      <c r="A115" s="1380"/>
      <c r="B115" s="659" t="s">
        <v>368</v>
      </c>
      <c r="C115" s="107"/>
      <c r="D115" s="107"/>
      <c r="E115" s="110"/>
      <c r="F115" s="9"/>
      <c r="G115" s="10"/>
      <c r="H115" s="10"/>
      <c r="I115" s="10"/>
      <c r="J115" s="10"/>
      <c r="K115" s="10"/>
      <c r="L115" s="10"/>
      <c r="M115" s="10"/>
      <c r="N115" s="59"/>
      <c r="O115" s="59"/>
      <c r="P115" s="59"/>
      <c r="W115" s="454"/>
      <c r="X115" s="454"/>
      <c r="Y115" s="454"/>
      <c r="Z115" s="454"/>
      <c r="AA115" s="454"/>
      <c r="AB115" s="454"/>
      <c r="AC115" s="454"/>
      <c r="AD115" s="454"/>
      <c r="AE115" s="454"/>
      <c r="AF115" s="454"/>
    </row>
    <row r="116" spans="1:32" ht="14" outlineLevel="1" x14ac:dyDescent="0.3">
      <c r="A116" s="1380"/>
      <c r="B116" s="10" t="s">
        <v>369</v>
      </c>
      <c r="C116" s="107"/>
      <c r="D116" s="107"/>
      <c r="E116" s="110"/>
      <c r="F116" s="9"/>
      <c r="G116" s="236">
        <f>Dashboard!$I$32</f>
        <v>95</v>
      </c>
      <c r="H116" s="236">
        <f>Dashboard!$I$32</f>
        <v>95</v>
      </c>
      <c r="I116" s="236">
        <f>Dashboard!$I$32</f>
        <v>95</v>
      </c>
      <c r="J116" s="236">
        <f>Dashboard!$I$32</f>
        <v>95</v>
      </c>
      <c r="K116" s="236">
        <f>Dashboard!$I$32</f>
        <v>95</v>
      </c>
      <c r="L116" s="236">
        <f>Dashboard!$I$32</f>
        <v>95</v>
      </c>
      <c r="M116" s="236">
        <f>Dashboard!$I$32</f>
        <v>95</v>
      </c>
      <c r="N116" s="59"/>
      <c r="O116" s="59"/>
      <c r="P116" s="59"/>
      <c r="W116" s="454"/>
      <c r="X116" s="454"/>
      <c r="Y116" s="454"/>
      <c r="Z116" s="454"/>
      <c r="AA116" s="454"/>
      <c r="AB116" s="454"/>
      <c r="AC116" s="454"/>
      <c r="AD116" s="454"/>
      <c r="AE116" s="454"/>
      <c r="AF116" s="454"/>
    </row>
    <row r="117" spans="1:32" ht="14" outlineLevel="1" x14ac:dyDescent="0.3">
      <c r="A117" s="1380"/>
      <c r="B117" s="10" t="s">
        <v>370</v>
      </c>
      <c r="C117" s="107"/>
      <c r="D117" s="107"/>
      <c r="E117" s="110"/>
      <c r="F117" s="9"/>
      <c r="G117" s="11">
        <f ca="1">IF(Restart__0_1 = 0, Chem!$C$95, FORECAST(G116,OFFSET(_OCV_array,MATCH(G116,_SOC_percentages,1)-1,0,2),OFFSET(_SOC_percentages,MATCH(G116,_SOC_percentages,1)-1,0,2)))</f>
        <v>4.1905295261028028</v>
      </c>
      <c r="H117" s="11">
        <f ca="1">IF(Restart__0_1 = 0, Chem!$C$95, FORECAST(H116,OFFSET(_OCV_array,MATCH(H116,_SOC_percentages,1)-1,0,2),OFFSET(_SOC_percentages,MATCH(H116,_SOC_percentages,1)-1,0,2)))</f>
        <v>4.1905295261028028</v>
      </c>
      <c r="I117" s="11">
        <f ca="1">IF(Restart__0_1 = 0, Chem!$C$95, FORECAST(I116,OFFSET(_OCV_array,MATCH(I116,_SOC_percentages,1)-1,0,2),OFFSET(_SOC_percentages,MATCH(I116,_SOC_percentages,1)-1,0,2)))</f>
        <v>4.1905295261028028</v>
      </c>
      <c r="J117" s="11">
        <f ca="1">IF(Restart__0_1 = 0, Chem!$C$95, FORECAST(J116,OFFSET(_OCV_array,MATCH(J116,_SOC_percentages,1)-1,0,2),OFFSET(_SOC_percentages,MATCH(J116,_SOC_percentages,1)-1,0,2)))</f>
        <v>4.1905295261028028</v>
      </c>
      <c r="K117" s="11">
        <f ca="1">IF(Restart__0_1 = 0, Chem!$C$95, FORECAST(K116,OFFSET(_OCV_array,MATCH(K116,_SOC_percentages,1)-1,0,2),OFFSET(_SOC_percentages,MATCH(K116,_SOC_percentages,1)-1,0,2)))</f>
        <v>4.1905295261028028</v>
      </c>
      <c r="L117" s="11">
        <f ca="1">IF(Restart__0_1 = 0, Chem!$C$95, FORECAST(L116,OFFSET(_OCV_array,MATCH(L116,_SOC_percentages,1)-1,0,2),OFFSET(_SOC_percentages,MATCH(L116,_SOC_percentages,1)-1,0,2)))</f>
        <v>4.1905295261028028</v>
      </c>
      <c r="M117" s="11">
        <f ca="1">IF(Restart__0_1 = 0, Chem!$C$95, FORECAST(M116,OFFSET(_OCV_array,MATCH(M116,_SOC_percentages,1)-1,0,2),OFFSET(_SOC_percentages,MATCH(M116,_SOC_percentages,1)-1,0,2)))</f>
        <v>4.1905295261028028</v>
      </c>
      <c r="N117" s="59"/>
      <c r="O117" s="59"/>
      <c r="P117" s="59"/>
      <c r="W117" s="454"/>
      <c r="X117" s="454"/>
      <c r="Y117" s="454"/>
      <c r="Z117" s="454"/>
      <c r="AA117" s="454"/>
      <c r="AB117" s="454"/>
      <c r="AC117" s="454"/>
      <c r="AD117" s="454"/>
      <c r="AE117" s="454"/>
      <c r="AF117" s="454"/>
    </row>
    <row r="118" spans="1:32" ht="14" outlineLevel="1" x14ac:dyDescent="0.3">
      <c r="A118" s="1380"/>
      <c r="B118" s="10" t="s">
        <v>371</v>
      </c>
      <c r="C118" s="107"/>
      <c r="D118" s="107"/>
      <c r="E118" s="110"/>
      <c r="F118" s="9"/>
      <c r="G118" s="11">
        <f t="shared" ref="G118:M118" ca="1" si="34" xml:space="preserve"> FORECAST(G116,OFFSET(_ASI_2s,MATCH(G116,_SOC_percentages,1)-1,0,2),OFFSET(_SOC_percentages,MATCH(G116,_SOC_percentages,1)-1,0,2))</f>
        <v>11.269175417703647</v>
      </c>
      <c r="H118" s="11">
        <f t="shared" ca="1" si="34"/>
        <v>11.269175417703647</v>
      </c>
      <c r="I118" s="11">
        <f t="shared" ca="1" si="34"/>
        <v>11.269175417703647</v>
      </c>
      <c r="J118" s="11">
        <f t="shared" ca="1" si="34"/>
        <v>11.269175417703647</v>
      </c>
      <c r="K118" s="11">
        <f t="shared" ca="1" si="34"/>
        <v>11.269175417703647</v>
      </c>
      <c r="L118" s="11">
        <f t="shared" ca="1" si="34"/>
        <v>11.269175417703647</v>
      </c>
      <c r="M118" s="11">
        <f t="shared" ca="1" si="34"/>
        <v>11.269175417703647</v>
      </c>
      <c r="N118" s="59"/>
      <c r="O118" s="59"/>
      <c r="P118" s="59"/>
      <c r="W118" s="454"/>
      <c r="X118" s="454"/>
      <c r="Y118" s="454"/>
      <c r="Z118" s="454"/>
      <c r="AA118" s="454"/>
      <c r="AB118" s="454"/>
      <c r="AC118" s="454"/>
      <c r="AD118" s="454"/>
      <c r="AE118" s="454"/>
      <c r="AF118" s="454"/>
    </row>
    <row r="119" spans="1:32" ht="14" outlineLevel="1" x14ac:dyDescent="0.3">
      <c r="A119" s="1380"/>
      <c r="B119" s="10" t="s">
        <v>372</v>
      </c>
      <c r="C119" s="107"/>
      <c r="D119" s="107"/>
      <c r="E119" s="110"/>
      <c r="F119" s="9"/>
      <c r="G119" s="353">
        <f t="shared" ref="G119:M119" ca="1" si="35" xml:space="preserve"> FORECAST(G116,OFFSET(_ASI_10s,MATCH(G116,_SOC_percentages,1)-1,0,2),OFFSET(_SOC_percentages,MATCH(G116,_SOC_percentages,1)-1,0,2))</f>
        <v>16.311770482011141</v>
      </c>
      <c r="H119" s="353">
        <f t="shared" ca="1" si="35"/>
        <v>16.311770482011141</v>
      </c>
      <c r="I119" s="353">
        <f t="shared" ca="1" si="35"/>
        <v>16.311770482011141</v>
      </c>
      <c r="J119" s="353">
        <f t="shared" ca="1" si="35"/>
        <v>16.311770482011141</v>
      </c>
      <c r="K119" s="353">
        <f t="shared" ca="1" si="35"/>
        <v>16.311770482011141</v>
      </c>
      <c r="L119" s="353">
        <f t="shared" ca="1" si="35"/>
        <v>16.311770482011141</v>
      </c>
      <c r="M119" s="353">
        <f t="shared" ca="1" si="35"/>
        <v>16.311770482011141</v>
      </c>
      <c r="N119" s="59"/>
      <c r="O119" s="59"/>
      <c r="P119" s="59"/>
      <c r="W119" s="454"/>
      <c r="X119" s="454"/>
      <c r="Y119" s="454"/>
      <c r="Z119" s="454"/>
      <c r="AA119" s="454"/>
      <c r="AB119" s="454"/>
      <c r="AC119" s="454"/>
      <c r="AD119" s="454"/>
      <c r="AE119" s="454"/>
      <c r="AF119" s="454"/>
    </row>
    <row r="120" spans="1:32" x14ac:dyDescent="0.25">
      <c r="B120" s="10" t="s">
        <v>373</v>
      </c>
      <c r="G120" s="11">
        <f t="shared" ref="G120:M120" ca="1" si="36">G119*G111</f>
        <v>13.356169658958869</v>
      </c>
      <c r="H120" s="11">
        <f t="shared" ca="1" si="36"/>
        <v>13.356169658958869</v>
      </c>
      <c r="I120" s="11">
        <f t="shared" ca="1" si="36"/>
        <v>13.356169658958869</v>
      </c>
      <c r="J120" s="11">
        <f t="shared" ca="1" si="36"/>
        <v>13.356169658958869</v>
      </c>
      <c r="K120" s="11">
        <f t="shared" ca="1" si="36"/>
        <v>13.356169658958869</v>
      </c>
      <c r="L120" s="11">
        <f t="shared" ca="1" si="36"/>
        <v>13.356169658958869</v>
      </c>
      <c r="M120" s="11">
        <f t="shared" ca="1" si="36"/>
        <v>13.356169658958869</v>
      </c>
    </row>
    <row r="121" spans="1:32" ht="14" outlineLevel="1" x14ac:dyDescent="0.3">
      <c r="A121" s="1380"/>
      <c r="B121" s="10"/>
      <c r="C121" s="107"/>
      <c r="D121" s="107"/>
      <c r="E121" s="110"/>
      <c r="F121" s="9"/>
      <c r="G121" s="11"/>
      <c r="H121" s="11"/>
      <c r="I121" s="11"/>
      <c r="J121" s="11"/>
      <c r="K121" s="11"/>
      <c r="L121" s="11"/>
      <c r="M121" s="11"/>
      <c r="N121" s="59"/>
      <c r="O121" s="59"/>
      <c r="P121" s="59"/>
      <c r="W121" s="454"/>
      <c r="X121" s="454"/>
      <c r="Y121" s="454"/>
      <c r="Z121" s="454"/>
      <c r="AA121" s="454"/>
      <c r="AB121" s="454"/>
      <c r="AC121" s="454"/>
      <c r="AD121" s="454"/>
      <c r="AE121" s="454"/>
      <c r="AF121" s="454"/>
    </row>
    <row r="122" spans="1:32" ht="15.5" outlineLevel="1" x14ac:dyDescent="0.35">
      <c r="A122" s="1380"/>
      <c r="B122" s="659" t="s">
        <v>374</v>
      </c>
      <c r="C122" s="107"/>
      <c r="D122" s="107"/>
      <c r="E122" s="110"/>
      <c r="F122" s="9"/>
      <c r="G122" s="11"/>
      <c r="H122" s="11"/>
      <c r="I122" s="11"/>
      <c r="J122" s="11"/>
      <c r="K122" s="11"/>
      <c r="L122" s="11"/>
      <c r="M122" s="11"/>
      <c r="N122" s="59"/>
      <c r="O122" s="59"/>
      <c r="P122" s="59"/>
      <c r="W122" s="454"/>
      <c r="X122" s="454"/>
      <c r="Y122" s="454"/>
      <c r="Z122" s="454"/>
      <c r="AA122" s="454"/>
      <c r="AB122" s="454"/>
      <c r="AC122" s="454"/>
      <c r="AD122" s="454"/>
      <c r="AE122" s="454"/>
      <c r="AF122" s="454"/>
    </row>
    <row r="123" spans="1:32" ht="14" outlineLevel="1" x14ac:dyDescent="0.3">
      <c r="A123" s="1380"/>
      <c r="B123" s="10" t="s">
        <v>375</v>
      </c>
      <c r="C123" s="107"/>
      <c r="D123" s="107"/>
      <c r="E123" s="110"/>
      <c r="F123" s="9"/>
      <c r="G123" s="236">
        <f>Dashboard!$I$33</f>
        <v>10</v>
      </c>
      <c r="H123" s="236">
        <f>Dashboard!$I$33</f>
        <v>10</v>
      </c>
      <c r="I123" s="236">
        <f>Dashboard!$I$33</f>
        <v>10</v>
      </c>
      <c r="J123" s="236">
        <f>Dashboard!$I$33</f>
        <v>10</v>
      </c>
      <c r="K123" s="236">
        <f>Dashboard!$I$33</f>
        <v>10</v>
      </c>
      <c r="L123" s="236">
        <f>Dashboard!$I$33</f>
        <v>10</v>
      </c>
      <c r="M123" s="236">
        <f>Dashboard!$I$33</f>
        <v>10</v>
      </c>
      <c r="N123" s="59"/>
      <c r="O123" s="59"/>
      <c r="P123" s="59"/>
      <c r="W123" s="454"/>
      <c r="X123" s="454"/>
      <c r="Y123" s="454"/>
      <c r="Z123" s="454"/>
      <c r="AA123" s="454"/>
      <c r="AB123" s="454"/>
      <c r="AC123" s="454"/>
      <c r="AD123" s="454"/>
      <c r="AE123" s="454"/>
      <c r="AF123" s="454"/>
    </row>
    <row r="124" spans="1:32" ht="14" outlineLevel="1" x14ac:dyDescent="0.3">
      <c r="A124" s="1380"/>
      <c r="B124" s="10" t="s">
        <v>376</v>
      </c>
      <c r="C124" s="107"/>
      <c r="D124" s="107"/>
      <c r="E124" s="110"/>
      <c r="F124" s="9"/>
      <c r="G124" s="11">
        <f t="shared" ref="G124:M124" ca="1" si="37">FORECAST(G123,OFFSET(_OCV_array,MATCH(G123,_SOC_percentages,1)-1,0,2),OFFSET(_SOC_percentages,MATCH(G123,_SOC_percentages,1)-1,0,2))</f>
        <v>3.4793357075413334</v>
      </c>
      <c r="H124" s="11">
        <f t="shared" ca="1" si="37"/>
        <v>3.4793357075413334</v>
      </c>
      <c r="I124" s="11">
        <f t="shared" ca="1" si="37"/>
        <v>3.4793357075413334</v>
      </c>
      <c r="J124" s="11">
        <f t="shared" ca="1" si="37"/>
        <v>3.4793357075413334</v>
      </c>
      <c r="K124" s="11">
        <f t="shared" ca="1" si="37"/>
        <v>3.4793357075413334</v>
      </c>
      <c r="L124" s="11">
        <f t="shared" ca="1" si="37"/>
        <v>3.4793357075413334</v>
      </c>
      <c r="M124" s="11">
        <f t="shared" ca="1" si="37"/>
        <v>3.4793357075413334</v>
      </c>
      <c r="N124" s="59"/>
      <c r="O124" s="59"/>
      <c r="P124" s="59"/>
      <c r="W124" s="454"/>
      <c r="X124" s="454"/>
      <c r="Y124" s="454"/>
      <c r="Z124" s="454"/>
      <c r="AA124" s="454"/>
      <c r="AB124" s="454"/>
      <c r="AC124" s="454"/>
      <c r="AD124" s="454"/>
      <c r="AE124" s="454"/>
      <c r="AF124" s="454"/>
    </row>
    <row r="125" spans="1:32" ht="14" outlineLevel="1" x14ac:dyDescent="0.3">
      <c r="A125" s="1380"/>
      <c r="B125" s="10" t="s">
        <v>377</v>
      </c>
      <c r="C125" s="107"/>
      <c r="D125" s="107"/>
      <c r="E125" s="110"/>
      <c r="F125" s="9"/>
      <c r="G125" s="11">
        <f t="shared" ref="G125:M125" ca="1" si="38">G31/G30/G26*G124</f>
        <v>347.93357075413331</v>
      </c>
      <c r="H125" s="11">
        <f t="shared" ca="1" si="38"/>
        <v>347.93357075413331</v>
      </c>
      <c r="I125" s="11">
        <f t="shared" ca="1" si="38"/>
        <v>347.93357075413331</v>
      </c>
      <c r="J125" s="11">
        <f t="shared" ca="1" si="38"/>
        <v>347.93357075413331</v>
      </c>
      <c r="K125" s="11">
        <f t="shared" ca="1" si="38"/>
        <v>347.93357075413331</v>
      </c>
      <c r="L125" s="11">
        <f t="shared" ca="1" si="38"/>
        <v>347.93357075413331</v>
      </c>
      <c r="M125" s="11">
        <f t="shared" ca="1" si="38"/>
        <v>347.93357075413331</v>
      </c>
      <c r="N125" s="59"/>
      <c r="O125" s="59"/>
      <c r="P125" s="59"/>
      <c r="W125" s="454"/>
      <c r="X125" s="454"/>
      <c r="Y125" s="454"/>
      <c r="Z125" s="454"/>
      <c r="AA125" s="454"/>
      <c r="AB125" s="454"/>
      <c r="AC125" s="454"/>
      <c r="AD125" s="454"/>
      <c r="AE125" s="454"/>
      <c r="AF125" s="454"/>
    </row>
    <row r="126" spans="1:32" ht="14" outlineLevel="1" x14ac:dyDescent="0.3">
      <c r="A126" s="1380"/>
      <c r="B126" s="10" t="s">
        <v>378</v>
      </c>
      <c r="C126" s="107"/>
      <c r="D126" s="107"/>
      <c r="E126" s="110"/>
      <c r="F126" s="9"/>
      <c r="G126" s="11">
        <f t="shared" ref="G126:M126" ca="1" si="39" xml:space="preserve"> FORECAST(G123,OFFSET(_ASI_2s,MATCH(G123,_SOC_percentages,1)-1,0,2),OFFSET(_SOC_percentages,MATCH(G123,_SOC_percentages,1)-1,0,2))</f>
        <v>17.976330235216775</v>
      </c>
      <c r="H126" s="11">
        <f t="shared" ca="1" si="39"/>
        <v>17.976330235216775</v>
      </c>
      <c r="I126" s="11">
        <f t="shared" ca="1" si="39"/>
        <v>17.976330235216775</v>
      </c>
      <c r="J126" s="11">
        <f t="shared" ca="1" si="39"/>
        <v>17.976330235216775</v>
      </c>
      <c r="K126" s="11">
        <f t="shared" ca="1" si="39"/>
        <v>17.976330235216775</v>
      </c>
      <c r="L126" s="11">
        <f t="shared" ca="1" si="39"/>
        <v>17.976330235216775</v>
      </c>
      <c r="M126" s="11">
        <f t="shared" ca="1" si="39"/>
        <v>17.976330235216775</v>
      </c>
      <c r="N126" s="59"/>
      <c r="O126" s="59"/>
      <c r="P126" s="59"/>
      <c r="W126" s="454"/>
      <c r="X126" s="454"/>
      <c r="Y126" s="454"/>
      <c r="Z126" s="454"/>
      <c r="AA126" s="454"/>
      <c r="AB126" s="454"/>
      <c r="AC126" s="454"/>
      <c r="AD126" s="454"/>
      <c r="AE126" s="454"/>
      <c r="AF126" s="454"/>
    </row>
    <row r="127" spans="1:32" ht="14" outlineLevel="1" x14ac:dyDescent="0.3">
      <c r="A127" s="1380"/>
      <c r="B127" s="10" t="s">
        <v>379</v>
      </c>
      <c r="C127" s="107"/>
      <c r="D127" s="107"/>
      <c r="E127" s="110"/>
      <c r="F127" s="9"/>
      <c r="G127" s="353">
        <f t="shared" ref="G127:M127" ca="1" si="40" xml:space="preserve"> FORECAST(G123,OFFSET(_ASI_10s,MATCH(G123,_SOC_percentages,1)-1,0,2),OFFSET(_SOC_percentages,MATCH(G123,_SOC_percentages,1)-1,0,2))</f>
        <v>27.842535108836373</v>
      </c>
      <c r="H127" s="353">
        <f t="shared" ca="1" si="40"/>
        <v>27.842535108836373</v>
      </c>
      <c r="I127" s="353">
        <f t="shared" ca="1" si="40"/>
        <v>27.842535108836373</v>
      </c>
      <c r="J127" s="353">
        <f t="shared" ca="1" si="40"/>
        <v>27.842535108836373</v>
      </c>
      <c r="K127" s="353">
        <f t="shared" ca="1" si="40"/>
        <v>27.842535108836373</v>
      </c>
      <c r="L127" s="353">
        <f t="shared" ca="1" si="40"/>
        <v>27.842535108836373</v>
      </c>
      <c r="M127" s="353">
        <f t="shared" ca="1" si="40"/>
        <v>27.842535108836373</v>
      </c>
      <c r="N127" s="59"/>
      <c r="O127" s="59"/>
      <c r="P127" s="59"/>
      <c r="W127" s="454"/>
      <c r="X127" s="454"/>
      <c r="Y127" s="454"/>
      <c r="Z127" s="454"/>
      <c r="AA127" s="454"/>
      <c r="AB127" s="454"/>
      <c r="AC127" s="454"/>
      <c r="AD127" s="454"/>
      <c r="AE127" s="454"/>
      <c r="AF127" s="454"/>
    </row>
    <row r="128" spans="1:32" ht="14" outlineLevel="1" x14ac:dyDescent="0.3">
      <c r="A128" s="1380"/>
      <c r="B128" s="10" t="s">
        <v>380</v>
      </c>
      <c r="C128" s="107"/>
      <c r="D128" s="107"/>
      <c r="E128" s="110"/>
      <c r="F128" s="9"/>
      <c r="G128" s="11">
        <f t="shared" ref="G128:M128" ca="1" si="41">G127*G111</f>
        <v>22.797624761778049</v>
      </c>
      <c r="H128" s="11">
        <f t="shared" ca="1" si="41"/>
        <v>22.797624761778049</v>
      </c>
      <c r="I128" s="11">
        <f t="shared" ca="1" si="41"/>
        <v>22.797624761778049</v>
      </c>
      <c r="J128" s="11">
        <f t="shared" ca="1" si="41"/>
        <v>22.797624761778049</v>
      </c>
      <c r="K128" s="11">
        <f t="shared" ca="1" si="41"/>
        <v>22.797624761778049</v>
      </c>
      <c r="L128" s="11">
        <f t="shared" ca="1" si="41"/>
        <v>22.797624761778049</v>
      </c>
      <c r="M128" s="11">
        <f t="shared" ca="1" si="41"/>
        <v>22.797624761778049</v>
      </c>
      <c r="N128" s="59"/>
      <c r="O128" s="59"/>
      <c r="P128" s="59"/>
      <c r="W128" s="454"/>
      <c r="X128" s="454"/>
      <c r="Y128" s="454"/>
      <c r="Z128" s="454"/>
      <c r="AA128" s="454"/>
      <c r="AB128" s="454"/>
      <c r="AC128" s="454"/>
      <c r="AD128" s="454"/>
      <c r="AE128" s="454"/>
      <c r="AF128" s="454"/>
    </row>
    <row r="129" spans="1:32" ht="13" outlineLevel="1" x14ac:dyDescent="0.3">
      <c r="A129" s="1380"/>
      <c r="N129" s="59"/>
      <c r="O129" s="59"/>
      <c r="P129" s="59"/>
      <c r="W129" s="454"/>
      <c r="X129" s="454"/>
      <c r="Y129" s="454"/>
      <c r="Z129" s="454"/>
      <c r="AA129" s="454"/>
      <c r="AB129" s="454"/>
      <c r="AC129" s="454"/>
      <c r="AD129" s="454"/>
      <c r="AE129" s="454"/>
      <c r="AF129" s="454"/>
    </row>
    <row r="130" spans="1:32" ht="15.5" outlineLevel="1" x14ac:dyDescent="0.35">
      <c r="A130" s="1380"/>
      <c r="B130" s="659" t="s">
        <v>381</v>
      </c>
      <c r="C130" s="107"/>
      <c r="D130" s="107"/>
      <c r="E130" s="110"/>
      <c r="F130" s="9"/>
      <c r="G130" s="11"/>
      <c r="H130" s="11"/>
      <c r="I130" s="11"/>
      <c r="J130" s="11"/>
      <c r="K130" s="11"/>
      <c r="L130" s="11"/>
      <c r="M130" s="11"/>
      <c r="N130" s="59"/>
      <c r="O130" s="59"/>
      <c r="P130" s="59"/>
      <c r="W130" s="454"/>
      <c r="X130" s="454"/>
      <c r="Y130" s="454"/>
      <c r="Z130" s="454"/>
      <c r="AA130" s="454"/>
      <c r="AB130" s="454"/>
      <c r="AC130" s="454"/>
      <c r="AD130" s="454"/>
      <c r="AE130" s="454"/>
      <c r="AF130" s="454"/>
    </row>
    <row r="131" spans="1:32" ht="14" outlineLevel="1" x14ac:dyDescent="0.3">
      <c r="A131" s="1380"/>
      <c r="B131" s="10" t="s">
        <v>382</v>
      </c>
      <c r="C131" s="107"/>
      <c r="D131" s="107"/>
      <c r="E131" s="110"/>
      <c r="F131" s="9"/>
      <c r="G131" s="238">
        <f>Dashboard!D42</f>
        <v>10</v>
      </c>
      <c r="H131" s="238">
        <f>Dashboard!E42</f>
        <v>10</v>
      </c>
      <c r="I131" s="238">
        <f>Dashboard!F42</f>
        <v>10</v>
      </c>
      <c r="J131" s="238">
        <f>Dashboard!G42</f>
        <v>10</v>
      </c>
      <c r="K131" s="238">
        <f>Dashboard!H42</f>
        <v>10</v>
      </c>
      <c r="L131" s="238">
        <f>Dashboard!I42</f>
        <v>10</v>
      </c>
      <c r="M131" s="238">
        <f>Dashboard!J42</f>
        <v>10</v>
      </c>
      <c r="N131" s="59"/>
      <c r="O131" s="59"/>
      <c r="P131" s="59"/>
      <c r="W131" s="454"/>
      <c r="X131" s="454"/>
      <c r="Y131" s="454"/>
      <c r="Z131" s="454"/>
      <c r="AA131" s="454"/>
      <c r="AB131" s="454"/>
      <c r="AC131" s="454"/>
      <c r="AD131" s="454"/>
      <c r="AE131" s="454"/>
      <c r="AF131" s="454"/>
    </row>
    <row r="132" spans="1:32" ht="14" outlineLevel="1" x14ac:dyDescent="0.3">
      <c r="A132" s="1380"/>
      <c r="B132" s="10"/>
      <c r="C132" s="107"/>
      <c r="D132" s="107"/>
      <c r="E132" s="110"/>
      <c r="F132" s="9"/>
      <c r="G132" s="12"/>
      <c r="H132" s="12"/>
      <c r="I132" s="12"/>
      <c r="J132" s="12"/>
      <c r="K132" s="12"/>
      <c r="L132" s="12"/>
      <c r="M132" s="12"/>
      <c r="N132" s="59"/>
      <c r="O132" s="59"/>
      <c r="P132" s="59"/>
      <c r="W132" s="454"/>
      <c r="X132" s="454"/>
      <c r="Y132" s="454"/>
      <c r="Z132" s="454"/>
      <c r="AA132" s="454"/>
      <c r="AB132" s="454"/>
      <c r="AC132" s="454"/>
      <c r="AD132" s="454"/>
      <c r="AE132" s="454"/>
      <c r="AF132" s="454"/>
    </row>
    <row r="133" spans="1:32" ht="14" outlineLevel="1" x14ac:dyDescent="0.3">
      <c r="A133" s="1380"/>
      <c r="B133" s="662" t="s">
        <v>383</v>
      </c>
      <c r="C133" s="107"/>
      <c r="D133" s="107"/>
      <c r="E133" s="110"/>
      <c r="F133" s="9"/>
      <c r="G133" s="12"/>
      <c r="H133" s="12"/>
      <c r="I133" s="12"/>
      <c r="J133" s="12"/>
      <c r="K133" s="12"/>
      <c r="L133" s="12"/>
      <c r="M133" s="12"/>
      <c r="N133" s="59"/>
      <c r="O133" s="59"/>
      <c r="P133" s="59"/>
      <c r="W133" s="454"/>
      <c r="X133" s="454"/>
      <c r="Y133" s="454"/>
      <c r="Z133" s="454"/>
      <c r="AA133" s="454"/>
      <c r="AB133" s="454"/>
      <c r="AC133" s="454"/>
      <c r="AD133" s="454"/>
      <c r="AE133" s="454"/>
      <c r="AF133" s="454"/>
    </row>
    <row r="134" spans="1:32" ht="14" outlineLevel="1" x14ac:dyDescent="0.3">
      <c r="A134" s="1380"/>
      <c r="B134" s="10" t="s">
        <v>384</v>
      </c>
      <c r="C134" s="107"/>
      <c r="D134" s="107"/>
      <c r="E134" s="110"/>
      <c r="F134" s="9"/>
      <c r="G134" s="458">
        <f>Dashboard!D44</f>
        <v>20</v>
      </c>
      <c r="H134" s="458">
        <f>Dashboard!E44</f>
        <v>20</v>
      </c>
      <c r="I134" s="458">
        <f>Dashboard!F44</f>
        <v>20</v>
      </c>
      <c r="J134" s="458">
        <f>Dashboard!G44</f>
        <v>20</v>
      </c>
      <c r="K134" s="458">
        <f>Dashboard!H44</f>
        <v>20</v>
      </c>
      <c r="L134" s="458">
        <f>Dashboard!I44</f>
        <v>20</v>
      </c>
      <c r="M134" s="458">
        <f>Dashboard!J44</f>
        <v>20</v>
      </c>
      <c r="N134" s="59"/>
      <c r="O134" s="59"/>
      <c r="P134" s="59"/>
      <c r="W134" s="454"/>
      <c r="X134" s="454"/>
      <c r="Y134" s="454"/>
      <c r="Z134" s="454"/>
      <c r="AA134" s="454"/>
      <c r="AB134" s="454"/>
      <c r="AC134" s="454"/>
      <c r="AD134" s="454"/>
      <c r="AE134" s="454"/>
      <c r="AF134" s="454"/>
    </row>
    <row r="135" spans="1:32" ht="13" outlineLevel="1" x14ac:dyDescent="0.3">
      <c r="A135" s="1380"/>
      <c r="B135" s="353" t="s">
        <v>385</v>
      </c>
      <c r="F135" s="174"/>
      <c r="G135" s="11">
        <f ca="1">IF(Restart__0_1 = 0, Chem!$C$95, FORECAST(G134,OFFSET(_OCV_array,MATCH(G134,_SOC_percentages,1)-1,0,2),OFFSET(_SOC_percentages,MATCH(G134,_SOC_percentages,1)-1,0,2)))</f>
        <v>3.5561368512112796</v>
      </c>
      <c r="H135" s="11">
        <f ca="1">IF(Restart__0_1 = 0, Chem!$C$95, FORECAST(H134,OFFSET(_OCV_array,MATCH(H134,_SOC_percentages,1)-1,0,2),OFFSET(_SOC_percentages,MATCH(H134,_SOC_percentages,1)-1,0,2)))</f>
        <v>3.5561368512112796</v>
      </c>
      <c r="I135" s="11">
        <f ca="1">IF(Restart__0_1 = 0, Chem!$C$95, FORECAST(I134,OFFSET(_OCV_array,MATCH(I134,_SOC_percentages,1)-1,0,2),OFFSET(_SOC_percentages,MATCH(I134,_SOC_percentages,1)-1,0,2)))</f>
        <v>3.5561368512112796</v>
      </c>
      <c r="J135" s="11">
        <f ca="1">IF(Restart__0_1 = 0, Chem!$C$95, FORECAST(J134,OFFSET(_OCV_array,MATCH(J134,_SOC_percentages,1)-1,0,2),OFFSET(_SOC_percentages,MATCH(J134,_SOC_percentages,1)-1,0,2)))</f>
        <v>3.5561368512112796</v>
      </c>
      <c r="K135" s="11">
        <f ca="1">IF(Restart__0_1 = 0, Chem!$C$95, FORECAST(K134,OFFSET(_OCV_array,MATCH(K134,_SOC_percentages,1)-1,0,2),OFFSET(_SOC_percentages,MATCH(K134,_SOC_percentages,1)-1,0,2)))</f>
        <v>3.5561368512112796</v>
      </c>
      <c r="L135" s="11">
        <f ca="1">IF(Restart__0_1 = 0, Chem!$C$95, FORECAST(L134,OFFSET(_OCV_array,MATCH(L134,_SOC_percentages,1)-1,0,2),OFFSET(_SOC_percentages,MATCH(L134,_SOC_percentages,1)-1,0,2)))</f>
        <v>3.5561368512112796</v>
      </c>
      <c r="M135" s="11">
        <f ca="1">IF(Restart__0_1 = 0, Chem!$C$95, FORECAST(M134,OFFSET(_OCV_array,MATCH(M134,_SOC_percentages,1)-1,0,2),OFFSET(_SOC_percentages,MATCH(M134,_SOC_percentages,1)-1,0,2)))</f>
        <v>3.5561368512112796</v>
      </c>
      <c r="N135" s="59"/>
      <c r="O135" s="59"/>
      <c r="P135" s="59"/>
      <c r="W135" s="454"/>
      <c r="X135" s="454"/>
      <c r="Y135" s="454"/>
      <c r="Z135" s="454"/>
      <c r="AA135" s="454"/>
      <c r="AB135" s="454"/>
      <c r="AC135" s="454"/>
      <c r="AD135" s="454"/>
      <c r="AE135" s="454"/>
      <c r="AF135" s="454"/>
    </row>
    <row r="136" spans="1:32" ht="13" outlineLevel="1" x14ac:dyDescent="0.3">
      <c r="A136" s="1380"/>
      <c r="B136" s="59" t="s">
        <v>386</v>
      </c>
      <c r="F136" s="174"/>
      <c r="G136" s="11">
        <f t="shared" ref="G136:M136" ca="1" si="42" xml:space="preserve"> FORECAST(G134,OFFSET(_ASI_2s,MATCH(G134,_SOC_percentages,1)-1,0,2),OFFSET(_SOC_percentages,MATCH(G134,_SOC_percentages,1)-1,0,2))</f>
        <v>11.984220156811183</v>
      </c>
      <c r="H136" s="11">
        <f t="shared" ca="1" si="42"/>
        <v>11.984220156811183</v>
      </c>
      <c r="I136" s="11">
        <f t="shared" ca="1" si="42"/>
        <v>11.984220156811183</v>
      </c>
      <c r="J136" s="11">
        <f t="shared" ca="1" si="42"/>
        <v>11.984220156811183</v>
      </c>
      <c r="K136" s="11">
        <f t="shared" ca="1" si="42"/>
        <v>11.984220156811183</v>
      </c>
      <c r="L136" s="11">
        <f t="shared" ca="1" si="42"/>
        <v>11.984220156811183</v>
      </c>
      <c r="M136" s="11">
        <f t="shared" ca="1" si="42"/>
        <v>11.984220156811183</v>
      </c>
      <c r="N136" s="59"/>
      <c r="O136" s="59"/>
      <c r="P136" s="59"/>
      <c r="W136" s="454"/>
      <c r="X136" s="454"/>
      <c r="Y136" s="454"/>
      <c r="Z136" s="454"/>
      <c r="AA136" s="454"/>
      <c r="AB136" s="454"/>
      <c r="AC136" s="454"/>
      <c r="AD136" s="454"/>
      <c r="AE136" s="454"/>
      <c r="AF136" s="454"/>
    </row>
    <row r="137" spans="1:32" ht="13" outlineLevel="1" x14ac:dyDescent="0.3">
      <c r="A137" s="1380"/>
      <c r="B137" s="59" t="s">
        <v>387</v>
      </c>
      <c r="F137" s="174"/>
      <c r="G137" s="16">
        <f t="shared" ref="G137:M137" ca="1" si="43" xml:space="preserve"> FORECAST(G134,OFFSET(_ASI_10s,MATCH(G134,_SOC_percentages,1)-1,0,2),OFFSET(_SOC_percentages,MATCH(G134,_SOC_percentages,1)-1,0,2))</f>
        <v>18.561690072557582</v>
      </c>
      <c r="H137" s="16">
        <f t="shared" ca="1" si="43"/>
        <v>18.561690072557582</v>
      </c>
      <c r="I137" s="16">
        <f t="shared" ca="1" si="43"/>
        <v>18.561690072557582</v>
      </c>
      <c r="J137" s="16">
        <f t="shared" ca="1" si="43"/>
        <v>18.561690072557582</v>
      </c>
      <c r="K137" s="16">
        <f t="shared" ca="1" si="43"/>
        <v>18.561690072557582</v>
      </c>
      <c r="L137" s="16">
        <f t="shared" ca="1" si="43"/>
        <v>18.561690072557582</v>
      </c>
      <c r="M137" s="16">
        <f t="shared" ca="1" si="43"/>
        <v>18.561690072557582</v>
      </c>
      <c r="N137" s="59"/>
      <c r="O137" s="59"/>
      <c r="P137" s="59"/>
      <c r="W137" s="454"/>
      <c r="X137" s="454"/>
      <c r="Y137" s="454"/>
      <c r="Z137" s="454"/>
      <c r="AA137" s="454"/>
      <c r="AB137" s="454"/>
      <c r="AC137" s="454"/>
      <c r="AD137" s="454"/>
      <c r="AE137" s="454"/>
      <c r="AF137" s="454"/>
    </row>
    <row r="138" spans="1:32" ht="13" outlineLevel="1" x14ac:dyDescent="0.3">
      <c r="A138" s="1380"/>
      <c r="B138" s="59"/>
      <c r="F138" s="174"/>
      <c r="G138" s="16"/>
      <c r="H138" s="16"/>
      <c r="I138" s="16"/>
      <c r="J138" s="16"/>
      <c r="K138" s="16"/>
      <c r="L138" s="16"/>
      <c r="M138" s="16"/>
      <c r="N138" s="59"/>
      <c r="O138" s="59"/>
      <c r="P138" s="59"/>
      <c r="W138" s="454"/>
      <c r="X138" s="454"/>
      <c r="Y138" s="454"/>
      <c r="Z138" s="454"/>
      <c r="AA138" s="454"/>
      <c r="AB138" s="454"/>
      <c r="AC138" s="454"/>
      <c r="AD138" s="454"/>
      <c r="AE138" s="454"/>
      <c r="AF138" s="454"/>
    </row>
    <row r="139" spans="1:32" ht="14" outlineLevel="1" x14ac:dyDescent="0.3">
      <c r="A139" s="1380"/>
      <c r="B139" s="663" t="s">
        <v>388</v>
      </c>
      <c r="F139" s="174"/>
      <c r="G139" s="16"/>
      <c r="H139" s="16"/>
      <c r="I139" s="16"/>
      <c r="J139" s="16"/>
      <c r="K139" s="16"/>
      <c r="L139" s="16"/>
      <c r="M139" s="16"/>
      <c r="N139" s="59"/>
      <c r="O139" s="59"/>
      <c r="P139" s="59"/>
      <c r="W139" s="454"/>
      <c r="X139" s="454"/>
      <c r="Y139" s="454"/>
      <c r="Z139" s="454"/>
      <c r="AA139" s="454"/>
      <c r="AB139" s="454"/>
      <c r="AC139" s="454"/>
      <c r="AD139" s="454"/>
      <c r="AE139" s="454"/>
      <c r="AF139" s="454"/>
    </row>
    <row r="140" spans="1:32" ht="13" outlineLevel="1" x14ac:dyDescent="0.3">
      <c r="A140" s="1380"/>
      <c r="B140" s="59" t="s">
        <v>389</v>
      </c>
      <c r="F140" s="174"/>
      <c r="G140" s="16">
        <f t="shared" ref="G140:M140" ca="1" si="44">G134-G22/G125*1000*G131/3600/G463*100</f>
        <v>19.110652818826285</v>
      </c>
      <c r="H140" s="16">
        <f t="shared" ca="1" si="44"/>
        <v>19.110652818826285</v>
      </c>
      <c r="I140" s="16">
        <f t="shared" ca="1" si="44"/>
        <v>19.110652818826285</v>
      </c>
      <c r="J140" s="16">
        <f t="shared" ca="1" si="44"/>
        <v>19.110652818826285</v>
      </c>
      <c r="K140" s="16">
        <f t="shared" ca="1" si="44"/>
        <v>19.110652818826285</v>
      </c>
      <c r="L140" s="16">
        <f t="shared" ca="1" si="44"/>
        <v>19.110652818826285</v>
      </c>
      <c r="M140" s="16">
        <f t="shared" ca="1" si="44"/>
        <v>19.110652818826285</v>
      </c>
      <c r="N140" s="59"/>
      <c r="O140" s="59"/>
      <c r="P140" s="59"/>
      <c r="W140" s="454"/>
      <c r="X140" s="454"/>
      <c r="Y140" s="454"/>
      <c r="Z140" s="454"/>
      <c r="AA140" s="454"/>
      <c r="AB140" s="454"/>
      <c r="AC140" s="454"/>
      <c r="AD140" s="454"/>
      <c r="AE140" s="454"/>
      <c r="AF140" s="454"/>
    </row>
    <row r="141" spans="1:32" ht="13" outlineLevel="1" x14ac:dyDescent="0.3">
      <c r="A141" s="1380"/>
      <c r="B141" s="353" t="s">
        <v>385</v>
      </c>
      <c r="F141" s="174"/>
      <c r="G141" s="11">
        <f ca="1">IF(Restart__0_1 = 0, Chem!$C$95, FORECAST(G140,OFFSET(_OCV_array,MATCH(G140,_SOC_percentages,1)-1,0,2),OFFSET(_SOC_percentages,MATCH(G140,_SOC_percentages,1)-1,0,2)))</f>
        <v>3.5493065631479013</v>
      </c>
      <c r="H141" s="11">
        <f ca="1">IF(Restart__0_1 = 0, Chem!$C$95, FORECAST(H140,OFFSET(_OCV_array,MATCH(H140,_SOC_percentages,1)-1,0,2),OFFSET(_SOC_percentages,MATCH(H140,_SOC_percentages,1)-1,0,2)))</f>
        <v>3.5493065631479013</v>
      </c>
      <c r="I141" s="11">
        <f ca="1">IF(Restart__0_1 = 0, Chem!$C$95, FORECAST(I140,OFFSET(_OCV_array,MATCH(I140,_SOC_percentages,1)-1,0,2),OFFSET(_SOC_percentages,MATCH(I140,_SOC_percentages,1)-1,0,2)))</f>
        <v>3.5493065631479013</v>
      </c>
      <c r="J141" s="11">
        <f ca="1">IF(Restart__0_1 = 0, Chem!$C$95, FORECAST(J140,OFFSET(_OCV_array,MATCH(J140,_SOC_percentages,1)-1,0,2),OFFSET(_SOC_percentages,MATCH(J140,_SOC_percentages,1)-1,0,2)))</f>
        <v>3.5493065631479013</v>
      </c>
      <c r="K141" s="11">
        <f ca="1">IF(Restart__0_1 = 0, Chem!$C$95, FORECAST(K140,OFFSET(_OCV_array,MATCH(K140,_SOC_percentages,1)-1,0,2),OFFSET(_SOC_percentages,MATCH(K140,_SOC_percentages,1)-1,0,2)))</f>
        <v>3.5493065631479013</v>
      </c>
      <c r="L141" s="11">
        <f ca="1">IF(Restart__0_1 = 0, Chem!$C$95, FORECAST(L140,OFFSET(_OCV_array,MATCH(L140,_SOC_percentages,1)-1,0,2),OFFSET(_SOC_percentages,MATCH(L140,_SOC_percentages,1)-1,0,2)))</f>
        <v>3.5493065631479013</v>
      </c>
      <c r="M141" s="11">
        <f ca="1">IF(Restart__0_1 = 0, Chem!$C$95, FORECAST(M140,OFFSET(_OCV_array,MATCH(M140,_SOC_percentages,1)-1,0,2),OFFSET(_SOC_percentages,MATCH(M140,_SOC_percentages,1)-1,0,2)))</f>
        <v>3.5493065631479013</v>
      </c>
      <c r="N141" s="59"/>
      <c r="O141" s="59"/>
      <c r="P141" s="59"/>
      <c r="W141" s="454"/>
      <c r="X141" s="454"/>
      <c r="Y141" s="454"/>
      <c r="Z141" s="454"/>
      <c r="AA141" s="454"/>
      <c r="AB141" s="454"/>
      <c r="AC141" s="454"/>
      <c r="AD141" s="454"/>
      <c r="AE141" s="454"/>
      <c r="AF141" s="454"/>
    </row>
    <row r="142" spans="1:32" ht="13" outlineLevel="1" x14ac:dyDescent="0.3">
      <c r="A142" s="1380"/>
      <c r="B142" s="59" t="s">
        <v>390</v>
      </c>
      <c r="F142" s="174"/>
      <c r="G142" s="11">
        <f t="shared" ref="G142:M142" ca="1" si="45" xml:space="preserve"> FORECAST(G140,OFFSET(_ASI_2s,MATCH(G140,_SOC_percentages,1)-1,0,2),OFFSET(_SOC_percentages,MATCH(G140,_SOC_percentages,1)-1,0,2))</f>
        <v>12.517126777562446</v>
      </c>
      <c r="H142" s="11">
        <f t="shared" ca="1" si="45"/>
        <v>12.517126777562446</v>
      </c>
      <c r="I142" s="11">
        <f t="shared" ca="1" si="45"/>
        <v>12.517126777562446</v>
      </c>
      <c r="J142" s="11">
        <f t="shared" ca="1" si="45"/>
        <v>12.517126777562446</v>
      </c>
      <c r="K142" s="11">
        <f t="shared" ca="1" si="45"/>
        <v>12.517126777562446</v>
      </c>
      <c r="L142" s="11">
        <f t="shared" ca="1" si="45"/>
        <v>12.517126777562446</v>
      </c>
      <c r="M142" s="11">
        <f t="shared" ca="1" si="45"/>
        <v>12.517126777562446</v>
      </c>
      <c r="N142" s="59"/>
      <c r="O142" s="59"/>
      <c r="P142" s="59"/>
      <c r="W142" s="454"/>
      <c r="X142" s="454"/>
      <c r="Y142" s="454"/>
      <c r="Z142" s="454"/>
      <c r="AA142" s="454"/>
      <c r="AB142" s="454"/>
      <c r="AC142" s="454"/>
      <c r="AD142" s="454"/>
      <c r="AE142" s="454"/>
      <c r="AF142" s="454"/>
    </row>
    <row r="143" spans="1:32" ht="13" outlineLevel="1" x14ac:dyDescent="0.3">
      <c r="A143" s="1380"/>
      <c r="B143" s="59" t="s">
        <v>391</v>
      </c>
      <c r="F143" s="174"/>
      <c r="G143" s="16">
        <f t="shared" ref="G143:M143" ca="1" si="46" xml:space="preserve"> FORECAST(G140,OFFSET(_ASI_10s,MATCH(G140,_SOC_percentages,1)-1,0,2),OFFSET(_SOC_percentages,MATCH(G140,_SOC_percentages,1)-1,0,2))</f>
        <v>19.387079409750044</v>
      </c>
      <c r="H143" s="16">
        <f t="shared" ca="1" si="46"/>
        <v>19.387079409750044</v>
      </c>
      <c r="I143" s="16">
        <f t="shared" ca="1" si="46"/>
        <v>19.387079409750044</v>
      </c>
      <c r="J143" s="16">
        <f t="shared" ca="1" si="46"/>
        <v>19.387079409750044</v>
      </c>
      <c r="K143" s="16">
        <f t="shared" ca="1" si="46"/>
        <v>19.387079409750044</v>
      </c>
      <c r="L143" s="16">
        <f t="shared" ca="1" si="46"/>
        <v>19.387079409750044</v>
      </c>
      <c r="M143" s="16">
        <f t="shared" ca="1" si="46"/>
        <v>19.387079409750044</v>
      </c>
      <c r="N143" s="59"/>
      <c r="O143" s="59"/>
      <c r="P143" s="59"/>
      <c r="W143" s="454"/>
      <c r="X143" s="454"/>
      <c r="Y143" s="454"/>
      <c r="Z143" s="454"/>
      <c r="AA143" s="454"/>
      <c r="AB143" s="454"/>
      <c r="AC143" s="454"/>
      <c r="AD143" s="454"/>
      <c r="AE143" s="454"/>
      <c r="AF143" s="454"/>
    </row>
    <row r="144" spans="1:32" ht="13" outlineLevel="1" x14ac:dyDescent="0.3">
      <c r="A144" s="1380"/>
      <c r="B144" s="59"/>
      <c r="F144" s="174"/>
      <c r="G144" s="16"/>
      <c r="H144" s="16"/>
      <c r="I144" s="16"/>
      <c r="J144" s="16"/>
      <c r="K144" s="16"/>
      <c r="L144" s="16"/>
      <c r="M144" s="16"/>
      <c r="N144" s="59"/>
      <c r="O144" s="59"/>
      <c r="P144" s="59"/>
      <c r="W144" s="454"/>
      <c r="X144" s="454"/>
      <c r="Y144" s="454"/>
      <c r="Z144" s="454"/>
      <c r="AA144" s="454"/>
      <c r="AB144" s="454"/>
      <c r="AC144" s="454"/>
      <c r="AD144" s="454"/>
      <c r="AE144" s="454"/>
      <c r="AF144" s="454"/>
    </row>
    <row r="145" spans="1:32" ht="14" outlineLevel="1" x14ac:dyDescent="0.3">
      <c r="A145" s="1380"/>
      <c r="B145" s="10" t="s">
        <v>392</v>
      </c>
      <c r="C145" s="107"/>
      <c r="D145" s="107"/>
      <c r="E145" s="110"/>
      <c r="F145" s="9"/>
      <c r="G145" s="93">
        <f ca="1">(((Chem!$C$140+Chem!$C$139)/SQRT(2)*0.5+(G137-G136+Chem!$C$140+Chem!$C$139)/SQRT(10)*0.4)*SQRT(G131)+G136-(Chem!$C$140+Chem!$C$139))+(G143-G137)</f>
        <v>17.038990053706872</v>
      </c>
      <c r="H145" s="93">
        <f ca="1">(((Chem!$C$140+Chem!$C$139)/SQRT(2)*0.5+(H137-H136+Chem!$C$140+Chem!$C$139)/SQRT(10)*0.4)*SQRT(H131)+H136-(Chem!$C$140+Chem!$C$139))+(H143-H137)</f>
        <v>17.038990053706872</v>
      </c>
      <c r="I145" s="93">
        <f ca="1">(((Chem!$C$140+Chem!$C$139)/SQRT(2)*0.5+(I137-I136+Chem!$C$140+Chem!$C$139)/SQRT(10)*0.4)*SQRT(I131)+I136-(Chem!$C$140+Chem!$C$139))+(I143-I137)</f>
        <v>17.038990053706872</v>
      </c>
      <c r="J145" s="93">
        <f ca="1">(((Chem!$C$140+Chem!$C$139)/SQRT(2)*0.5+(J137-J136+Chem!$C$140+Chem!$C$139)/SQRT(10)*0.4)*SQRT(J131)+J136-(Chem!$C$140+Chem!$C$139))+(J143-J137)</f>
        <v>17.038990053706872</v>
      </c>
      <c r="K145" s="93">
        <f ca="1">(((Chem!$C$140+Chem!$C$139)/SQRT(2)*0.5+(K137-K136+Chem!$C$140+Chem!$C$139)/SQRT(10)*0.4)*SQRT(K131)+K136-(Chem!$C$140+Chem!$C$139))+(K143-K137)</f>
        <v>17.038990053706872</v>
      </c>
      <c r="L145" s="93">
        <f ca="1">(((Chem!$C$140+Chem!$C$139)/SQRT(2)*0.5+(L137-L136+Chem!$C$140+Chem!$C$139)/SQRT(10)*0.4)*SQRT(L131)+L136-(Chem!$C$140+Chem!$C$139))+(L143-L137)</f>
        <v>17.038990053706872</v>
      </c>
      <c r="M145" s="93">
        <f ca="1">(((Chem!$C$140+Chem!$C$139)/SQRT(2)*0.5+(M137-M136+Chem!$C$140+Chem!$C$139)/SQRT(10)*0.4)*SQRT(M131)+M136-(Chem!$C$140+Chem!$C$139))+(M143-M137)</f>
        <v>17.038990053706872</v>
      </c>
      <c r="N145" s="59"/>
      <c r="O145" s="59"/>
      <c r="P145" s="59"/>
      <c r="W145" s="454"/>
      <c r="X145" s="454"/>
      <c r="Y145" s="454"/>
      <c r="Z145" s="454"/>
      <c r="AA145" s="454"/>
      <c r="AB145" s="454"/>
      <c r="AC145" s="454"/>
      <c r="AD145" s="454"/>
      <c r="AE145" s="454"/>
      <c r="AF145" s="454"/>
    </row>
    <row r="146" spans="1:32" ht="14" outlineLevel="1" x14ac:dyDescent="0.3">
      <c r="A146" s="1380"/>
      <c r="B146" s="10"/>
      <c r="C146" s="107"/>
      <c r="D146" s="107"/>
      <c r="E146" s="110"/>
      <c r="F146" s="9"/>
      <c r="G146" s="12"/>
      <c r="H146" s="12"/>
      <c r="I146" s="12"/>
      <c r="J146" s="12"/>
      <c r="K146" s="12"/>
      <c r="L146" s="12"/>
      <c r="M146" s="12"/>
      <c r="N146" s="59"/>
      <c r="O146" s="59"/>
      <c r="P146" s="59"/>
      <c r="W146" s="454"/>
      <c r="X146" s="454"/>
      <c r="Y146" s="454"/>
      <c r="Z146" s="454"/>
      <c r="AA146" s="454"/>
      <c r="AB146" s="454"/>
      <c r="AC146" s="454"/>
      <c r="AD146" s="454"/>
      <c r="AE146" s="454"/>
      <c r="AF146" s="454"/>
    </row>
    <row r="147" spans="1:32" ht="15.5" outlineLevel="1" x14ac:dyDescent="0.35">
      <c r="A147" s="1380"/>
      <c r="B147" s="660" t="s">
        <v>393</v>
      </c>
      <c r="F147" s="174"/>
      <c r="G147" s="11"/>
      <c r="H147" s="11"/>
      <c r="I147" s="11"/>
      <c r="J147" s="11"/>
      <c r="K147" s="11"/>
      <c r="L147" s="11"/>
      <c r="M147" s="11"/>
      <c r="N147" s="867"/>
      <c r="O147" s="59"/>
      <c r="P147" s="59"/>
      <c r="W147" s="454"/>
      <c r="X147" s="454"/>
      <c r="Y147" s="454"/>
      <c r="Z147" s="454"/>
      <c r="AA147" s="454"/>
      <c r="AB147" s="454"/>
      <c r="AC147" s="454"/>
      <c r="AD147" s="454"/>
      <c r="AE147" s="454"/>
      <c r="AF147" s="454"/>
    </row>
    <row r="148" spans="1:32" ht="13" outlineLevel="1" x14ac:dyDescent="0.3">
      <c r="A148" s="1380"/>
      <c r="B148" s="59" t="s">
        <v>394</v>
      </c>
      <c r="F148" s="174"/>
      <c r="G148" s="238">
        <f>'Vehicle Considerations'!$B$15</f>
        <v>50</v>
      </c>
      <c r="H148" s="238">
        <f>'Vehicle Considerations'!$B$15</f>
        <v>50</v>
      </c>
      <c r="I148" s="238">
        <f>'Vehicle Considerations'!$B$15</f>
        <v>50</v>
      </c>
      <c r="J148" s="238">
        <f>'Vehicle Considerations'!$B$15</f>
        <v>50</v>
      </c>
      <c r="K148" s="238">
        <f>'Vehicle Considerations'!$B$15</f>
        <v>50</v>
      </c>
      <c r="L148" s="238">
        <f>'Vehicle Considerations'!$B$15</f>
        <v>50</v>
      </c>
      <c r="M148" s="238">
        <f>'Vehicle Considerations'!$B$15</f>
        <v>50</v>
      </c>
      <c r="N148" s="59"/>
      <c r="O148" s="59"/>
      <c r="P148" s="59"/>
      <c r="W148" s="454"/>
      <c r="X148" s="454"/>
      <c r="Y148" s="454"/>
      <c r="Z148" s="454"/>
      <c r="AA148" s="454"/>
      <c r="AB148" s="454"/>
      <c r="AC148" s="454"/>
      <c r="AD148" s="454"/>
      <c r="AE148" s="454"/>
      <c r="AF148" s="454"/>
    </row>
    <row r="149" spans="1:32" ht="13" outlineLevel="1" x14ac:dyDescent="0.3">
      <c r="A149" s="1380"/>
      <c r="B149" s="59" t="s">
        <v>395</v>
      </c>
      <c r="F149" s="174"/>
      <c r="G149" s="11">
        <f ca="1">IF(Restart__0_1 = 0, Chem!$C$95, FORECAST(G148,OFFSET(_OCV_array,MATCH(G148,_SOC_percentages,1)-1,0,2),OFFSET(_SOC_percentages,MATCH(G148,_SOC_percentages,1)-1,0,2)))</f>
        <v>3.7132048846307275</v>
      </c>
      <c r="H149" s="11">
        <f ca="1">IF(Restart__0_1 = 0, Chem!$C$95, FORECAST(H148,OFFSET(_OCV_array,MATCH(H148,_SOC_percentages,1)-1,0,2),OFFSET(_SOC_percentages,MATCH(H148,_SOC_percentages,1)-1,0,2)))</f>
        <v>3.7132048846307275</v>
      </c>
      <c r="I149" s="11">
        <f ca="1">IF(Restart__0_1 = 0, Chem!$C$95, FORECAST(I148,OFFSET(_OCV_array,MATCH(I148,_SOC_percentages,1)-1,0,2),OFFSET(_SOC_percentages,MATCH(I148,_SOC_percentages,1)-1,0,2)))</f>
        <v>3.7132048846307275</v>
      </c>
      <c r="J149" s="11">
        <f ca="1">IF(Restart__0_1 = 0, Chem!$C$95, FORECAST(J148,OFFSET(_OCV_array,MATCH(J148,_SOC_percentages,1)-1,0,2),OFFSET(_SOC_percentages,MATCH(J148,_SOC_percentages,1)-1,0,2)))</f>
        <v>3.7132048846307275</v>
      </c>
      <c r="K149" s="11">
        <f ca="1">IF(Restart__0_1 = 0, Chem!$C$95, FORECAST(K148,OFFSET(_OCV_array,MATCH(K148,_SOC_percentages,1)-1,0,2),OFFSET(_SOC_percentages,MATCH(K148,_SOC_percentages,1)-1,0,2)))</f>
        <v>3.7132048846307275</v>
      </c>
      <c r="L149" s="11">
        <f ca="1">IF(Restart__0_1 = 0, Chem!$C$95, FORECAST(L148,OFFSET(_OCV_array,MATCH(L148,_SOC_percentages,1)-1,0,2),OFFSET(_SOC_percentages,MATCH(L148,_SOC_percentages,1)-1,0,2)))</f>
        <v>3.7132048846307275</v>
      </c>
      <c r="M149" s="11">
        <f ca="1">IF(Restart__0_1 = 0, Chem!$C$95, FORECAST(M148,OFFSET(_OCV_array,MATCH(M148,_SOC_percentages,1)-1,0,2),OFFSET(_SOC_percentages,MATCH(M148,_SOC_percentages,1)-1,0,2)))</f>
        <v>3.7132048846307275</v>
      </c>
      <c r="N149" s="59"/>
      <c r="O149" s="59"/>
      <c r="P149" s="59"/>
      <c r="W149" s="454"/>
      <c r="X149" s="454"/>
      <c r="Y149" s="454"/>
      <c r="Z149" s="454"/>
      <c r="AA149" s="454"/>
      <c r="AB149" s="454"/>
      <c r="AC149" s="454"/>
      <c r="AD149" s="454"/>
      <c r="AE149" s="454"/>
      <c r="AF149" s="454"/>
    </row>
    <row r="150" spans="1:32" ht="13" outlineLevel="1" x14ac:dyDescent="0.3">
      <c r="A150" s="1380"/>
      <c r="B150" s="59" t="s">
        <v>396</v>
      </c>
      <c r="F150" s="174"/>
      <c r="G150" s="11">
        <f t="shared" ref="G150:M150" ca="1" si="47" xml:space="preserve"> FORECAST(G148,OFFSET(_ASI_2s,MATCH(G148,_SOC_percentages,1)-1,0,2),OFFSET(_SOC_percentages,MATCH(G148,_SOC_percentages,1)-1,0,2))</f>
        <v>10.110919661782583</v>
      </c>
      <c r="H150" s="11">
        <f t="shared" ca="1" si="47"/>
        <v>10.110919661782583</v>
      </c>
      <c r="I150" s="11">
        <f t="shared" ca="1" si="47"/>
        <v>10.110919661782583</v>
      </c>
      <c r="J150" s="11">
        <f t="shared" ca="1" si="47"/>
        <v>10.110919661782583</v>
      </c>
      <c r="K150" s="11">
        <f t="shared" ca="1" si="47"/>
        <v>10.110919661782583</v>
      </c>
      <c r="L150" s="11">
        <f t="shared" ca="1" si="47"/>
        <v>10.110919661782583</v>
      </c>
      <c r="M150" s="11">
        <f t="shared" ca="1" si="47"/>
        <v>10.110919661782583</v>
      </c>
      <c r="N150" s="59"/>
      <c r="O150" s="59"/>
      <c r="P150" s="59"/>
      <c r="W150" s="454"/>
      <c r="X150" s="454"/>
      <c r="Y150" s="454"/>
      <c r="Z150" s="454"/>
      <c r="AA150" s="454"/>
      <c r="AB150" s="454"/>
      <c r="AC150" s="454"/>
      <c r="AD150" s="454"/>
      <c r="AE150" s="454"/>
      <c r="AF150" s="454"/>
    </row>
    <row r="151" spans="1:32" ht="13" outlineLevel="1" x14ac:dyDescent="0.3">
      <c r="A151" s="1380"/>
      <c r="B151" s="59" t="s">
        <v>397</v>
      </c>
      <c r="F151" s="174"/>
      <c r="G151" s="11">
        <f t="shared" ref="G151:M151" ca="1" si="48" xml:space="preserve"> FORECAST(G148,OFFSET(_ASI_10s,MATCH(G148,_SOC_percentages,1)-1,0,2),OFFSET(_SOC_percentages,MATCH(G148,_SOC_percentages,1)-1,0,2))</f>
        <v>14.591694972057583</v>
      </c>
      <c r="H151" s="11">
        <f t="shared" ca="1" si="48"/>
        <v>14.591694972057583</v>
      </c>
      <c r="I151" s="11">
        <f t="shared" ca="1" si="48"/>
        <v>14.591694972057583</v>
      </c>
      <c r="J151" s="11">
        <f t="shared" ca="1" si="48"/>
        <v>14.591694972057583</v>
      </c>
      <c r="K151" s="11">
        <f t="shared" ca="1" si="48"/>
        <v>14.591694972057583</v>
      </c>
      <c r="L151" s="11">
        <f t="shared" ca="1" si="48"/>
        <v>14.591694972057583</v>
      </c>
      <c r="M151" s="11">
        <f t="shared" ca="1" si="48"/>
        <v>14.591694972057583</v>
      </c>
      <c r="N151" s="59"/>
      <c r="O151" s="59"/>
      <c r="P151" s="59"/>
      <c r="W151" s="454"/>
      <c r="X151" s="454"/>
      <c r="Y151" s="454"/>
      <c r="Z151" s="454"/>
      <c r="AA151" s="454"/>
      <c r="AB151" s="454"/>
      <c r="AC151" s="454"/>
      <c r="AD151" s="454"/>
      <c r="AE151" s="454"/>
      <c r="AF151" s="454"/>
    </row>
    <row r="152" spans="1:32" ht="13" outlineLevel="1" x14ac:dyDescent="0.3">
      <c r="A152" s="1380"/>
      <c r="B152" s="59" t="s">
        <v>398</v>
      </c>
      <c r="F152" s="84"/>
      <c r="G152" s="89">
        <f t="shared" ref="G152:M152" ca="1" si="49">G151*1.3*G111</f>
        <v>15.532090770622125</v>
      </c>
      <c r="H152" s="89">
        <f t="shared" ca="1" si="49"/>
        <v>15.532090770622125</v>
      </c>
      <c r="I152" s="89">
        <f t="shared" ca="1" si="49"/>
        <v>15.532090770622125</v>
      </c>
      <c r="J152" s="89">
        <f t="shared" ca="1" si="49"/>
        <v>15.532090770622125</v>
      </c>
      <c r="K152" s="89">
        <f t="shared" ca="1" si="49"/>
        <v>15.532090770622125</v>
      </c>
      <c r="L152" s="89">
        <f t="shared" ca="1" si="49"/>
        <v>15.532090770622125</v>
      </c>
      <c r="M152" s="89">
        <f t="shared" ca="1" si="49"/>
        <v>15.532090770622125</v>
      </c>
      <c r="N152" s="59"/>
      <c r="O152" s="59"/>
      <c r="P152" s="59"/>
      <c r="W152" s="454"/>
      <c r="X152" s="454"/>
      <c r="Y152" s="454"/>
      <c r="Z152" s="454"/>
      <c r="AA152" s="454"/>
      <c r="AB152" s="454"/>
      <c r="AC152" s="454"/>
      <c r="AD152" s="454"/>
      <c r="AE152" s="454"/>
      <c r="AF152" s="454"/>
    </row>
    <row r="153" spans="1:32" ht="13.5" thickBot="1" x14ac:dyDescent="0.35">
      <c r="A153" s="1380"/>
      <c r="F153" s="123"/>
      <c r="G153" s="84"/>
      <c r="H153" s="84"/>
      <c r="I153" s="84"/>
      <c r="J153" s="84"/>
      <c r="K153" s="84"/>
      <c r="L153" s="84"/>
      <c r="M153" s="84"/>
      <c r="N153" s="59"/>
      <c r="O153" s="59"/>
      <c r="P153" s="59"/>
      <c r="W153" s="454"/>
      <c r="X153" s="454"/>
      <c r="Y153" s="454"/>
      <c r="Z153" s="454"/>
      <c r="AA153" s="454"/>
      <c r="AB153" s="454"/>
      <c r="AC153" s="454"/>
      <c r="AD153" s="454"/>
      <c r="AE153" s="454"/>
      <c r="AF153" s="454"/>
    </row>
    <row r="154" spans="1:32" ht="18.5" thickBot="1" x14ac:dyDescent="0.45">
      <c r="A154" s="1380"/>
      <c r="B154" s="1458" t="s">
        <v>399</v>
      </c>
      <c r="C154" s="1459"/>
      <c r="D154" s="1459"/>
      <c r="E154" s="1459"/>
      <c r="F154" s="1459"/>
      <c r="G154" s="1459"/>
      <c r="H154" s="1459"/>
      <c r="I154" s="1459"/>
      <c r="J154" s="1459"/>
      <c r="K154" s="1459"/>
      <c r="L154" s="1459"/>
      <c r="M154" s="1460"/>
      <c r="N154" s="47"/>
      <c r="O154" s="47"/>
    </row>
    <row r="155" spans="1:32" ht="13" x14ac:dyDescent="0.3">
      <c r="A155" s="1380"/>
      <c r="F155" s="104"/>
      <c r="G155" s="522"/>
      <c r="H155" s="522"/>
      <c r="I155" s="522"/>
      <c r="J155" s="522"/>
      <c r="K155" s="522"/>
      <c r="L155" s="522"/>
      <c r="M155" s="522"/>
      <c r="N155" s="47"/>
      <c r="O155" s="47"/>
    </row>
    <row r="156" spans="1:32" ht="13" outlineLevel="1" x14ac:dyDescent="0.3">
      <c r="A156" s="1380"/>
      <c r="F156" s="104"/>
      <c r="G156" s="522"/>
      <c r="H156" s="522"/>
      <c r="I156" s="522"/>
      <c r="J156" s="522"/>
      <c r="K156" s="522"/>
      <c r="L156" s="522"/>
      <c r="M156" s="522"/>
      <c r="N156" s="47"/>
      <c r="O156" s="47"/>
    </row>
    <row r="157" spans="1:32" ht="15.5" outlineLevel="1" x14ac:dyDescent="0.35">
      <c r="A157" s="1380"/>
      <c r="B157" s="6" t="s">
        <v>400</v>
      </c>
      <c r="D157" s="222"/>
      <c r="F157" s="174"/>
      <c r="G157" s="175"/>
      <c r="H157" s="175"/>
      <c r="I157" s="175"/>
      <c r="J157" s="175"/>
      <c r="K157" s="175"/>
      <c r="L157" s="175"/>
      <c r="M157" s="175"/>
      <c r="N157" s="47"/>
      <c r="O157" s="47"/>
    </row>
    <row r="158" spans="1:32" ht="13" outlineLevel="1" x14ac:dyDescent="0.3">
      <c r="A158" s="1380"/>
      <c r="B158" s="353" t="s">
        <v>401</v>
      </c>
      <c r="D158" s="515"/>
      <c r="F158" s="174"/>
      <c r="G158" s="208">
        <f>1</f>
        <v>1</v>
      </c>
      <c r="H158" s="208">
        <f>1</f>
        <v>1</v>
      </c>
      <c r="I158" s="208">
        <f>1</f>
        <v>1</v>
      </c>
      <c r="J158" s="208">
        <f>1</f>
        <v>1</v>
      </c>
      <c r="K158" s="208">
        <f>1</f>
        <v>1</v>
      </c>
      <c r="L158" s="208">
        <f>1</f>
        <v>1</v>
      </c>
      <c r="M158" s="208">
        <f>1</f>
        <v>1</v>
      </c>
      <c r="N158" s="47"/>
      <c r="O158" s="47"/>
    </row>
    <row r="159" spans="1:32" ht="13" outlineLevel="1" x14ac:dyDescent="0.3">
      <c r="A159" s="1380"/>
      <c r="B159" s="353" t="s">
        <v>402</v>
      </c>
      <c r="D159" s="515"/>
      <c r="F159" s="174"/>
      <c r="G159" s="84">
        <f t="shared" ref="G159:M159" ca="1" si="50">G158/10*G92/10</f>
        <v>0.4</v>
      </c>
      <c r="H159" s="84">
        <f t="shared" ca="1" si="50"/>
        <v>0.4</v>
      </c>
      <c r="I159" s="84">
        <f t="shared" ca="1" si="50"/>
        <v>0.4</v>
      </c>
      <c r="J159" s="84">
        <f t="shared" ca="1" si="50"/>
        <v>0.4</v>
      </c>
      <c r="K159" s="84">
        <f t="shared" ca="1" si="50"/>
        <v>0.4</v>
      </c>
      <c r="L159" s="84">
        <f t="shared" ca="1" si="50"/>
        <v>0.4</v>
      </c>
      <c r="M159" s="84">
        <f t="shared" ca="1" si="50"/>
        <v>0.4</v>
      </c>
      <c r="N159" s="47"/>
      <c r="O159" s="47"/>
    </row>
    <row r="160" spans="1:32" ht="13" outlineLevel="1" x14ac:dyDescent="0.3">
      <c r="A160" s="1380"/>
      <c r="B160" s="353" t="s">
        <v>403</v>
      </c>
      <c r="D160" s="515"/>
      <c r="F160" s="174"/>
      <c r="G160" s="175">
        <f t="shared" ref="G160:M160" ca="1" si="51">(G$81+G$87)/10</f>
        <v>2.8110917842490695</v>
      </c>
      <c r="H160" s="175">
        <f t="shared" ca="1" si="51"/>
        <v>2.8110917842490695</v>
      </c>
      <c r="I160" s="175">
        <f t="shared" ca="1" si="51"/>
        <v>2.8046883370495337</v>
      </c>
      <c r="J160" s="175">
        <f t="shared" ca="1" si="51"/>
        <v>2.8164715249111478</v>
      </c>
      <c r="K160" s="175">
        <f t="shared" ca="1" si="51"/>
        <v>2.7954895781958338</v>
      </c>
      <c r="L160" s="175">
        <f t="shared" ca="1" si="51"/>
        <v>2.8056724738105832</v>
      </c>
      <c r="M160" s="175">
        <f t="shared" ca="1" si="51"/>
        <v>2.7984047291165615</v>
      </c>
      <c r="N160" s="47"/>
      <c r="O160" s="47"/>
    </row>
    <row r="161" spans="1:20" ht="13" outlineLevel="1" x14ac:dyDescent="0.3">
      <c r="A161" s="1380"/>
      <c r="B161" s="353" t="s">
        <v>404</v>
      </c>
      <c r="D161" s="515"/>
      <c r="F161" s="174"/>
      <c r="G161" s="472">
        <f t="shared" ref="G161:M161" ca="1" si="52">G26*G160/G159/_Conductivity_Cu*100*(G25/G26-1)</f>
        <v>2.1224686290471161E-4</v>
      </c>
      <c r="H161" s="472">
        <f t="shared" ca="1" si="52"/>
        <v>2.1224686290471161E-4</v>
      </c>
      <c r="I161" s="472">
        <f t="shared" ca="1" si="52"/>
        <v>2.1176338115306884E-4</v>
      </c>
      <c r="J161" s="472">
        <f t="shared" ca="1" si="52"/>
        <v>2.1265305137751955E-4</v>
      </c>
      <c r="K161" s="472">
        <f t="shared" ca="1" si="52"/>
        <v>2.1106884399129614E-4</v>
      </c>
      <c r="L161" s="472">
        <f t="shared" ca="1" si="52"/>
        <v>2.1183768678100044E-4</v>
      </c>
      <c r="M161" s="472">
        <f t="shared" ca="1" si="52"/>
        <v>2.1128894766819675E-4</v>
      </c>
      <c r="N161" s="47"/>
      <c r="O161" s="47"/>
    </row>
    <row r="162" spans="1:20" ht="13" outlineLevel="1" x14ac:dyDescent="0.3">
      <c r="A162" s="1380"/>
      <c r="B162" s="353" t="s">
        <v>405</v>
      </c>
      <c r="D162" s="515"/>
      <c r="F162" s="174"/>
      <c r="G162" s="147">
        <f t="shared" ref="G162:M162" si="53">(G25/G26-1)*(1+2*(G26-1))</f>
        <v>27</v>
      </c>
      <c r="H162" s="147">
        <f t="shared" si="53"/>
        <v>27</v>
      </c>
      <c r="I162" s="147">
        <f t="shared" si="53"/>
        <v>27</v>
      </c>
      <c r="J162" s="147">
        <f t="shared" si="53"/>
        <v>27</v>
      </c>
      <c r="K162" s="147">
        <f t="shared" si="53"/>
        <v>27</v>
      </c>
      <c r="L162" s="147">
        <f t="shared" si="53"/>
        <v>27</v>
      </c>
      <c r="M162" s="147">
        <f t="shared" si="53"/>
        <v>27</v>
      </c>
      <c r="N162" s="47"/>
      <c r="O162" s="47"/>
    </row>
    <row r="163" spans="1:20" ht="13" outlineLevel="1" x14ac:dyDescent="0.3">
      <c r="A163" s="1380"/>
      <c r="B163" s="353" t="s">
        <v>406</v>
      </c>
      <c r="D163" s="515"/>
      <c r="F163" s="174"/>
      <c r="G163" s="175">
        <f t="shared" ref="G163:M163" ca="1" si="54">G161/G25*G287</f>
        <v>8.9667005788475751E-2</v>
      </c>
      <c r="H163" s="175">
        <f t="shared" ca="1" si="54"/>
        <v>8.9667005788475751E-2</v>
      </c>
      <c r="I163" s="175">
        <f t="shared" ca="1" si="54"/>
        <v>9.9021502615183846E-2</v>
      </c>
      <c r="J163" s="175">
        <f t="shared" ca="1" si="54"/>
        <v>0.11455411520352231</v>
      </c>
      <c r="K163" s="175">
        <f t="shared" ca="1" si="54"/>
        <v>0.13818600172317638</v>
      </c>
      <c r="L163" s="175">
        <f t="shared" ca="1" si="54"/>
        <v>0.18727332193578758</v>
      </c>
      <c r="M163" s="175">
        <f t="shared" ca="1" si="54"/>
        <v>0.35019576583034956</v>
      </c>
      <c r="N163" s="47"/>
      <c r="O163" s="47"/>
    </row>
    <row r="164" spans="1:20" ht="13" outlineLevel="1" x14ac:dyDescent="0.3">
      <c r="A164" s="1380"/>
      <c r="D164" s="515"/>
      <c r="F164" s="174"/>
      <c r="G164" s="175"/>
      <c r="H164" s="175"/>
      <c r="I164" s="175"/>
      <c r="J164" s="175"/>
      <c r="K164" s="175"/>
      <c r="L164" s="175"/>
      <c r="M164" s="175"/>
      <c r="N164" s="47"/>
      <c r="O164" s="47"/>
    </row>
    <row r="165" spans="1:20" ht="15.5" outlineLevel="1" x14ac:dyDescent="0.35">
      <c r="A165" s="1380"/>
      <c r="B165" s="6" t="s">
        <v>407</v>
      </c>
      <c r="D165" s="515"/>
      <c r="F165" s="174"/>
      <c r="G165" s="175"/>
      <c r="H165" s="175"/>
      <c r="I165" s="175"/>
      <c r="J165" s="175"/>
      <c r="K165" s="175"/>
      <c r="L165" s="175"/>
      <c r="M165" s="175"/>
      <c r="N165" s="47"/>
      <c r="O165" s="47"/>
    </row>
    <row r="166" spans="1:20" ht="13" outlineLevel="1" x14ac:dyDescent="0.3">
      <c r="A166" s="1380"/>
      <c r="B166" s="353" t="s">
        <v>408</v>
      </c>
      <c r="D166" s="515"/>
      <c r="F166" s="174"/>
      <c r="G166" s="513">
        <f>0.4</f>
        <v>0.4</v>
      </c>
      <c r="H166" s="513">
        <f t="shared" ref="H166:M166" si="55">0.4</f>
        <v>0.4</v>
      </c>
      <c r="I166" s="513">
        <f t="shared" si="55"/>
        <v>0.4</v>
      </c>
      <c r="J166" s="513">
        <f t="shared" si="55"/>
        <v>0.4</v>
      </c>
      <c r="K166" s="513">
        <f t="shared" si="55"/>
        <v>0.4</v>
      </c>
      <c r="L166" s="513">
        <f t="shared" si="55"/>
        <v>0.4</v>
      </c>
      <c r="M166" s="513">
        <f t="shared" si="55"/>
        <v>0.4</v>
      </c>
      <c r="N166" s="47"/>
      <c r="O166" s="47"/>
    </row>
    <row r="167" spans="1:20" ht="13" outlineLevel="1" x14ac:dyDescent="0.3">
      <c r="A167" s="1380"/>
      <c r="B167" s="353" t="s">
        <v>402</v>
      </c>
      <c r="D167" s="515"/>
      <c r="F167" s="174"/>
      <c r="G167" s="514">
        <f t="shared" ref="G167:M167" ca="1" si="56">G$220/(_Conductivity_Cu/100*G166*_Cp_Cu*_rho_Cu)^0.5</f>
        <v>0.46484133299264963</v>
      </c>
      <c r="H167" s="514">
        <f t="shared" ca="1" si="56"/>
        <v>0.46484133299264963</v>
      </c>
      <c r="I167" s="514">
        <f t="shared" ca="1" si="56"/>
        <v>0.46484133299264963</v>
      </c>
      <c r="J167" s="514">
        <f t="shared" ca="1" si="56"/>
        <v>0.46484133299264963</v>
      </c>
      <c r="K167" s="514">
        <f t="shared" ca="1" si="56"/>
        <v>0.46484133299264963</v>
      </c>
      <c r="L167" s="514">
        <f t="shared" ca="1" si="56"/>
        <v>0.46484133299264963</v>
      </c>
      <c r="M167" s="514">
        <f t="shared" ca="1" si="56"/>
        <v>0.46484133299264963</v>
      </c>
      <c r="N167" s="47"/>
      <c r="O167" s="47"/>
    </row>
    <row r="168" spans="1:20" ht="13" outlineLevel="1" x14ac:dyDescent="0.3">
      <c r="A168" s="1380"/>
      <c r="B168" s="353" t="s">
        <v>403</v>
      </c>
      <c r="D168" s="515"/>
      <c r="F168" s="174"/>
      <c r="G168" s="89">
        <f t="shared" ref="G168:M168" ca="1" si="57">G325/10/2</f>
        <v>3</v>
      </c>
      <c r="H168" s="89">
        <f t="shared" ca="1" si="57"/>
        <v>3</v>
      </c>
      <c r="I168" s="89">
        <f t="shared" ca="1" si="57"/>
        <v>3</v>
      </c>
      <c r="J168" s="89">
        <f t="shared" ca="1" si="57"/>
        <v>3</v>
      </c>
      <c r="K168" s="89">
        <f t="shared" ca="1" si="57"/>
        <v>3</v>
      </c>
      <c r="L168" s="89">
        <f t="shared" ca="1" si="57"/>
        <v>3</v>
      </c>
      <c r="M168" s="89">
        <f t="shared" ca="1" si="57"/>
        <v>3</v>
      </c>
      <c r="N168" s="47"/>
      <c r="O168" s="516"/>
      <c r="P168" s="174"/>
    </row>
    <row r="169" spans="1:20" ht="13" outlineLevel="1" x14ac:dyDescent="0.3">
      <c r="A169" s="1380"/>
      <c r="B169" s="353" t="s">
        <v>409</v>
      </c>
      <c r="D169" s="515"/>
      <c r="F169" s="174"/>
      <c r="G169" s="461">
        <f t="shared" ref="G169:M169" ca="1" si="58">G168/G167/_Conductivity_Cu*100+IF(G26=2,0,IF(G26=3,1/4,IF(G26=4,5/16,0)))*G160/G159/_Conductivity_Cu</f>
        <v>1.0828548775070867E-5</v>
      </c>
      <c r="H169" s="461">
        <f t="shared" ca="1" si="58"/>
        <v>1.0828548775070867E-5</v>
      </c>
      <c r="I169" s="461">
        <f t="shared" ca="1" si="58"/>
        <v>1.0828548775070867E-5</v>
      </c>
      <c r="J169" s="461">
        <f t="shared" ca="1" si="58"/>
        <v>1.0828548775070867E-5</v>
      </c>
      <c r="K169" s="461">
        <f t="shared" ca="1" si="58"/>
        <v>1.0828548775070867E-5</v>
      </c>
      <c r="L169" s="461">
        <f t="shared" ca="1" si="58"/>
        <v>1.0828548775070867E-5</v>
      </c>
      <c r="M169" s="461">
        <f t="shared" ca="1" si="58"/>
        <v>1.0828548775070867E-5</v>
      </c>
      <c r="N169" s="47"/>
      <c r="O169" s="445"/>
      <c r="P169" s="174"/>
      <c r="S169" s="174"/>
      <c r="T169" s="174"/>
    </row>
    <row r="170" spans="1:20" ht="13" outlineLevel="1" x14ac:dyDescent="0.3">
      <c r="A170" s="1380"/>
      <c r="B170" s="353" t="s">
        <v>410</v>
      </c>
      <c r="D170" s="515"/>
      <c r="F170" s="174"/>
      <c r="G170" s="459">
        <f>2</f>
        <v>2</v>
      </c>
      <c r="H170" s="459">
        <f>2</f>
        <v>2</v>
      </c>
      <c r="I170" s="459">
        <f>2</f>
        <v>2</v>
      </c>
      <c r="J170" s="459">
        <f>2</f>
        <v>2</v>
      </c>
      <c r="K170" s="459">
        <f>2</f>
        <v>2</v>
      </c>
      <c r="L170" s="459">
        <f>2</f>
        <v>2</v>
      </c>
      <c r="M170" s="459">
        <f>2</f>
        <v>2</v>
      </c>
      <c r="N170" s="47"/>
      <c r="O170" s="47"/>
      <c r="Q170" s="486"/>
      <c r="R170" s="174"/>
      <c r="S170" s="174"/>
      <c r="T170" s="174"/>
    </row>
    <row r="171" spans="1:20" ht="13" outlineLevel="1" x14ac:dyDescent="0.3">
      <c r="A171" s="1380"/>
      <c r="B171" s="353" t="s">
        <v>411</v>
      </c>
      <c r="D171" s="515"/>
      <c r="F171" s="174"/>
      <c r="G171" s="175">
        <f t="shared" ref="G171:M171" ca="1" si="59">G169*G$287*G170/G$25</f>
        <v>9.1493794763975976E-3</v>
      </c>
      <c r="H171" s="175">
        <f t="shared" ca="1" si="59"/>
        <v>9.1493794763975976E-3</v>
      </c>
      <c r="I171" s="175">
        <f t="shared" ca="1" si="59"/>
        <v>1.0126955519984496E-2</v>
      </c>
      <c r="J171" s="175">
        <f t="shared" ca="1" si="59"/>
        <v>1.1666466254126484E-2</v>
      </c>
      <c r="K171" s="175">
        <f t="shared" ca="1" si="59"/>
        <v>1.4178822713911746E-2</v>
      </c>
      <c r="L171" s="175">
        <f t="shared" ca="1" si="59"/>
        <v>1.9145774594373124E-2</v>
      </c>
      <c r="M171" s="175">
        <f t="shared" ca="1" si="59"/>
        <v>3.5895033535519143E-2</v>
      </c>
      <c r="N171" s="519"/>
      <c r="O171" s="47"/>
      <c r="P171" s="174"/>
      <c r="Q171" s="486"/>
      <c r="R171" s="174"/>
      <c r="S171" s="1050"/>
      <c r="T171" s="174"/>
    </row>
    <row r="172" spans="1:20" ht="13" outlineLevel="1" x14ac:dyDescent="0.3">
      <c r="A172" s="1380"/>
      <c r="D172" s="515"/>
      <c r="F172" s="174"/>
      <c r="G172" s="175"/>
      <c r="H172" s="175"/>
      <c r="I172" s="175"/>
      <c r="J172" s="175"/>
      <c r="K172" s="175"/>
      <c r="L172" s="175"/>
      <c r="M172" s="175"/>
      <c r="N172" s="519"/>
      <c r="O172" s="47"/>
      <c r="P172" s="174"/>
      <c r="Q172" s="486"/>
      <c r="R172" s="174"/>
      <c r="S172" s="1050"/>
      <c r="T172" s="174"/>
    </row>
    <row r="173" spans="1:20" ht="15.5" outlineLevel="1" x14ac:dyDescent="0.35">
      <c r="A173" s="1380"/>
      <c r="B173" s="6" t="s">
        <v>412</v>
      </c>
      <c r="D173" s="515"/>
      <c r="F173" s="174"/>
      <c r="G173" s="175"/>
      <c r="H173" s="175"/>
      <c r="I173" s="175"/>
      <c r="J173" s="175"/>
      <c r="K173" s="175"/>
      <c r="L173" s="175"/>
      <c r="M173" s="175"/>
      <c r="O173" s="62"/>
      <c r="P173" s="174"/>
      <c r="Q173" s="486"/>
      <c r="R173" s="174"/>
      <c r="S173" s="1050"/>
      <c r="T173" s="174"/>
    </row>
    <row r="174" spans="1:20" ht="13" outlineLevel="1" x14ac:dyDescent="0.3">
      <c r="A174" s="1380"/>
      <c r="B174" s="353" t="s">
        <v>413</v>
      </c>
      <c r="D174" s="515"/>
      <c r="F174" s="174"/>
      <c r="G174" s="513">
        <f>0.2</f>
        <v>0.2</v>
      </c>
      <c r="H174" s="513">
        <f t="shared" ref="H174:M174" si="60">0.2</f>
        <v>0.2</v>
      </c>
      <c r="I174" s="513">
        <f t="shared" si="60"/>
        <v>0.2</v>
      </c>
      <c r="J174" s="513">
        <f t="shared" si="60"/>
        <v>0.2</v>
      </c>
      <c r="K174" s="513">
        <f t="shared" si="60"/>
        <v>0.2</v>
      </c>
      <c r="L174" s="513">
        <f t="shared" si="60"/>
        <v>0.2</v>
      </c>
      <c r="M174" s="513">
        <f t="shared" si="60"/>
        <v>0.2</v>
      </c>
      <c r="N174" s="509"/>
      <c r="O174" s="47"/>
      <c r="P174" s="174"/>
      <c r="Q174" s="486"/>
      <c r="R174" s="174"/>
      <c r="S174" s="1050"/>
      <c r="T174" s="174"/>
    </row>
    <row r="175" spans="1:20" ht="13" outlineLevel="1" x14ac:dyDescent="0.3">
      <c r="A175" s="1380"/>
      <c r="B175" s="353" t="s">
        <v>402</v>
      </c>
      <c r="D175" s="515"/>
      <c r="F175" s="174"/>
      <c r="G175" s="514">
        <f t="shared" ref="G175:M175" ca="1" si="61">G$220/(_Conductivity_Cu/100*G174*_Cp_Cu*_rho_Cu)^0.5</f>
        <v>0.65738491746979322</v>
      </c>
      <c r="H175" s="514">
        <f t="shared" ca="1" si="61"/>
        <v>0.65738491746979322</v>
      </c>
      <c r="I175" s="514">
        <f t="shared" ca="1" si="61"/>
        <v>0.65738491746979322</v>
      </c>
      <c r="J175" s="514">
        <f t="shared" ca="1" si="61"/>
        <v>0.65738491746979322</v>
      </c>
      <c r="K175" s="514">
        <f t="shared" ca="1" si="61"/>
        <v>0.65738491746979322</v>
      </c>
      <c r="L175" s="514">
        <f t="shared" ca="1" si="61"/>
        <v>0.65738491746979322</v>
      </c>
      <c r="M175" s="514">
        <f t="shared" ca="1" si="61"/>
        <v>0.65738491746979322</v>
      </c>
      <c r="N175" s="1050"/>
      <c r="O175" s="47"/>
      <c r="P175" s="174"/>
      <c r="Q175" s="486"/>
      <c r="R175" s="174"/>
      <c r="S175" s="1050"/>
      <c r="T175" s="174"/>
    </row>
    <row r="176" spans="1:20" ht="13" outlineLevel="1" x14ac:dyDescent="0.3">
      <c r="A176" s="1380"/>
      <c r="B176" s="353" t="s">
        <v>403</v>
      </c>
      <c r="D176" s="515"/>
      <c r="F176" s="174"/>
      <c r="G176" s="89">
        <f>(G329-10)/10</f>
        <v>2.5</v>
      </c>
      <c r="H176" s="89">
        <f t="shared" ref="H176:M176" si="62">(H329-10)/10</f>
        <v>2.5</v>
      </c>
      <c r="I176" s="89">
        <f t="shared" si="62"/>
        <v>2.5</v>
      </c>
      <c r="J176" s="89">
        <f t="shared" si="62"/>
        <v>2.5</v>
      </c>
      <c r="K176" s="89">
        <f t="shared" si="62"/>
        <v>2.5</v>
      </c>
      <c r="L176" s="89">
        <f t="shared" si="62"/>
        <v>2.5</v>
      </c>
      <c r="M176" s="89">
        <f t="shared" si="62"/>
        <v>2.5</v>
      </c>
      <c r="N176" s="1050"/>
      <c r="O176" s="47"/>
      <c r="P176" s="174"/>
      <c r="Q176" s="174"/>
      <c r="R176" s="174"/>
      <c r="S176" s="1050"/>
      <c r="T176" s="174"/>
    </row>
    <row r="177" spans="1:24" ht="13" outlineLevel="1" x14ac:dyDescent="0.3">
      <c r="A177" s="1380"/>
      <c r="B177" s="353" t="s">
        <v>414</v>
      </c>
      <c r="D177" s="515"/>
      <c r="F177" s="174"/>
      <c r="G177" s="461">
        <f t="shared" ref="G177:M177" ca="1" si="63">G176/G175/_Conductivity_Cu*100</f>
        <v>6.3807835577182436E-6</v>
      </c>
      <c r="H177" s="461">
        <f t="shared" ca="1" si="63"/>
        <v>6.3807835577182436E-6</v>
      </c>
      <c r="I177" s="461">
        <f t="shared" ca="1" si="63"/>
        <v>6.3807835577182436E-6</v>
      </c>
      <c r="J177" s="461">
        <f t="shared" ca="1" si="63"/>
        <v>6.3807835577182436E-6</v>
      </c>
      <c r="K177" s="461">
        <f t="shared" ca="1" si="63"/>
        <v>6.3807835577182436E-6</v>
      </c>
      <c r="L177" s="461">
        <f t="shared" ca="1" si="63"/>
        <v>6.3807835577182436E-6</v>
      </c>
      <c r="M177" s="461">
        <f t="shared" ca="1" si="63"/>
        <v>6.3807835577182436E-6</v>
      </c>
      <c r="N177" s="353"/>
      <c r="O177" s="47"/>
      <c r="P177" s="514"/>
      <c r="Q177" s="514"/>
      <c r="R177" s="514"/>
      <c r="S177" s="1050"/>
      <c r="U177" s="514"/>
      <c r="V177" s="514"/>
      <c r="W177" s="514"/>
      <c r="X177" s="1050"/>
    </row>
    <row r="178" spans="1:24" ht="13" outlineLevel="1" x14ac:dyDescent="0.3">
      <c r="A178" s="1380"/>
      <c r="B178" s="353" t="s">
        <v>415</v>
      </c>
      <c r="D178" s="515"/>
      <c r="F178" s="174"/>
      <c r="G178" s="175">
        <f t="shared" ref="G178:M178" ca="1" si="64">2*G177*G$287/G$25</f>
        <v>5.3913235595081368E-3</v>
      </c>
      <c r="H178" s="175">
        <f t="shared" ca="1" si="64"/>
        <v>5.3913235595081368E-3</v>
      </c>
      <c r="I178" s="175">
        <f t="shared" ca="1" si="64"/>
        <v>5.9673657674629808E-3</v>
      </c>
      <c r="J178" s="175">
        <f t="shared" ca="1" si="64"/>
        <v>6.874531167314046E-3</v>
      </c>
      <c r="K178" s="175">
        <f t="shared" ca="1" si="64"/>
        <v>8.3549514085407024E-3</v>
      </c>
      <c r="L178" s="175">
        <f t="shared" ca="1" si="64"/>
        <v>1.1281755872291964E-2</v>
      </c>
      <c r="M178" s="175">
        <f t="shared" ca="1" si="64"/>
        <v>2.1151351353236765E-2</v>
      </c>
      <c r="N178" s="353"/>
      <c r="O178" s="47"/>
      <c r="P178" s="514"/>
      <c r="Q178" s="514"/>
      <c r="R178" s="514"/>
      <c r="S178" s="1050"/>
      <c r="U178" s="514"/>
      <c r="V178" s="514"/>
      <c r="W178" s="514"/>
      <c r="X178" s="1050"/>
    </row>
    <row r="179" spans="1:24" ht="13" outlineLevel="1" x14ac:dyDescent="0.3">
      <c r="A179" s="1380"/>
      <c r="D179" s="515"/>
      <c r="F179" s="174"/>
      <c r="G179" s="175"/>
      <c r="H179" s="175"/>
      <c r="I179" s="175"/>
      <c r="J179" s="175"/>
      <c r="K179" s="175"/>
      <c r="L179" s="175"/>
      <c r="M179" s="175"/>
      <c r="N179" s="353"/>
      <c r="O179" s="47"/>
      <c r="P179" s="514"/>
      <c r="Q179" s="514"/>
      <c r="R179" s="514"/>
      <c r="S179" s="1050"/>
      <c r="U179" s="514"/>
      <c r="V179" s="514"/>
      <c r="W179" s="514"/>
      <c r="X179" s="1050"/>
    </row>
    <row r="180" spans="1:24" ht="15.5" outlineLevel="1" x14ac:dyDescent="0.35">
      <c r="A180" s="1380"/>
      <c r="B180" s="6" t="s">
        <v>416</v>
      </c>
      <c r="D180" s="515"/>
      <c r="F180" s="174"/>
      <c r="G180" s="175"/>
      <c r="H180" s="175"/>
      <c r="I180" s="175"/>
      <c r="J180" s="175"/>
      <c r="K180" s="175"/>
      <c r="L180" s="175"/>
      <c r="M180" s="175"/>
      <c r="N180" s="353"/>
      <c r="O180" s="47"/>
      <c r="P180" s="514"/>
      <c r="Q180" s="514"/>
      <c r="R180" s="514"/>
      <c r="S180" s="1050"/>
      <c r="U180" s="514"/>
      <c r="V180" s="514"/>
      <c r="W180" s="514"/>
      <c r="X180" s="1050"/>
    </row>
    <row r="181" spans="1:24" ht="13" outlineLevel="1" x14ac:dyDescent="0.3">
      <c r="A181" s="1380"/>
      <c r="B181" s="353" t="s">
        <v>413</v>
      </c>
      <c r="D181" s="515"/>
      <c r="F181" s="174"/>
      <c r="G181" s="513">
        <f>0.2</f>
        <v>0.2</v>
      </c>
      <c r="H181" s="513">
        <f t="shared" ref="H181:M181" si="65">0.2</f>
        <v>0.2</v>
      </c>
      <c r="I181" s="513">
        <f t="shared" si="65"/>
        <v>0.2</v>
      </c>
      <c r="J181" s="513">
        <f t="shared" si="65"/>
        <v>0.2</v>
      </c>
      <c r="K181" s="513">
        <f t="shared" si="65"/>
        <v>0.2</v>
      </c>
      <c r="L181" s="513">
        <f t="shared" si="65"/>
        <v>0.2</v>
      </c>
      <c r="M181" s="513">
        <f t="shared" si="65"/>
        <v>0.2</v>
      </c>
      <c r="N181" s="353"/>
      <c r="O181" s="47"/>
      <c r="P181" s="514"/>
      <c r="Q181" s="514"/>
      <c r="R181" s="514"/>
      <c r="S181" s="1050"/>
      <c r="U181" s="514"/>
      <c r="V181" s="514"/>
      <c r="W181" s="514"/>
      <c r="X181" s="1050"/>
    </row>
    <row r="182" spans="1:24" ht="13" outlineLevel="1" x14ac:dyDescent="0.3">
      <c r="A182" s="1380"/>
      <c r="B182" s="353" t="s">
        <v>402</v>
      </c>
      <c r="D182" s="515"/>
      <c r="F182" s="174"/>
      <c r="G182" s="514">
        <f t="shared" ref="G182:M182" ca="1" si="66">G$220/(_Conductivity_Cu/100*G181*_Cp_Cu*_rho_Cu)^0.5</f>
        <v>0.65738491746979322</v>
      </c>
      <c r="H182" s="514">
        <f t="shared" ca="1" si="66"/>
        <v>0.65738491746979322</v>
      </c>
      <c r="I182" s="514">
        <f t="shared" ca="1" si="66"/>
        <v>0.65738491746979322</v>
      </c>
      <c r="J182" s="514">
        <f t="shared" ca="1" si="66"/>
        <v>0.65738491746979322</v>
      </c>
      <c r="K182" s="514">
        <f t="shared" ca="1" si="66"/>
        <v>0.65738491746979322</v>
      </c>
      <c r="L182" s="514">
        <f t="shared" ca="1" si="66"/>
        <v>0.65738491746979322</v>
      </c>
      <c r="M182" s="514">
        <f t="shared" ca="1" si="66"/>
        <v>0.65738491746979322</v>
      </c>
      <c r="N182" s="353"/>
      <c r="O182" s="47"/>
      <c r="P182" s="514"/>
      <c r="Q182" s="514"/>
      <c r="R182" s="514"/>
      <c r="S182" s="1050"/>
      <c r="U182" s="514"/>
      <c r="V182" s="514"/>
      <c r="W182" s="514"/>
      <c r="X182" s="1050"/>
    </row>
    <row r="183" spans="1:24" ht="13" outlineLevel="1" x14ac:dyDescent="0.3">
      <c r="A183" s="1380"/>
      <c r="B183" s="353" t="s">
        <v>417</v>
      </c>
      <c r="D183" s="515"/>
      <c r="F183" s="174"/>
      <c r="G183" s="208">
        <f>6</f>
        <v>6</v>
      </c>
      <c r="H183" s="208">
        <f>6</f>
        <v>6</v>
      </c>
      <c r="I183" s="208">
        <f>6</f>
        <v>6</v>
      </c>
      <c r="J183" s="208">
        <f>6</f>
        <v>6</v>
      </c>
      <c r="K183" s="208">
        <f>6</f>
        <v>6</v>
      </c>
      <c r="L183" s="208">
        <f>6</f>
        <v>6</v>
      </c>
      <c r="M183" s="208">
        <f>6</f>
        <v>6</v>
      </c>
      <c r="N183" s="353"/>
      <c r="O183" s="47"/>
      <c r="P183" s="514"/>
      <c r="Q183" s="514"/>
      <c r="R183" s="514"/>
      <c r="S183" s="1050"/>
      <c r="U183" s="514"/>
      <c r="V183" s="514"/>
      <c r="W183" s="514"/>
      <c r="X183" s="1050"/>
    </row>
    <row r="184" spans="1:24" ht="13" outlineLevel="1" x14ac:dyDescent="0.3">
      <c r="A184" s="1380"/>
      <c r="B184" s="353" t="s">
        <v>414</v>
      </c>
      <c r="D184" s="515"/>
      <c r="F184" s="174"/>
      <c r="G184" s="461">
        <f t="shared" ref="G184:M184" ca="1" si="67">G183/G182/_Conductivity_Cu*100</f>
        <v>1.5313880538523786E-5</v>
      </c>
      <c r="H184" s="461">
        <f t="shared" ca="1" si="67"/>
        <v>1.5313880538523786E-5</v>
      </c>
      <c r="I184" s="461">
        <f t="shared" ca="1" si="67"/>
        <v>1.5313880538523786E-5</v>
      </c>
      <c r="J184" s="461">
        <f t="shared" ca="1" si="67"/>
        <v>1.5313880538523786E-5</v>
      </c>
      <c r="K184" s="461">
        <f t="shared" ca="1" si="67"/>
        <v>1.5313880538523786E-5</v>
      </c>
      <c r="L184" s="461">
        <f t="shared" ca="1" si="67"/>
        <v>1.5313880538523786E-5</v>
      </c>
      <c r="M184" s="461">
        <f t="shared" ca="1" si="67"/>
        <v>1.5313880538523786E-5</v>
      </c>
      <c r="N184" s="353"/>
      <c r="O184" s="47"/>
      <c r="P184" s="514"/>
      <c r="Q184" s="514"/>
      <c r="R184" s="514"/>
      <c r="S184" s="1050"/>
      <c r="U184" s="514"/>
      <c r="V184" s="514"/>
      <c r="W184" s="514"/>
      <c r="X184" s="1050"/>
    </row>
    <row r="185" spans="1:24" ht="13" outlineLevel="1" x14ac:dyDescent="0.3">
      <c r="A185" s="1380"/>
      <c r="B185" s="353" t="s">
        <v>418</v>
      </c>
      <c r="D185" s="515"/>
      <c r="F185" s="174"/>
      <c r="G185" s="147">
        <f t="shared" ref="G185:M185" si="68">(G27+1)*G28</f>
        <v>24</v>
      </c>
      <c r="H185" s="147">
        <f t="shared" si="68"/>
        <v>24</v>
      </c>
      <c r="I185" s="147">
        <f t="shared" si="68"/>
        <v>24</v>
      </c>
      <c r="J185" s="147">
        <f t="shared" si="68"/>
        <v>24</v>
      </c>
      <c r="K185" s="147">
        <f t="shared" si="68"/>
        <v>24</v>
      </c>
      <c r="L185" s="147">
        <f t="shared" si="68"/>
        <v>24</v>
      </c>
      <c r="M185" s="147">
        <f t="shared" si="68"/>
        <v>24</v>
      </c>
      <c r="N185" s="353"/>
      <c r="O185" s="47"/>
      <c r="P185" s="514"/>
      <c r="Q185" s="514"/>
      <c r="R185" s="514"/>
      <c r="S185" s="1050"/>
      <c r="U185" s="514"/>
      <c r="V185" s="514"/>
      <c r="W185" s="514"/>
      <c r="X185" s="1050"/>
    </row>
    <row r="186" spans="1:24" ht="13" outlineLevel="1" x14ac:dyDescent="0.3">
      <c r="A186" s="1380"/>
      <c r="B186" s="353" t="s">
        <v>411</v>
      </c>
      <c r="D186" s="515"/>
      <c r="F186" s="174"/>
      <c r="G186" s="175">
        <f t="shared" ref="G186:M186" ca="1" si="69">G184*G$287*G185/G$31</f>
        <v>7.7635059256917181E-3</v>
      </c>
      <c r="H186" s="175">
        <f t="shared" ca="1" si="69"/>
        <v>7.7635059256917181E-3</v>
      </c>
      <c r="I186" s="175">
        <f t="shared" ca="1" si="69"/>
        <v>8.593006705146693E-3</v>
      </c>
      <c r="J186" s="175">
        <f t="shared" ca="1" si="69"/>
        <v>9.8993248809322292E-3</v>
      </c>
      <c r="K186" s="175">
        <f t="shared" ca="1" si="69"/>
        <v>1.2031130028298613E-2</v>
      </c>
      <c r="L186" s="175">
        <f t="shared" ca="1" si="69"/>
        <v>1.6245728456100429E-2</v>
      </c>
      <c r="M186" s="175">
        <f t="shared" ca="1" si="69"/>
        <v>3.0457945948660945E-2</v>
      </c>
      <c r="N186" s="353"/>
      <c r="O186" s="47"/>
      <c r="P186" s="514"/>
      <c r="Q186" s="514"/>
      <c r="R186" s="514"/>
      <c r="S186" s="1050"/>
      <c r="U186" s="514"/>
      <c r="V186" s="514"/>
      <c r="W186" s="514"/>
      <c r="X186" s="1050"/>
    </row>
    <row r="187" spans="1:24" ht="13" outlineLevel="1" x14ac:dyDescent="0.3">
      <c r="A187" s="1380"/>
      <c r="D187" s="515"/>
      <c r="F187" s="174"/>
      <c r="G187" s="175"/>
      <c r="H187" s="175"/>
      <c r="I187" s="175"/>
      <c r="J187" s="175"/>
      <c r="K187" s="175"/>
      <c r="L187" s="175"/>
      <c r="M187" s="175"/>
      <c r="N187" s="353"/>
      <c r="O187" s="47"/>
      <c r="P187" s="514"/>
      <c r="Q187" s="514"/>
      <c r="R187" s="514"/>
      <c r="S187" s="1050"/>
      <c r="U187" s="514"/>
      <c r="V187" s="514"/>
      <c r="W187" s="514"/>
      <c r="X187" s="1050"/>
    </row>
    <row r="188" spans="1:24" ht="15.5" outlineLevel="1" x14ac:dyDescent="0.35">
      <c r="A188" s="1380"/>
      <c r="B188" s="6" t="s">
        <v>419</v>
      </c>
      <c r="D188" s="515"/>
      <c r="F188" s="174"/>
      <c r="G188" s="175"/>
      <c r="H188" s="175"/>
      <c r="I188" s="175"/>
      <c r="J188" s="175"/>
      <c r="K188" s="175"/>
      <c r="L188" s="175"/>
      <c r="M188" s="175"/>
      <c r="N188" s="353"/>
      <c r="O188" s="47"/>
      <c r="P188" s="514"/>
      <c r="Q188" s="514"/>
      <c r="R188" s="514"/>
      <c r="S188" s="1050"/>
      <c r="U188" s="514"/>
      <c r="V188" s="514"/>
      <c r="W188" s="514"/>
      <c r="X188" s="1050"/>
    </row>
    <row r="189" spans="1:24" ht="13" outlineLevel="1" x14ac:dyDescent="0.3">
      <c r="A189" s="1380"/>
      <c r="B189" s="353" t="s">
        <v>420</v>
      </c>
      <c r="D189" s="515"/>
      <c r="F189" s="174"/>
      <c r="G189" s="513">
        <f>IF(Dashboard!$E34="Yes",0.04,0.1)</f>
        <v>0.04</v>
      </c>
      <c r="H189" s="513">
        <f>IF(Dashboard!$E34="Yes",0.04,0.1)</f>
        <v>0.04</v>
      </c>
      <c r="I189" s="513">
        <f>IF(Dashboard!$E34="Yes",0.04,0.1)</f>
        <v>0.04</v>
      </c>
      <c r="J189" s="513">
        <f>IF(Dashboard!$E34="Yes",0.04,0.1)</f>
        <v>0.04</v>
      </c>
      <c r="K189" s="513">
        <f>IF(Dashboard!$E34="Yes",0.04,0.1)</f>
        <v>0.04</v>
      </c>
      <c r="L189" s="513">
        <f>IF(Dashboard!$E34="Yes",0.04,0.1)</f>
        <v>0.04</v>
      </c>
      <c r="M189" s="513">
        <f>IF(Dashboard!$E34="Yes",0.04,0.1)</f>
        <v>0.04</v>
      </c>
      <c r="N189" s="353"/>
      <c r="O189" s="47"/>
      <c r="P189" s="514"/>
      <c r="Q189" s="514"/>
      <c r="R189" s="514"/>
      <c r="S189" s="1050"/>
      <c r="U189" s="514"/>
      <c r="V189" s="514"/>
      <c r="W189" s="514"/>
      <c r="X189" s="1050"/>
    </row>
    <row r="190" spans="1:24" ht="13" outlineLevel="1" x14ac:dyDescent="0.3">
      <c r="A190" s="1380"/>
      <c r="B190" s="353" t="s">
        <v>402</v>
      </c>
      <c r="D190" s="515"/>
      <c r="F190" s="174"/>
      <c r="G190" s="514">
        <f t="shared" ref="G190:M190" ca="1" si="70">G$221/(_Conductivity_Cu/100*G189*_Cp_Cu*_rho_Cu)^0.5</f>
        <v>2.9399147256910929</v>
      </c>
      <c r="H190" s="514">
        <f t="shared" ca="1" si="70"/>
        <v>2.9399147256910929</v>
      </c>
      <c r="I190" s="514">
        <f t="shared" ca="1" si="70"/>
        <v>2.9399147256910929</v>
      </c>
      <c r="J190" s="514">
        <f t="shared" ca="1" si="70"/>
        <v>2.9399147256910929</v>
      </c>
      <c r="K190" s="514">
        <f t="shared" ca="1" si="70"/>
        <v>2.9399147256910929</v>
      </c>
      <c r="L190" s="514">
        <f t="shared" ca="1" si="70"/>
        <v>2.9399147256910929</v>
      </c>
      <c r="M190" s="514">
        <f t="shared" ca="1" si="70"/>
        <v>2.9399147256910929</v>
      </c>
      <c r="N190" s="353"/>
      <c r="O190" s="47"/>
      <c r="P190" s="514"/>
      <c r="Q190" s="514"/>
      <c r="R190" s="514"/>
      <c r="S190" s="1050"/>
      <c r="U190" s="514"/>
      <c r="V190" s="514"/>
      <c r="W190" s="514"/>
      <c r="X190" s="1050"/>
    </row>
    <row r="191" spans="1:24" ht="13" outlineLevel="1" x14ac:dyDescent="0.3">
      <c r="A191" s="1380"/>
      <c r="B191" s="353" t="s">
        <v>403</v>
      </c>
      <c r="D191" s="515"/>
      <c r="F191" s="174"/>
      <c r="G191" s="89">
        <f t="shared" ref="G191:M191" ca="1" si="71">G27*G348/10+4</f>
        <v>209.40917842490694</v>
      </c>
      <c r="H191" s="89">
        <f t="shared" ca="1" si="71"/>
        <v>209.40917842490694</v>
      </c>
      <c r="I191" s="89">
        <f t="shared" ca="1" si="71"/>
        <v>208.76883370495335</v>
      </c>
      <c r="J191" s="89">
        <f t="shared" ca="1" si="71"/>
        <v>209.94715249111476</v>
      </c>
      <c r="K191" s="89">
        <f t="shared" ca="1" si="71"/>
        <v>207.84895781958338</v>
      </c>
      <c r="L191" s="89">
        <f t="shared" ca="1" si="71"/>
        <v>208.86724738105832</v>
      </c>
      <c r="M191" s="89">
        <f t="shared" ca="1" si="71"/>
        <v>208.14047291165613</v>
      </c>
      <c r="N191" s="353"/>
      <c r="O191" s="47"/>
      <c r="P191" s="514"/>
      <c r="Q191" s="514"/>
      <c r="R191" s="514"/>
      <c r="S191" s="1050"/>
      <c r="U191" s="514"/>
      <c r="V191" s="514"/>
      <c r="W191" s="514"/>
      <c r="X191" s="1050"/>
    </row>
    <row r="192" spans="1:24" ht="13" outlineLevel="1" x14ac:dyDescent="0.3">
      <c r="A192" s="1380"/>
      <c r="B192" s="353" t="s">
        <v>414</v>
      </c>
      <c r="D192" s="515"/>
      <c r="F192" s="174"/>
      <c r="G192" s="461">
        <f t="shared" ref="G192:M192" ca="1" si="72">G191/G190/_Conductivity_Cu*100</f>
        <v>1.1951288207462897E-4</v>
      </c>
      <c r="H192" s="461">
        <f t="shared" ca="1" si="72"/>
        <v>1.1951288207462897E-4</v>
      </c>
      <c r="I192" s="461">
        <f t="shared" ca="1" si="72"/>
        <v>1.191474279738176E-4</v>
      </c>
      <c r="J192" s="461">
        <f t="shared" ca="1" si="72"/>
        <v>1.1981991174552261E-4</v>
      </c>
      <c r="K192" s="461">
        <f t="shared" ca="1" si="72"/>
        <v>1.1862244134697336E-4</v>
      </c>
      <c r="L192" s="461">
        <f t="shared" ca="1" si="72"/>
        <v>1.1920359409869966E-4</v>
      </c>
      <c r="M192" s="461">
        <f t="shared" ca="1" si="72"/>
        <v>1.1878881327529054E-4</v>
      </c>
      <c r="N192" s="353"/>
      <c r="O192" s="47"/>
      <c r="P192" s="514"/>
      <c r="Q192" s="514"/>
      <c r="R192" s="514"/>
      <c r="S192" s="1050"/>
      <c r="U192" s="514"/>
      <c r="V192" s="514"/>
      <c r="W192" s="514"/>
      <c r="X192" s="1050"/>
    </row>
    <row r="193" spans="1:24" ht="13" outlineLevel="1" x14ac:dyDescent="0.3">
      <c r="A193" s="1380"/>
      <c r="B193" s="353" t="s">
        <v>418</v>
      </c>
      <c r="D193" s="515"/>
      <c r="F193" s="174"/>
      <c r="G193" s="147">
        <f t="shared" ref="G193:M193" si="73">MOD(G28, 2)</f>
        <v>0</v>
      </c>
      <c r="H193" s="147">
        <f t="shared" si="73"/>
        <v>0</v>
      </c>
      <c r="I193" s="147">
        <f t="shared" si="73"/>
        <v>0</v>
      </c>
      <c r="J193" s="147">
        <f t="shared" si="73"/>
        <v>0</v>
      </c>
      <c r="K193" s="147">
        <f t="shared" si="73"/>
        <v>0</v>
      </c>
      <c r="L193" s="147">
        <f t="shared" si="73"/>
        <v>0</v>
      </c>
      <c r="M193" s="147">
        <f t="shared" si="73"/>
        <v>0</v>
      </c>
      <c r="N193" s="353"/>
      <c r="O193" s="47"/>
      <c r="P193" s="514"/>
      <c r="Q193" s="514"/>
      <c r="R193" s="514"/>
      <c r="S193" s="1050"/>
      <c r="U193" s="514"/>
      <c r="V193" s="514"/>
      <c r="W193" s="514"/>
      <c r="X193" s="1050"/>
    </row>
    <row r="194" spans="1:24" ht="13" outlineLevel="1" x14ac:dyDescent="0.3">
      <c r="A194" s="1380"/>
      <c r="B194" s="353" t="s">
        <v>421</v>
      </c>
      <c r="D194" s="515"/>
      <c r="F194" s="174"/>
      <c r="G194" s="175">
        <f t="shared" ref="G194:M194" ca="1" si="74">G192*G$287/G$31*G193</f>
        <v>0</v>
      </c>
      <c r="H194" s="175">
        <f t="shared" ca="1" si="74"/>
        <v>0</v>
      </c>
      <c r="I194" s="175">
        <f t="shared" ca="1" si="74"/>
        <v>0</v>
      </c>
      <c r="J194" s="175">
        <f t="shared" ca="1" si="74"/>
        <v>0</v>
      </c>
      <c r="K194" s="175">
        <f t="shared" ca="1" si="74"/>
        <v>0</v>
      </c>
      <c r="L194" s="175">
        <f t="shared" ca="1" si="74"/>
        <v>0</v>
      </c>
      <c r="M194" s="175">
        <f t="shared" ca="1" si="74"/>
        <v>0</v>
      </c>
      <c r="N194" s="353"/>
      <c r="O194" s="47"/>
      <c r="P194" s="514"/>
      <c r="Q194" s="514"/>
      <c r="R194" s="514"/>
      <c r="S194" s="1050"/>
      <c r="U194" s="514"/>
      <c r="V194" s="514"/>
      <c r="W194" s="514"/>
      <c r="X194" s="1050"/>
    </row>
    <row r="195" spans="1:24" ht="13" outlineLevel="1" x14ac:dyDescent="0.3">
      <c r="A195" s="1380"/>
      <c r="D195" s="515"/>
      <c r="F195" s="174"/>
      <c r="G195" s="175"/>
      <c r="H195" s="175"/>
      <c r="I195" s="175"/>
      <c r="J195" s="175"/>
      <c r="K195" s="175"/>
      <c r="L195" s="175"/>
      <c r="M195" s="175"/>
      <c r="N195" s="353"/>
      <c r="O195" s="47"/>
      <c r="P195" s="514"/>
      <c r="Q195" s="514"/>
      <c r="R195" s="514"/>
      <c r="S195" s="1050"/>
      <c r="U195" s="514"/>
      <c r="V195" s="514"/>
      <c r="W195" s="514"/>
      <c r="X195" s="1050"/>
    </row>
    <row r="196" spans="1:24" ht="15.5" outlineLevel="1" x14ac:dyDescent="0.35">
      <c r="A196" s="1380"/>
      <c r="B196" s="6" t="s">
        <v>422</v>
      </c>
      <c r="D196" s="515"/>
      <c r="F196" s="174"/>
      <c r="G196" s="175"/>
      <c r="H196" s="175"/>
      <c r="I196" s="175"/>
      <c r="J196" s="175"/>
      <c r="K196" s="175"/>
      <c r="L196" s="175"/>
      <c r="M196" s="175"/>
      <c r="N196" s="61"/>
      <c r="O196" s="47"/>
      <c r="P196" s="174"/>
      <c r="Q196" s="174"/>
      <c r="R196" s="174"/>
      <c r="S196" s="1050"/>
      <c r="U196" s="174"/>
      <c r="V196" s="174"/>
      <c r="W196" s="174"/>
      <c r="X196" s="1050"/>
    </row>
    <row r="197" spans="1:24" ht="13" outlineLevel="1" x14ac:dyDescent="0.3">
      <c r="A197" s="1380"/>
      <c r="B197" s="353" t="s">
        <v>420</v>
      </c>
      <c r="D197" s="515"/>
      <c r="F197" s="174"/>
      <c r="G197" s="513">
        <f>IF(Dashboard!$E34="Yes",0.04,0.1)</f>
        <v>0.04</v>
      </c>
      <c r="H197" s="513">
        <f>IF(Dashboard!$E34="Yes",0.04,0.1)</f>
        <v>0.04</v>
      </c>
      <c r="I197" s="513">
        <f>IF(Dashboard!$E34="Yes",0.04,0.1)</f>
        <v>0.04</v>
      </c>
      <c r="J197" s="513">
        <f>IF(Dashboard!$E34="Yes",0.04,0.1)</f>
        <v>0.04</v>
      </c>
      <c r="K197" s="513">
        <f>IF(Dashboard!$E34="Yes",0.04,0.1)</f>
        <v>0.04</v>
      </c>
      <c r="L197" s="513">
        <f>IF(Dashboard!$E34="Yes",0.04,0.1)</f>
        <v>0.04</v>
      </c>
      <c r="M197" s="513">
        <f>IF(Dashboard!$E34="Yes",0.04,0.1)</f>
        <v>0.04</v>
      </c>
      <c r="N197" s="353"/>
      <c r="O197" s="47"/>
      <c r="P197" s="174"/>
      <c r="Q197" s="174"/>
      <c r="R197" s="174"/>
      <c r="S197" s="1050"/>
      <c r="U197" s="174"/>
      <c r="V197" s="174"/>
      <c r="W197" s="174"/>
      <c r="X197" s="1050"/>
    </row>
    <row r="198" spans="1:24" ht="13" outlineLevel="1" x14ac:dyDescent="0.3">
      <c r="A198" s="1380"/>
      <c r="B198" s="353" t="s">
        <v>402</v>
      </c>
      <c r="D198" s="515"/>
      <c r="F198" s="174"/>
      <c r="G198" s="514">
        <f t="shared" ref="G198:M198" ca="1" si="75">G$221/(_Conductivity_Cu/100*G197*_Cp_Cu*_rho_Cu)^0.5</f>
        <v>2.9399147256910929</v>
      </c>
      <c r="H198" s="514">
        <f t="shared" ca="1" si="75"/>
        <v>2.9399147256910929</v>
      </c>
      <c r="I198" s="514">
        <f t="shared" ca="1" si="75"/>
        <v>2.9399147256910929</v>
      </c>
      <c r="J198" s="514">
        <f t="shared" ca="1" si="75"/>
        <v>2.9399147256910929</v>
      </c>
      <c r="K198" s="514">
        <f t="shared" ca="1" si="75"/>
        <v>2.9399147256910929</v>
      </c>
      <c r="L198" s="514">
        <f t="shared" ca="1" si="75"/>
        <v>2.9399147256910929</v>
      </c>
      <c r="M198" s="514">
        <f t="shared" ca="1" si="75"/>
        <v>2.9399147256910929</v>
      </c>
      <c r="N198" s="353"/>
      <c r="O198" s="47"/>
      <c r="P198" s="174"/>
      <c r="Q198" s="174"/>
      <c r="R198" s="174"/>
      <c r="S198" s="1050"/>
      <c r="U198" s="174"/>
      <c r="V198" s="174"/>
      <c r="W198" s="174"/>
      <c r="X198" s="1050"/>
    </row>
    <row r="199" spans="1:24" ht="13" outlineLevel="1" x14ac:dyDescent="0.3">
      <c r="A199" s="1380"/>
      <c r="B199" s="353" t="s">
        <v>403</v>
      </c>
      <c r="D199" s="515"/>
      <c r="F199" s="174"/>
      <c r="G199" s="89">
        <f t="shared" ref="G199:M199" ca="1" si="76">2*G347/10+0.5+2</f>
        <v>58.761327155747516</v>
      </c>
      <c r="H199" s="89">
        <f t="shared" ca="1" si="76"/>
        <v>58.761327155747516</v>
      </c>
      <c r="I199" s="89">
        <f t="shared" ca="1" si="76"/>
        <v>58.96827343706228</v>
      </c>
      <c r="J199" s="89">
        <f t="shared" ca="1" si="76"/>
        <v>59.183540322147714</v>
      </c>
      <c r="K199" s="89">
        <f t="shared" ca="1" si="76"/>
        <v>59.760896982895758</v>
      </c>
      <c r="L199" s="89">
        <f t="shared" ca="1" si="76"/>
        <v>60.626843329369478</v>
      </c>
      <c r="M199" s="89">
        <f t="shared" ca="1" si="76"/>
        <v>63.712772712972694</v>
      </c>
      <c r="N199" s="353"/>
      <c r="O199" s="47"/>
      <c r="P199" s="472"/>
      <c r="Q199" s="472"/>
      <c r="R199" s="517"/>
      <c r="S199" s="518"/>
      <c r="U199" s="472"/>
      <c r="V199" s="472"/>
      <c r="W199" s="517"/>
      <c r="X199" s="518"/>
    </row>
    <row r="200" spans="1:24" ht="15.65" customHeight="1" outlineLevel="1" x14ac:dyDescent="0.3">
      <c r="A200" s="1380"/>
      <c r="B200" s="353" t="s">
        <v>414</v>
      </c>
      <c r="D200" s="515"/>
      <c r="F200" s="174"/>
      <c r="G200" s="461">
        <f t="shared" ref="G200:M200" ca="1" si="77">G199/G198/_Conductivity_Cu*100</f>
        <v>3.3535949167728881E-5</v>
      </c>
      <c r="H200" s="461">
        <f t="shared" ca="1" si="77"/>
        <v>3.3535949167728881E-5</v>
      </c>
      <c r="I200" s="461">
        <f t="shared" ca="1" si="77"/>
        <v>3.365405643838714E-5</v>
      </c>
      <c r="J200" s="461">
        <f t="shared" ca="1" si="77"/>
        <v>3.3776912399359329E-5</v>
      </c>
      <c r="K200" s="461">
        <f t="shared" ca="1" si="77"/>
        <v>3.4106418293179189E-5</v>
      </c>
      <c r="L200" s="461">
        <f t="shared" ca="1" si="77"/>
        <v>3.460062654311119E-5</v>
      </c>
      <c r="M200" s="461">
        <f t="shared" ca="1" si="77"/>
        <v>3.6361811593772452E-5</v>
      </c>
      <c r="N200" s="509"/>
      <c r="O200" s="47"/>
      <c r="P200" s="93"/>
      <c r="Q200" s="93"/>
      <c r="R200" s="93"/>
      <c r="S200" s="93"/>
      <c r="U200" s="93"/>
      <c r="V200" s="93"/>
      <c r="W200" s="93"/>
      <c r="X200" s="93"/>
    </row>
    <row r="201" spans="1:24" ht="15.65" customHeight="1" outlineLevel="1" x14ac:dyDescent="0.3">
      <c r="A201" s="1380"/>
      <c r="B201" s="353" t="s">
        <v>418</v>
      </c>
      <c r="D201" s="515"/>
      <c r="F201" s="174"/>
      <c r="G201" s="147">
        <f t="shared" ref="G201:M201" si="78">MAX(QUOTIENT(G28+1, 2)-1, 0)</f>
        <v>1</v>
      </c>
      <c r="H201" s="147">
        <f t="shared" si="78"/>
        <v>1</v>
      </c>
      <c r="I201" s="147">
        <f t="shared" si="78"/>
        <v>1</v>
      </c>
      <c r="J201" s="147">
        <f t="shared" si="78"/>
        <v>1</v>
      </c>
      <c r="K201" s="147">
        <f t="shared" si="78"/>
        <v>1</v>
      </c>
      <c r="L201" s="147">
        <f t="shared" si="78"/>
        <v>1</v>
      </c>
      <c r="M201" s="147">
        <f t="shared" si="78"/>
        <v>1</v>
      </c>
      <c r="N201" s="509"/>
      <c r="O201" s="47"/>
      <c r="P201" s="93"/>
      <c r="Q201" s="93"/>
      <c r="R201" s="93"/>
      <c r="S201" s="93"/>
      <c r="U201" s="93"/>
      <c r="V201" s="93"/>
      <c r="W201" s="93"/>
      <c r="X201" s="93"/>
    </row>
    <row r="202" spans="1:24" ht="13" outlineLevel="1" x14ac:dyDescent="0.3">
      <c r="A202" s="1380"/>
      <c r="B202" s="353" t="s">
        <v>421</v>
      </c>
      <c r="D202" s="515"/>
      <c r="F202" s="174"/>
      <c r="G202" s="175">
        <f t="shared" ref="G202:M202" ca="1" si="79">G200*G$287/G$31*G201</f>
        <v>7.0838930361359447E-4</v>
      </c>
      <c r="H202" s="175">
        <f t="shared" ca="1" si="79"/>
        <v>7.0838930361359447E-4</v>
      </c>
      <c r="I202" s="175">
        <f t="shared" ca="1" si="79"/>
        <v>7.8683935331021302E-4</v>
      </c>
      <c r="J202" s="175">
        <f t="shared" ca="1" si="79"/>
        <v>9.0976458817569746E-4</v>
      </c>
      <c r="K202" s="175">
        <f t="shared" ca="1" si="79"/>
        <v>1.1164673781098135E-3</v>
      </c>
      <c r="L202" s="175">
        <f t="shared" ca="1" si="79"/>
        <v>1.5294196165592723E-3</v>
      </c>
      <c r="M202" s="175">
        <f t="shared" ca="1" si="79"/>
        <v>3.013350342881355E-3</v>
      </c>
      <c r="N202" s="47"/>
      <c r="O202" s="47"/>
      <c r="S202" s="1050"/>
    </row>
    <row r="203" spans="1:24" ht="13" outlineLevel="1" x14ac:dyDescent="0.3">
      <c r="A203" s="1380"/>
      <c r="D203" s="515"/>
      <c r="F203" s="174"/>
      <c r="G203" s="175"/>
      <c r="H203" s="175"/>
      <c r="I203" s="175"/>
      <c r="J203" s="175"/>
      <c r="K203" s="175"/>
      <c r="L203" s="175"/>
      <c r="M203" s="175"/>
      <c r="N203" s="47"/>
      <c r="O203" s="47"/>
      <c r="S203" s="1050"/>
    </row>
    <row r="204" spans="1:24" ht="15.5" outlineLevel="1" x14ac:dyDescent="0.35">
      <c r="A204" s="1380"/>
      <c r="B204" s="6" t="s">
        <v>423</v>
      </c>
      <c r="D204" s="515"/>
      <c r="F204" s="174"/>
      <c r="G204" s="175"/>
      <c r="H204" s="175"/>
      <c r="I204" s="175"/>
      <c r="J204" s="175"/>
      <c r="K204" s="175"/>
      <c r="L204" s="175"/>
      <c r="M204" s="175"/>
      <c r="N204" s="47"/>
      <c r="O204" s="47"/>
      <c r="S204" s="1050"/>
    </row>
    <row r="205" spans="1:24" ht="13" outlineLevel="1" x14ac:dyDescent="0.3">
      <c r="A205" s="1380"/>
      <c r="B205" s="353" t="s">
        <v>420</v>
      </c>
      <c r="D205" s="515"/>
      <c r="F205" s="174"/>
      <c r="G205" s="513">
        <f>IF(Dashboard!$E34="Yes",0.04,0.1)</f>
        <v>0.04</v>
      </c>
      <c r="H205" s="513">
        <f>IF(Dashboard!$E34="Yes",0.04,0.1)</f>
        <v>0.04</v>
      </c>
      <c r="I205" s="513">
        <f>IF(Dashboard!$E34="Yes",0.04,0.1)</f>
        <v>0.04</v>
      </c>
      <c r="J205" s="513">
        <f>IF(Dashboard!$E34="Yes",0.04,0.1)</f>
        <v>0.04</v>
      </c>
      <c r="K205" s="513">
        <f>IF(Dashboard!$E34="Yes",0.04,0.1)</f>
        <v>0.04</v>
      </c>
      <c r="L205" s="513">
        <f>IF(Dashboard!$E34="Yes",0.04,0.1)</f>
        <v>0.04</v>
      </c>
      <c r="M205" s="513">
        <f>IF(Dashboard!$E34="Yes",0.04,0.1)</f>
        <v>0.04</v>
      </c>
      <c r="N205" s="47"/>
      <c r="O205" s="47"/>
      <c r="S205" s="1050"/>
    </row>
    <row r="206" spans="1:24" ht="13" outlineLevel="1" x14ac:dyDescent="0.3">
      <c r="A206" s="1380"/>
      <c r="B206" s="353" t="s">
        <v>402</v>
      </c>
      <c r="D206" s="515"/>
      <c r="F206" s="174"/>
      <c r="G206" s="514">
        <f t="shared" ref="G206:M206" ca="1" si="80">G$221/(_Conductivity_Cu/100*G205*_Cp_Cu*_rho_Cu)^0.5</f>
        <v>2.9399147256910929</v>
      </c>
      <c r="H206" s="514">
        <f t="shared" ca="1" si="80"/>
        <v>2.9399147256910929</v>
      </c>
      <c r="I206" s="514">
        <f t="shared" ca="1" si="80"/>
        <v>2.9399147256910929</v>
      </c>
      <c r="J206" s="514">
        <f t="shared" ca="1" si="80"/>
        <v>2.9399147256910929</v>
      </c>
      <c r="K206" s="514">
        <f t="shared" ca="1" si="80"/>
        <v>2.9399147256910929</v>
      </c>
      <c r="L206" s="514">
        <f t="shared" ca="1" si="80"/>
        <v>2.9399147256910929</v>
      </c>
      <c r="M206" s="514">
        <f t="shared" ca="1" si="80"/>
        <v>2.9399147256910929</v>
      </c>
      <c r="N206" s="47"/>
      <c r="O206" s="47"/>
      <c r="S206" s="1050"/>
    </row>
    <row r="207" spans="1:24" ht="13" outlineLevel="1" x14ac:dyDescent="0.3">
      <c r="A207" s="1380"/>
      <c r="B207" s="353" t="s">
        <v>424</v>
      </c>
      <c r="D207" s="515"/>
      <c r="F207" s="174"/>
      <c r="G207" s="208">
        <f>12</f>
        <v>12</v>
      </c>
      <c r="H207" s="208">
        <f>12</f>
        <v>12</v>
      </c>
      <c r="I207" s="208">
        <f>12</f>
        <v>12</v>
      </c>
      <c r="J207" s="208">
        <f>12</f>
        <v>12</v>
      </c>
      <c r="K207" s="208">
        <f>12</f>
        <v>12</v>
      </c>
      <c r="L207" s="208">
        <f>12</f>
        <v>12</v>
      </c>
      <c r="M207" s="208">
        <f>12</f>
        <v>12</v>
      </c>
      <c r="N207" s="47"/>
      <c r="O207" s="47"/>
      <c r="S207" s="1050"/>
    </row>
    <row r="208" spans="1:24" ht="13" outlineLevel="1" x14ac:dyDescent="0.3">
      <c r="A208" s="1380"/>
      <c r="B208" s="353" t="s">
        <v>414</v>
      </c>
      <c r="D208" s="515"/>
      <c r="F208" s="174"/>
      <c r="G208" s="461">
        <f t="shared" ref="G208:M208" ca="1" si="81">G207/G206/_Conductivity_Cu*100</f>
        <v>6.8485755766900552E-6</v>
      </c>
      <c r="H208" s="461">
        <f t="shared" ca="1" si="81"/>
        <v>6.8485755766900552E-6</v>
      </c>
      <c r="I208" s="461">
        <f t="shared" ca="1" si="81"/>
        <v>6.8485755766900552E-6</v>
      </c>
      <c r="J208" s="461">
        <f t="shared" ca="1" si="81"/>
        <v>6.8485755766900552E-6</v>
      </c>
      <c r="K208" s="461">
        <f t="shared" ca="1" si="81"/>
        <v>6.8485755766900552E-6</v>
      </c>
      <c r="L208" s="461">
        <f t="shared" ca="1" si="81"/>
        <v>6.8485755766900552E-6</v>
      </c>
      <c r="M208" s="461">
        <f t="shared" ca="1" si="81"/>
        <v>6.8485755766900552E-6</v>
      </c>
      <c r="N208" s="47"/>
      <c r="O208" s="47"/>
      <c r="S208" s="1050"/>
    </row>
    <row r="209" spans="1:19" ht="13" outlineLevel="1" x14ac:dyDescent="0.3">
      <c r="A209" s="1380"/>
      <c r="B209" s="353" t="s">
        <v>425</v>
      </c>
      <c r="D209" s="515"/>
      <c r="F209" s="174"/>
      <c r="G209" s="175">
        <f t="shared" ref="G209:M209" ca="1" si="82">2*G208*G$287/G$31</f>
        <v>2.893287832261519E-4</v>
      </c>
      <c r="H209" s="175">
        <f t="shared" ca="1" si="82"/>
        <v>2.893287832261519E-4</v>
      </c>
      <c r="I209" s="175">
        <f t="shared" ca="1" si="82"/>
        <v>3.2024245206365836E-4</v>
      </c>
      <c r="J209" s="175">
        <f t="shared" ca="1" si="82"/>
        <v>3.6892605608532464E-4</v>
      </c>
      <c r="K209" s="175">
        <f t="shared" ca="1" si="82"/>
        <v>4.4837374315691113E-4</v>
      </c>
      <c r="L209" s="175">
        <f t="shared" ca="1" si="82"/>
        <v>6.0544255286405454E-4</v>
      </c>
      <c r="M209" s="175">
        <f t="shared" ca="1" si="82"/>
        <v>1.13510062660367E-3</v>
      </c>
      <c r="N209" s="47"/>
      <c r="O209" s="47"/>
      <c r="S209" s="1050"/>
    </row>
    <row r="210" spans="1:19" ht="13.5" outlineLevel="1" thickBot="1" x14ac:dyDescent="0.35">
      <c r="A210" s="1380"/>
      <c r="D210" s="515"/>
      <c r="F210" s="174"/>
      <c r="G210" s="175"/>
      <c r="H210" s="175"/>
      <c r="I210" s="175"/>
      <c r="J210" s="175"/>
      <c r="K210" s="175"/>
      <c r="L210" s="175"/>
      <c r="M210" s="175"/>
      <c r="N210" s="47"/>
      <c r="O210" s="47"/>
      <c r="S210" s="1050"/>
    </row>
    <row r="211" spans="1:19" ht="18.5" thickBot="1" x14ac:dyDescent="0.45">
      <c r="A211" s="1380"/>
      <c r="B211" s="1458" t="s">
        <v>426</v>
      </c>
      <c r="C211" s="1459"/>
      <c r="D211" s="1459"/>
      <c r="E211" s="1459"/>
      <c r="F211" s="1459"/>
      <c r="G211" s="1459"/>
      <c r="H211" s="1459"/>
      <c r="I211" s="1459"/>
      <c r="J211" s="1459"/>
      <c r="K211" s="1459"/>
      <c r="L211" s="1459"/>
      <c r="M211" s="1460"/>
      <c r="N211" s="53"/>
      <c r="O211" s="189"/>
      <c r="P211" s="189"/>
      <c r="Q211" s="189"/>
      <c r="R211" s="189"/>
      <c r="S211" s="189"/>
    </row>
    <row r="212" spans="1:19" ht="13" x14ac:dyDescent="0.3">
      <c r="A212" s="1380"/>
      <c r="N212" s="62"/>
      <c r="O212" s="189"/>
      <c r="P212" s="189"/>
      <c r="Q212" s="189"/>
      <c r="R212" s="189"/>
      <c r="S212" s="189"/>
    </row>
    <row r="213" spans="1:19" ht="15.5" outlineLevel="1" x14ac:dyDescent="0.35">
      <c r="A213" s="1380"/>
      <c r="B213" s="6" t="s">
        <v>427</v>
      </c>
      <c r="D213" s="90"/>
      <c r="N213" s="184"/>
      <c r="O213" s="61"/>
    </row>
    <row r="214" spans="1:19" ht="13" outlineLevel="1" x14ac:dyDescent="0.3">
      <c r="A214" s="1380"/>
      <c r="B214" s="353" t="s">
        <v>428</v>
      </c>
      <c r="D214" s="90"/>
      <c r="F214" s="189"/>
      <c r="G214" s="189">
        <f>Chem!$C$68</f>
        <v>100</v>
      </c>
      <c r="H214" s="189">
        <f>Chem!$C$68</f>
        <v>100</v>
      </c>
      <c r="I214" s="189">
        <f>Chem!$C$68</f>
        <v>100</v>
      </c>
      <c r="J214" s="189">
        <f>Chem!$C$68</f>
        <v>100</v>
      </c>
      <c r="K214" s="189">
        <f>Chem!$C$68</f>
        <v>100</v>
      </c>
      <c r="L214" s="189">
        <f>Chem!$C$68</f>
        <v>100</v>
      </c>
      <c r="M214" s="189">
        <f>Chem!$C$68</f>
        <v>100</v>
      </c>
      <c r="N214" s="140"/>
      <c r="O214" s="61"/>
    </row>
    <row r="215" spans="1:19" ht="13" outlineLevel="1" x14ac:dyDescent="0.3">
      <c r="A215" s="1380"/>
      <c r="B215" s="353" t="s">
        <v>429</v>
      </c>
      <c r="D215" s="90"/>
      <c r="F215" s="174"/>
      <c r="G215" s="93">
        <f>Chem!$C$141</f>
        <v>120</v>
      </c>
      <c r="H215" s="93">
        <f>Chem!$C$141</f>
        <v>120</v>
      </c>
      <c r="I215" s="93">
        <f>Chem!$C$141</f>
        <v>120</v>
      </c>
      <c r="J215" s="93">
        <f>Chem!$C$141</f>
        <v>120</v>
      </c>
      <c r="K215" s="93">
        <f>Chem!$C$141</f>
        <v>120</v>
      </c>
      <c r="L215" s="93">
        <f>Chem!$C$141</f>
        <v>120</v>
      </c>
      <c r="M215" s="93">
        <f>Chem!$C$141</f>
        <v>120</v>
      </c>
      <c r="N215" s="120"/>
      <c r="O215" s="234"/>
    </row>
    <row r="216" spans="1:19" ht="13" outlineLevel="1" x14ac:dyDescent="0.3">
      <c r="A216" s="1380"/>
      <c r="B216" s="353" t="s">
        <v>430</v>
      </c>
      <c r="D216" s="90"/>
      <c r="F216" s="174"/>
      <c r="G216" s="93">
        <f ca="1">8.314*298.15/(Chem!$C$54/1000)/Chem!$C$53/96485/(G277*10^-4)</f>
        <v>0.93466334567996578</v>
      </c>
      <c r="H216" s="93">
        <f ca="1">8.314*298.15/(Chem!$C$54/1000)/Chem!$C$53/96485/(H277*10^-4)</f>
        <v>0.93466334567996578</v>
      </c>
      <c r="I216" s="93">
        <f ca="1">8.314*298.15/(Chem!$C$54/1000)/Chem!$C$53/96485/(I277*10^-4)</f>
        <v>1.0357640466964853</v>
      </c>
      <c r="J216" s="93">
        <f ca="1">8.314*298.15/(Chem!$C$54/1000)/Chem!$C$53/96485/(J277*10^-4)</f>
        <v>1.1949780877116785</v>
      </c>
      <c r="K216" s="93">
        <f ca="1">8.314*298.15/(Chem!$C$54/1000)/Chem!$C$53/96485/(K277*10^-4)</f>
        <v>1.4547888339689881</v>
      </c>
      <c r="L216" s="93">
        <f ca="1">8.314*298.15/(Chem!$C$54/1000)/Chem!$C$53/96485/(L277*10^-4)</f>
        <v>1.968427449466323</v>
      </c>
      <c r="M216" s="93">
        <f ca="1">8.314*298.15/(Chem!$C$54/1000)/Chem!$C$53/96485/(M277*10^-4)</f>
        <v>3.7004358185121915</v>
      </c>
      <c r="N216" s="120"/>
      <c r="O216" s="234"/>
    </row>
    <row r="217" spans="1:19" ht="13" outlineLevel="1" x14ac:dyDescent="0.3">
      <c r="A217" s="1380"/>
      <c r="B217" s="353" t="s">
        <v>431</v>
      </c>
      <c r="D217" s="90"/>
      <c r="G217" s="175">
        <f ca="1">8.314*298.15/(Chem!$C$25/1000)/Chem!$C$24/(G276*10^-4)/96485*((1-(G364/G215)^2)*(1-G363/G214))^-0.5</f>
        <v>0.4057584076555345</v>
      </c>
      <c r="H217" s="175">
        <f ca="1">8.314*298.15/(Chem!$C$25/1000)/Chem!$C$24/(H276*10^-4)/96485*((1-(H364/H215)^2)*(1-H363/H214))^-0.5</f>
        <v>0.4057584076555345</v>
      </c>
      <c r="I217" s="175">
        <f ca="1">8.314*298.15/(Chem!$C$25/1000)/Chem!$C$24/(I276*10^-4)/96485*((1-(I364/I215)^2)*(1-I363/I214))^-0.5</f>
        <v>0.44259898532478703</v>
      </c>
      <c r="J217" s="175">
        <f ca="1">8.314*298.15/(Chem!$C$25/1000)/Chem!$C$24/(J276*10^-4)/96485*((1-(J364/J215)^2)*(1-J363/J214))^-0.5</f>
        <v>0.50109787655648053</v>
      </c>
      <c r="K217" s="175">
        <f ca="1">8.314*298.15/(Chem!$C$25/1000)/Chem!$C$24/(K276*10^-4)/96485*((1-(K364/K215)^2)*(1-K363/K214))^-0.5</f>
        <v>0.5973022099327937</v>
      </c>
      <c r="L217" s="175">
        <f ca="1">8.314*298.15/(Chem!$C$25/1000)/Chem!$C$24/(L276*10^-4)/96485*((1-(L364/L215)^2)*(1-L363/L214))^-0.5</f>
        <v>0.78878586610265433</v>
      </c>
      <c r="M217" s="175">
        <f ca="1">8.314*298.15/(Chem!$C$25/1000)/Chem!$C$24/(M276*10^-4)/96485*((1-(M364/M215)^2)*(1-M363/M214))^-0.5</f>
        <v>1.438090590960972</v>
      </c>
      <c r="N217" s="120"/>
      <c r="O217" s="234"/>
    </row>
    <row r="218" spans="1:19" ht="13" outlineLevel="1" x14ac:dyDescent="0.3">
      <c r="A218" s="1380"/>
      <c r="B218" s="353" t="s">
        <v>432</v>
      </c>
      <c r="D218" s="189"/>
      <c r="F218" s="174"/>
      <c r="G218" s="175">
        <f ca="1">(G145-(Chem!$C$139 + Chem!$C$140)+G216+G217)*G111</f>
        <v>12.522743257207027</v>
      </c>
      <c r="H218" s="175">
        <f ca="1">(H145-(Chem!$C$139 + Chem!$C$140)+H216+H217)*H111</f>
        <v>12.522743257207027</v>
      </c>
      <c r="I218" s="175">
        <f ca="1">(I145-(Chem!$C$139 + Chem!$C$140)+I216+I217)*I111</f>
        <v>12.635690354098362</v>
      </c>
      <c r="J218" s="175">
        <f ca="1">(J145-(Chem!$C$139 + Chem!$C$140)+J216+J217)*J111</f>
        <v>12.813954930788281</v>
      </c>
      <c r="K218" s="175">
        <f ca="1">(K145-(Chem!$C$139 + Chem!$C$140)+K216+K217)*K111</f>
        <v>13.10546208569696</v>
      </c>
      <c r="L218" s="175">
        <f ca="1">(L145-(Chem!$C$139 + Chem!$C$140)+L216+L217)*L111</f>
        <v>13.682820178191182</v>
      </c>
      <c r="M218" s="175">
        <f ca="1">(M145-(Chem!$C$139 + Chem!$C$140)+M216+M217)*M111</f>
        <v>15.63265276861169</v>
      </c>
      <c r="N218" s="61"/>
      <c r="O218" s="61"/>
    </row>
    <row r="219" spans="1:19" ht="13" outlineLevel="1" x14ac:dyDescent="0.3">
      <c r="A219" s="1380"/>
      <c r="B219" s="353" t="s">
        <v>433</v>
      </c>
      <c r="D219" s="222"/>
      <c r="F219" s="174"/>
      <c r="G219" s="175">
        <f t="shared" ref="G219:M219" ca="1" si="83">G362/(G26*G30)</f>
        <v>210.90301959119978</v>
      </c>
      <c r="H219" s="175">
        <f t="shared" ca="1" si="83"/>
        <v>210.90301959119978</v>
      </c>
      <c r="I219" s="175">
        <f t="shared" ca="1" si="83"/>
        <v>210.90301959119978</v>
      </c>
      <c r="J219" s="175">
        <f t="shared" ca="1" si="83"/>
        <v>210.90301959119978</v>
      </c>
      <c r="K219" s="175">
        <f t="shared" ca="1" si="83"/>
        <v>210.90301959119978</v>
      </c>
      <c r="L219" s="175">
        <f t="shared" ca="1" si="83"/>
        <v>210.90301959119978</v>
      </c>
      <c r="M219" s="175">
        <f t="shared" ca="1" si="83"/>
        <v>210.90301959119978</v>
      </c>
      <c r="N219" s="53"/>
      <c r="O219" s="53"/>
      <c r="R219" s="455"/>
    </row>
    <row r="220" spans="1:19" ht="13" outlineLevel="1" x14ac:dyDescent="0.3">
      <c r="A220" s="1380"/>
      <c r="B220" s="353" t="s">
        <v>434</v>
      </c>
      <c r="D220" s="222"/>
      <c r="F220" s="174"/>
      <c r="G220" s="175">
        <f t="shared" ref="G220:M220" ca="1" si="84">G219*G26</f>
        <v>421.80603918239956</v>
      </c>
      <c r="H220" s="175">
        <f t="shared" ca="1" si="84"/>
        <v>421.80603918239956</v>
      </c>
      <c r="I220" s="175">
        <f t="shared" ca="1" si="84"/>
        <v>421.80603918239956</v>
      </c>
      <c r="J220" s="175">
        <f t="shared" ca="1" si="84"/>
        <v>421.80603918239956</v>
      </c>
      <c r="K220" s="175">
        <f t="shared" ca="1" si="84"/>
        <v>421.80603918239956</v>
      </c>
      <c r="L220" s="175">
        <f t="shared" ca="1" si="84"/>
        <v>421.80603918239956</v>
      </c>
      <c r="M220" s="175">
        <f t="shared" ca="1" si="84"/>
        <v>421.80603918239956</v>
      </c>
      <c r="N220" s="53"/>
      <c r="O220" s="53"/>
      <c r="R220" s="455"/>
    </row>
    <row r="221" spans="1:19" ht="13" outlineLevel="1" x14ac:dyDescent="0.3">
      <c r="A221" s="1380"/>
      <c r="B221" s="353" t="s">
        <v>435</v>
      </c>
      <c r="D221" s="222"/>
      <c r="F221" s="174"/>
      <c r="G221" s="93">
        <f t="shared" ref="G221:M221" ca="1" si="85">G362</f>
        <v>843.61207836479912</v>
      </c>
      <c r="H221" s="93">
        <f t="shared" ca="1" si="85"/>
        <v>843.61207836479912</v>
      </c>
      <c r="I221" s="93">
        <f t="shared" ca="1" si="85"/>
        <v>843.61207836479912</v>
      </c>
      <c r="J221" s="93">
        <f t="shared" ca="1" si="85"/>
        <v>843.61207836479912</v>
      </c>
      <c r="K221" s="93">
        <f t="shared" ca="1" si="85"/>
        <v>843.61207836479912</v>
      </c>
      <c r="L221" s="93">
        <f t="shared" ca="1" si="85"/>
        <v>843.61207836479912</v>
      </c>
      <c r="M221" s="93">
        <f t="shared" ca="1" si="85"/>
        <v>843.61207836479912</v>
      </c>
      <c r="N221" s="47"/>
      <c r="O221" s="47"/>
    </row>
    <row r="222" spans="1:19" ht="13" outlineLevel="1" x14ac:dyDescent="0.3">
      <c r="A222" s="1380"/>
      <c r="D222" s="222"/>
      <c r="F222" s="174"/>
      <c r="G222" s="93"/>
      <c r="H222" s="93"/>
      <c r="I222" s="93"/>
      <c r="J222" s="93"/>
      <c r="K222" s="93"/>
      <c r="L222" s="93"/>
      <c r="M222" s="93"/>
      <c r="N222" s="47"/>
      <c r="O222" s="47"/>
    </row>
    <row r="223" spans="1:19" ht="15.5" outlineLevel="1" x14ac:dyDescent="0.35">
      <c r="A223" s="1380"/>
      <c r="B223" s="6" t="s">
        <v>436</v>
      </c>
      <c r="C223" s="35"/>
      <c r="D223" s="174"/>
      <c r="F223" s="174"/>
      <c r="G223" s="175"/>
      <c r="H223" s="175"/>
      <c r="I223" s="175"/>
      <c r="J223" s="175"/>
      <c r="K223" s="175"/>
      <c r="L223" s="175"/>
      <c r="M223" s="175"/>
      <c r="N223" s="47"/>
      <c r="O223" s="47"/>
    </row>
    <row r="224" spans="1:19" ht="13" outlineLevel="1" x14ac:dyDescent="0.3">
      <c r="A224" s="1380"/>
      <c r="B224" s="353" t="s">
        <v>437</v>
      </c>
      <c r="F224" s="104"/>
      <c r="G224" s="460">
        <f t="shared" ref="G224:M224" ca="1" si="86">G225+G226</f>
        <v>1.2412630284228312</v>
      </c>
      <c r="H224" s="460">
        <f t="shared" ca="1" si="86"/>
        <v>1.2412630284228312</v>
      </c>
      <c r="I224" s="460">
        <f t="shared" ca="1" si="86"/>
        <v>1.2530807347649322</v>
      </c>
      <c r="J224" s="460">
        <f t="shared" ca="1" si="86"/>
        <v>1.2636708897229556</v>
      </c>
      <c r="K224" s="460">
        <f t="shared" ca="1" si="86"/>
        <v>1.2973581595771857</v>
      </c>
      <c r="L224" s="460">
        <f t="shared" ca="1" si="86"/>
        <v>1.344612333239837</v>
      </c>
      <c r="M224" s="460">
        <f t="shared" ca="1" si="86"/>
        <v>1.5242367539118606</v>
      </c>
      <c r="N224" s="47"/>
      <c r="O224" s="47"/>
    </row>
    <row r="225" spans="1:19" ht="13" outlineLevel="1" x14ac:dyDescent="0.3">
      <c r="A225" s="1380" t="s">
        <v>438</v>
      </c>
      <c r="B225" s="353" t="s">
        <v>439</v>
      </c>
      <c r="F225" s="104"/>
      <c r="G225" s="522">
        <f t="shared" ref="G225:M225" ca="1" si="87">G287/G296*(G298/10/3+G302/10)/G297*10/$E63*10000/_Conductivity_Al*100</f>
        <v>0.6369287687817542</v>
      </c>
      <c r="H225" s="522">
        <f t="shared" ca="1" si="87"/>
        <v>0.6369287687817542</v>
      </c>
      <c r="I225" s="522">
        <f t="shared" ca="1" si="87"/>
        <v>0.64299278340068833</v>
      </c>
      <c r="J225" s="522">
        <f t="shared" ca="1" si="87"/>
        <v>0.64842690510106027</v>
      </c>
      <c r="K225" s="522">
        <f t="shared" ca="1" si="87"/>
        <v>0.6657128395247548</v>
      </c>
      <c r="L225" s="522">
        <f t="shared" ca="1" si="87"/>
        <v>0.68996035351781559</v>
      </c>
      <c r="M225" s="522">
        <f t="shared" ca="1" si="87"/>
        <v>0.78213095594616355</v>
      </c>
      <c r="N225" s="47"/>
      <c r="O225" s="47"/>
    </row>
    <row r="226" spans="1:19" ht="13" outlineLevel="1" x14ac:dyDescent="0.3">
      <c r="A226" s="1380"/>
      <c r="B226" s="353" t="s">
        <v>440</v>
      </c>
      <c r="F226" s="104"/>
      <c r="G226" s="522">
        <f t="shared" ref="G226:M226" ca="1" si="88">G287/G296*(G298/10/3+G302/10)/G297*10/$E64*10000*IF($D64="Al",1/_Conductivity_Al*100,1/_Conductivity_Cu*100)</f>
        <v>0.60433425964107712</v>
      </c>
      <c r="H226" s="522">
        <f t="shared" ca="1" si="88"/>
        <v>0.60433425964107712</v>
      </c>
      <c r="I226" s="522">
        <f t="shared" ca="1" si="88"/>
        <v>0.61008795136424376</v>
      </c>
      <c r="J226" s="522">
        <f t="shared" ca="1" si="88"/>
        <v>0.61524398462189522</v>
      </c>
      <c r="K226" s="522">
        <f t="shared" ca="1" si="88"/>
        <v>0.6316453200524309</v>
      </c>
      <c r="L226" s="522">
        <f t="shared" ca="1" si="88"/>
        <v>0.65465197972202138</v>
      </c>
      <c r="M226" s="522">
        <f t="shared" ca="1" si="88"/>
        <v>0.74210579796569709</v>
      </c>
      <c r="N226" s="47"/>
      <c r="O226" s="47"/>
    </row>
    <row r="227" spans="1:19" ht="13" outlineLevel="1" x14ac:dyDescent="0.3">
      <c r="A227" s="1380"/>
      <c r="B227" s="353" t="s">
        <v>441</v>
      </c>
      <c r="F227" s="104"/>
      <c r="G227" s="522">
        <f t="shared" ref="G227:M227" ca="1" si="89">G287*G94/10/G92*10/G85*10/_Conductivity_Al*100</f>
        <v>0.18558237189775423</v>
      </c>
      <c r="H227" s="522">
        <f t="shared" ca="1" si="89"/>
        <v>0.18558237189775423</v>
      </c>
      <c r="I227" s="522">
        <f t="shared" ca="1" si="89"/>
        <v>0.20497430392287208</v>
      </c>
      <c r="J227" s="522">
        <f t="shared" ca="1" si="89"/>
        <v>0.23706074543848546</v>
      </c>
      <c r="K227" s="522">
        <f t="shared" ca="1" si="89"/>
        <v>0.28610738754198545</v>
      </c>
      <c r="L227" s="522">
        <f t="shared" ca="1" si="89"/>
        <v>0.38764633491942041</v>
      </c>
      <c r="M227" s="522">
        <f t="shared" ca="1" si="89"/>
        <v>0.7250128502620643</v>
      </c>
      <c r="N227" s="47"/>
      <c r="O227" s="47"/>
    </row>
    <row r="228" spans="1:19" ht="13" outlineLevel="1" x14ac:dyDescent="0.3">
      <c r="A228" s="1380"/>
      <c r="B228" s="353" t="s">
        <v>442</v>
      </c>
      <c r="F228" s="104"/>
      <c r="G228" s="522">
        <f t="shared" ref="G228:M228" ca="1" si="90">G287*G94/10/G92*10/G86*10*IF($D64="Cu",1/_Conductivity_Cu*100,1/_Conductivity_Al*100)</f>
        <v>0.1760852874298322</v>
      </c>
      <c r="H228" s="522">
        <f t="shared" ca="1" si="90"/>
        <v>0.1760852874298322</v>
      </c>
      <c r="I228" s="522">
        <f t="shared" ca="1" si="90"/>
        <v>0.19448484709460423</v>
      </c>
      <c r="J228" s="522">
        <f t="shared" ca="1" si="90"/>
        <v>0.22492928111654953</v>
      </c>
      <c r="K228" s="522">
        <f t="shared" ca="1" si="90"/>
        <v>0.27146598599831001</v>
      </c>
      <c r="L228" s="522">
        <f t="shared" ca="1" si="90"/>
        <v>0.36780872885391308</v>
      </c>
      <c r="M228" s="522">
        <f t="shared" ca="1" si="90"/>
        <v>0.68791068258925714</v>
      </c>
      <c r="N228" s="47"/>
      <c r="O228" s="47"/>
    </row>
    <row r="229" spans="1:19" ht="13" outlineLevel="1" x14ac:dyDescent="0.3">
      <c r="A229" s="1380"/>
      <c r="F229" s="104"/>
      <c r="G229" s="522"/>
      <c r="H229" s="522"/>
      <c r="I229" s="522"/>
      <c r="J229" s="522"/>
      <c r="K229" s="522"/>
      <c r="L229" s="522"/>
      <c r="M229" s="522"/>
      <c r="N229" s="47"/>
      <c r="O229" s="47"/>
    </row>
    <row r="230" spans="1:19" ht="15.5" outlineLevel="1" x14ac:dyDescent="0.35">
      <c r="A230" s="1380"/>
      <c r="B230" s="6" t="s">
        <v>443</v>
      </c>
      <c r="D230" s="515"/>
      <c r="F230" s="174"/>
      <c r="G230" s="175"/>
      <c r="H230" s="175"/>
      <c r="I230" s="175"/>
      <c r="J230" s="175"/>
      <c r="K230" s="175"/>
      <c r="L230" s="175"/>
      <c r="M230" s="175"/>
      <c r="N230" s="47"/>
      <c r="O230" s="47"/>
      <c r="S230" s="1050"/>
    </row>
    <row r="231" spans="1:19" ht="13" outlineLevel="1" x14ac:dyDescent="0.3">
      <c r="A231" s="1380"/>
      <c r="B231" s="1051" t="s">
        <v>444</v>
      </c>
      <c r="D231" s="515"/>
      <c r="F231" s="176"/>
      <c r="G231" s="172">
        <f t="shared" ref="G231:M231" ca="1" si="91">G225+G226+G227+G228+G163+G171+G178+ G186 + G194+G202+G209</f>
        <v>1.7158996205873307</v>
      </c>
      <c r="H231" s="172">
        <f t="shared" ca="1" si="91"/>
        <v>1.7158996205873307</v>
      </c>
      <c r="I231" s="172">
        <f t="shared" ca="1" si="91"/>
        <v>1.7773557981955608</v>
      </c>
      <c r="J231" s="172">
        <f t="shared" ca="1" si="91"/>
        <v>1.8699340444281467</v>
      </c>
      <c r="K231" s="172">
        <f t="shared" ca="1" si="91"/>
        <v>2.0292472801126751</v>
      </c>
      <c r="L231" s="172">
        <f t="shared" ca="1" si="91"/>
        <v>2.3361488400411465</v>
      </c>
      <c r="M231" s="172">
        <f t="shared" ca="1" si="91"/>
        <v>3.3790088344004339</v>
      </c>
      <c r="N231" s="47"/>
      <c r="O231" s="47"/>
      <c r="S231" s="1050"/>
    </row>
    <row r="232" spans="1:19" ht="13" outlineLevel="1" x14ac:dyDescent="0.3">
      <c r="A232" s="1380"/>
      <c r="B232" s="353" t="s">
        <v>445</v>
      </c>
      <c r="D232" s="84"/>
      <c r="G232" s="175">
        <f t="shared" ref="G232:M232" ca="1" si="92">G218+G231</f>
        <v>14.238642877794359</v>
      </c>
      <c r="H232" s="175">
        <f t="shared" ca="1" si="92"/>
        <v>14.238642877794359</v>
      </c>
      <c r="I232" s="175">
        <f t="shared" ca="1" si="92"/>
        <v>14.413046152293923</v>
      </c>
      <c r="J232" s="175">
        <f t="shared" ca="1" si="92"/>
        <v>14.683888975216428</v>
      </c>
      <c r="K232" s="175">
        <f t="shared" ca="1" si="92"/>
        <v>15.134709365809634</v>
      </c>
      <c r="L232" s="175">
        <f t="shared" ca="1" si="92"/>
        <v>16.01896901823233</v>
      </c>
      <c r="M232" s="175">
        <f t="shared" ca="1" si="92"/>
        <v>19.011661603012122</v>
      </c>
      <c r="N232" s="47"/>
      <c r="O232" s="47"/>
      <c r="S232" s="1050"/>
    </row>
    <row r="233" spans="1:19" ht="13" outlineLevel="1" x14ac:dyDescent="0.3">
      <c r="A233" s="1380" t="s">
        <v>438</v>
      </c>
      <c r="B233" s="353" t="s">
        <v>446</v>
      </c>
      <c r="D233" s="87"/>
      <c r="G233" s="175">
        <f t="shared" ref="G233:M233" ca="1" si="93">G152 + G231</f>
        <v>17.247990391209456</v>
      </c>
      <c r="H233" s="175">
        <f t="shared" ca="1" si="93"/>
        <v>17.247990391209456</v>
      </c>
      <c r="I233" s="175">
        <f t="shared" ca="1" si="93"/>
        <v>17.309446568817684</v>
      </c>
      <c r="J233" s="175">
        <f t="shared" ca="1" si="93"/>
        <v>17.402024815050272</v>
      </c>
      <c r="K233" s="175">
        <f t="shared" ca="1" si="93"/>
        <v>17.5613380507348</v>
      </c>
      <c r="L233" s="175">
        <f t="shared" ca="1" si="93"/>
        <v>17.86823961066327</v>
      </c>
      <c r="M233" s="175">
        <f t="shared" ca="1" si="93"/>
        <v>18.911099605022557</v>
      </c>
      <c r="N233" s="47"/>
      <c r="O233" s="47"/>
      <c r="S233" s="1050"/>
    </row>
    <row r="234" spans="1:19" ht="13.5" thickBot="1" x14ac:dyDescent="0.35">
      <c r="A234" s="1380"/>
      <c r="F234" s="104"/>
      <c r="G234" s="522"/>
      <c r="H234" s="522"/>
      <c r="I234" s="522"/>
      <c r="J234" s="522"/>
      <c r="K234" s="522"/>
      <c r="L234" s="522"/>
      <c r="M234" s="522"/>
      <c r="N234" s="47"/>
      <c r="O234" s="47"/>
    </row>
    <row r="235" spans="1:19" ht="18.5" thickBot="1" x14ac:dyDescent="0.45">
      <c r="A235" s="1380"/>
      <c r="B235" s="1458" t="s">
        <v>447</v>
      </c>
      <c r="C235" s="1459"/>
      <c r="D235" s="1459"/>
      <c r="E235" s="1459"/>
      <c r="F235" s="1459"/>
      <c r="G235" s="1459"/>
      <c r="H235" s="1459"/>
      <c r="I235" s="1459"/>
      <c r="J235" s="1459"/>
      <c r="K235" s="1459"/>
      <c r="L235" s="1459"/>
      <c r="M235" s="1460"/>
      <c r="N235" s="47"/>
      <c r="O235" s="47"/>
      <c r="S235" s="1050"/>
    </row>
    <row r="236" spans="1:19" ht="13" x14ac:dyDescent="0.3">
      <c r="A236" s="1380"/>
      <c r="D236" s="515"/>
      <c r="F236" s="174"/>
      <c r="G236" s="175"/>
      <c r="H236" s="175"/>
      <c r="I236" s="175"/>
      <c r="J236" s="175"/>
      <c r="K236" s="175"/>
      <c r="L236" s="175"/>
      <c r="M236" s="175"/>
      <c r="N236" s="47"/>
      <c r="O236" s="47"/>
      <c r="S236" s="1050"/>
    </row>
    <row r="237" spans="1:19" ht="15.5" x14ac:dyDescent="0.35">
      <c r="A237" s="1380"/>
      <c r="B237" s="6" t="s">
        <v>448</v>
      </c>
      <c r="D237" s="515"/>
      <c r="F237" s="174"/>
      <c r="G237" s="175"/>
      <c r="H237" s="175"/>
      <c r="I237" s="175"/>
      <c r="J237" s="175"/>
      <c r="K237" s="175"/>
      <c r="L237" s="175"/>
      <c r="M237" s="175"/>
      <c r="N237" s="47"/>
      <c r="O237" s="47"/>
      <c r="S237" s="1050"/>
    </row>
    <row r="238" spans="1:19" ht="13" x14ac:dyDescent="0.3">
      <c r="A238" s="1380"/>
      <c r="B238" s="353" t="s">
        <v>449</v>
      </c>
      <c r="F238" s="93"/>
      <c r="G238" s="209">
        <v>350</v>
      </c>
      <c r="H238" s="209">
        <v>350</v>
      </c>
      <c r="I238" s="209">
        <v>350</v>
      </c>
      <c r="J238" s="209">
        <v>350</v>
      </c>
      <c r="K238" s="209">
        <v>350</v>
      </c>
      <c r="L238" s="209">
        <v>350</v>
      </c>
      <c r="M238" s="209">
        <v>350</v>
      </c>
      <c r="N238" s="47"/>
      <c r="O238" s="47"/>
      <c r="S238" s="1050"/>
    </row>
    <row r="239" spans="1:19" x14ac:dyDescent="0.25">
      <c r="B239" s="353" t="s">
        <v>450</v>
      </c>
      <c r="G239" s="513">
        <v>480</v>
      </c>
      <c r="H239" s="513">
        <v>480</v>
      </c>
      <c r="I239" s="513">
        <v>480</v>
      </c>
      <c r="J239" s="513">
        <v>480</v>
      </c>
      <c r="K239" s="513">
        <v>480</v>
      </c>
      <c r="L239" s="513">
        <v>480</v>
      </c>
      <c r="M239" s="513">
        <v>480</v>
      </c>
    </row>
    <row r="240" spans="1:19" x14ac:dyDescent="0.25">
      <c r="B240" s="353" t="s">
        <v>451</v>
      </c>
      <c r="G240" s="93">
        <f>G238*1000/G239</f>
        <v>729.16666666666663</v>
      </c>
      <c r="H240" s="93">
        <f t="shared" ref="H240:M240" si="94">H238*1000/H239</f>
        <v>729.16666666666663</v>
      </c>
      <c r="I240" s="93">
        <f t="shared" si="94"/>
        <v>729.16666666666663</v>
      </c>
      <c r="J240" s="93">
        <f t="shared" si="94"/>
        <v>729.16666666666663</v>
      </c>
      <c r="K240" s="93">
        <f t="shared" si="94"/>
        <v>729.16666666666663</v>
      </c>
      <c r="L240" s="93">
        <f t="shared" si="94"/>
        <v>729.16666666666663</v>
      </c>
      <c r="M240" s="93">
        <f t="shared" si="94"/>
        <v>729.16666666666663</v>
      </c>
    </row>
    <row r="241" spans="1:19" ht="13" x14ac:dyDescent="0.3">
      <c r="A241" s="1380"/>
      <c r="B241" s="353" t="s">
        <v>452</v>
      </c>
      <c r="G241" s="87">
        <f t="shared" ref="G241:M241" ca="1" si="95">G38*0.8/(G248/60)</f>
        <v>218.17314388191241</v>
      </c>
      <c r="H241" s="87">
        <f t="shared" ca="1" si="95"/>
        <v>290.89752517588323</v>
      </c>
      <c r="I241" s="87">
        <f t="shared" ca="1" si="95"/>
        <v>435.82579103180774</v>
      </c>
      <c r="J241" s="87">
        <f t="shared" ca="1" si="95"/>
        <v>522.22239225162787</v>
      </c>
      <c r="K241" s="87">
        <f t="shared" ca="1" si="95"/>
        <v>651.66789967441696</v>
      </c>
      <c r="L241" s="87">
        <f t="shared" ca="1" si="95"/>
        <v>867.11835838233878</v>
      </c>
      <c r="M241" s="87">
        <f t="shared" ca="1" si="95"/>
        <v>1297.172097919743</v>
      </c>
      <c r="N241" s="47"/>
      <c r="O241" s="47"/>
      <c r="S241" s="1050"/>
    </row>
    <row r="242" spans="1:19" ht="13" x14ac:dyDescent="0.3">
      <c r="A242" s="1380"/>
      <c r="D242" s="515"/>
      <c r="F242" s="174"/>
      <c r="G242" s="175"/>
      <c r="H242" s="175"/>
      <c r="I242" s="175"/>
      <c r="J242" s="175"/>
      <c r="K242" s="175"/>
      <c r="L242" s="175"/>
      <c r="M242" s="175"/>
      <c r="N242" s="47"/>
      <c r="O242" s="47"/>
      <c r="S242" s="1050"/>
    </row>
    <row r="243" spans="1:19" ht="15.5" x14ac:dyDescent="0.35">
      <c r="A243" s="1380"/>
      <c r="B243" s="6" t="s">
        <v>453</v>
      </c>
      <c r="D243" s="515"/>
      <c r="F243" s="174"/>
      <c r="G243" s="175"/>
      <c r="H243" s="175"/>
      <c r="I243" s="175"/>
      <c r="J243" s="175"/>
      <c r="K243" s="175"/>
      <c r="L243" s="175"/>
      <c r="M243" s="175"/>
      <c r="N243" s="47"/>
      <c r="O243" s="47"/>
      <c r="S243" s="1050"/>
    </row>
    <row r="244" spans="1:19" ht="13" x14ac:dyDescent="0.3">
      <c r="A244" s="1380"/>
      <c r="B244" s="353" t="s">
        <v>40</v>
      </c>
      <c r="G244" s="999">
        <f>Chem!$C$91</f>
        <v>9</v>
      </c>
      <c r="H244" s="999">
        <f>Chem!$C$91</f>
        <v>9</v>
      </c>
      <c r="I244" s="999">
        <f>Chem!$C$91</f>
        <v>9</v>
      </c>
      <c r="J244" s="999">
        <f>Chem!$C$91</f>
        <v>9</v>
      </c>
      <c r="K244" s="999">
        <f>Chem!$C$91</f>
        <v>9</v>
      </c>
      <c r="L244" s="999">
        <f>Chem!$C$91</f>
        <v>9</v>
      </c>
      <c r="M244" s="999">
        <f>Chem!$C$91</f>
        <v>9</v>
      </c>
      <c r="N244" s="47"/>
      <c r="O244" s="47"/>
      <c r="S244" s="1050"/>
    </row>
    <row r="245" spans="1:19" ht="13" x14ac:dyDescent="0.3">
      <c r="A245" s="1380"/>
      <c r="B245" s="353" t="s">
        <v>454</v>
      </c>
      <c r="F245" s="445"/>
      <c r="G245" s="999">
        <f>Dashboard!D38</f>
        <v>300</v>
      </c>
      <c r="H245" s="999">
        <f>Dashboard!E38</f>
        <v>300</v>
      </c>
      <c r="I245" s="999">
        <f>Dashboard!F38</f>
        <v>300</v>
      </c>
      <c r="J245" s="999">
        <f>Dashboard!G38</f>
        <v>300</v>
      </c>
      <c r="K245" s="999">
        <f>Dashboard!H38</f>
        <v>300</v>
      </c>
      <c r="L245" s="999">
        <f>Dashboard!I38</f>
        <v>300</v>
      </c>
      <c r="M245" s="999">
        <f>Dashboard!J38</f>
        <v>300</v>
      </c>
      <c r="N245" s="47"/>
      <c r="O245" s="47"/>
      <c r="S245" s="1050"/>
    </row>
    <row r="246" spans="1:19" ht="13" x14ac:dyDescent="0.3">
      <c r="A246" s="1380"/>
      <c r="B246" s="353" t="s">
        <v>202</v>
      </c>
      <c r="G246" s="93">
        <f ca="1">Dashboard!D52/'Battery Design'!G16*1000/Dashboard!D70</f>
        <v>67.327284049089613</v>
      </c>
      <c r="H246" s="93">
        <f ca="1">Dashboard!E52/'Battery Design'!H16*1000/Dashboard!E70</f>
        <v>67.327284049089613</v>
      </c>
      <c r="I246" s="93">
        <f ca="1">Dashboard!F52/'Battery Design'!I16*1000/Dashboard!F70</f>
        <v>67.327284049089613</v>
      </c>
      <c r="J246" s="93">
        <f ca="1">Dashboard!G52/'Battery Design'!J16*1000/Dashboard!G70</f>
        <v>67.327284049089613</v>
      </c>
      <c r="K246" s="93">
        <f ca="1">Dashboard!H52/'Battery Design'!K16*1000/Dashboard!H70</f>
        <v>67.327284049089613</v>
      </c>
      <c r="L246" s="93">
        <f ca="1">Dashboard!I52/'Battery Design'!L16*1000/Dashboard!I70</f>
        <v>67.327284049089613</v>
      </c>
      <c r="M246" s="93">
        <f ca="1">Dashboard!J52/'Battery Design'!M16*1000/Dashboard!J70</f>
        <v>67.327284049089613</v>
      </c>
      <c r="N246" s="47"/>
      <c r="O246" s="47"/>
      <c r="S246" s="1050"/>
    </row>
    <row r="247" spans="1:19" ht="13" x14ac:dyDescent="0.3">
      <c r="A247" s="1380"/>
      <c r="B247" s="353" t="s">
        <v>455</v>
      </c>
      <c r="G247" s="513">
        <v>55</v>
      </c>
      <c r="H247" s="513">
        <v>55</v>
      </c>
      <c r="I247" s="513">
        <v>55</v>
      </c>
      <c r="J247" s="513">
        <v>55</v>
      </c>
      <c r="K247" s="513">
        <v>55</v>
      </c>
      <c r="L247" s="513">
        <v>55</v>
      </c>
      <c r="M247" s="513">
        <v>55</v>
      </c>
      <c r="N247" s="47"/>
      <c r="O247" s="47"/>
      <c r="S247" s="1050"/>
    </row>
    <row r="248" spans="1:19" ht="13" x14ac:dyDescent="0.3">
      <c r="A248" s="1380"/>
      <c r="B248" s="353" t="s">
        <v>456</v>
      </c>
      <c r="G248" s="999">
        <f>IF(Dashboard!$D$34="Yes", Dashboard!D57, 60)</f>
        <v>60</v>
      </c>
      <c r="H248" s="999">
        <f>IF(Dashboard!$D$34="Yes", Dashboard!E57, 60)</f>
        <v>45</v>
      </c>
      <c r="I248" s="999">
        <f>IF(Dashboard!$D$34="Yes", Dashboard!F57, 60)</f>
        <v>30</v>
      </c>
      <c r="J248" s="999">
        <f>IF(Dashboard!$D$34="Yes", Dashboard!G57, 60)</f>
        <v>25</v>
      </c>
      <c r="K248" s="999">
        <f>IF(Dashboard!$D$34="Yes", Dashboard!H57, 60)</f>
        <v>20</v>
      </c>
      <c r="L248" s="999">
        <f>IF(Dashboard!$D$34="Yes", Dashboard!I57, 60)</f>
        <v>15</v>
      </c>
      <c r="M248" s="999">
        <f>IF(Dashboard!$D$34="Yes", Dashboard!J57, 60)</f>
        <v>10</v>
      </c>
      <c r="N248" s="47"/>
      <c r="O248" s="47"/>
      <c r="S248" s="1050"/>
    </row>
    <row r="249" spans="1:19" ht="13" x14ac:dyDescent="0.3">
      <c r="A249" s="1380"/>
      <c r="B249" s="353" t="s">
        <v>2254</v>
      </c>
      <c r="G249" s="93"/>
      <c r="H249" s="93"/>
      <c r="I249" s="93"/>
      <c r="J249" s="93"/>
      <c r="K249" s="93"/>
      <c r="L249" s="93"/>
      <c r="M249" s="93"/>
      <c r="N249" s="47"/>
      <c r="O249" s="47"/>
      <c r="S249" s="1050"/>
    </row>
    <row r="250" spans="1:19" ht="13" x14ac:dyDescent="0.3">
      <c r="A250" s="1380"/>
      <c r="B250" s="1388" t="s">
        <v>2257</v>
      </c>
      <c r="G250" s="93">
        <f>0.0915485</f>
        <v>9.1548500000000005E-2</v>
      </c>
      <c r="H250" s="93">
        <f t="shared" ref="H250:M250" si="96">0.0915485</f>
        <v>9.1548500000000005E-2</v>
      </c>
      <c r="I250" s="93">
        <f t="shared" si="96"/>
        <v>9.1548500000000005E-2</v>
      </c>
      <c r="J250" s="93">
        <f t="shared" si="96"/>
        <v>9.1548500000000005E-2</v>
      </c>
      <c r="K250" s="93">
        <f t="shared" si="96"/>
        <v>9.1548500000000005E-2</v>
      </c>
      <c r="L250" s="93">
        <f t="shared" si="96"/>
        <v>9.1548500000000005E-2</v>
      </c>
      <c r="M250" s="93">
        <f t="shared" si="96"/>
        <v>9.1548500000000005E-2</v>
      </c>
      <c r="N250" s="47"/>
      <c r="O250" s="47"/>
      <c r="S250" s="1050"/>
    </row>
    <row r="251" spans="1:19" ht="13" x14ac:dyDescent="0.3">
      <c r="A251" s="1380"/>
      <c r="B251" s="1388" t="s">
        <v>2258</v>
      </c>
      <c r="G251" s="93">
        <f>0.018676716</f>
        <v>1.8676715999999999E-2</v>
      </c>
      <c r="H251" s="93">
        <f t="shared" ref="H251:M251" si="97">0.018676716</f>
        <v>1.8676715999999999E-2</v>
      </c>
      <c r="I251" s="93">
        <f t="shared" si="97"/>
        <v>1.8676715999999999E-2</v>
      </c>
      <c r="J251" s="93">
        <f t="shared" si="97"/>
        <v>1.8676715999999999E-2</v>
      </c>
      <c r="K251" s="93">
        <f t="shared" si="97"/>
        <v>1.8676715999999999E-2</v>
      </c>
      <c r="L251" s="93">
        <f t="shared" si="97"/>
        <v>1.8676715999999999E-2</v>
      </c>
      <c r="M251" s="93">
        <f t="shared" si="97"/>
        <v>1.8676715999999999E-2</v>
      </c>
      <c r="N251" s="47"/>
      <c r="O251" s="47"/>
      <c r="S251" s="1050"/>
    </row>
    <row r="252" spans="1:19" ht="13" x14ac:dyDescent="0.3">
      <c r="A252" s="1380"/>
      <c r="B252" s="1388" t="s">
        <v>2259</v>
      </c>
      <c r="G252" s="93">
        <f>-0.000455723501</f>
        <v>-4.55723501E-4</v>
      </c>
      <c r="H252" s="93">
        <f t="shared" ref="H252:M252" si="98">-0.000455723501</f>
        <v>-4.55723501E-4</v>
      </c>
      <c r="I252" s="93">
        <f t="shared" si="98"/>
        <v>-4.55723501E-4</v>
      </c>
      <c r="J252" s="93">
        <f t="shared" si="98"/>
        <v>-4.55723501E-4</v>
      </c>
      <c r="K252" s="93">
        <f t="shared" si="98"/>
        <v>-4.55723501E-4</v>
      </c>
      <c r="L252" s="93">
        <f t="shared" si="98"/>
        <v>-4.55723501E-4</v>
      </c>
      <c r="M252" s="93">
        <f t="shared" si="98"/>
        <v>-4.55723501E-4</v>
      </c>
      <c r="N252" s="47"/>
      <c r="O252" s="47"/>
      <c r="S252" s="1050"/>
    </row>
    <row r="253" spans="1:19" ht="13" x14ac:dyDescent="0.3">
      <c r="A253" s="1380"/>
      <c r="B253" s="1388" t="s">
        <v>2260</v>
      </c>
      <c r="G253" s="93">
        <f>4.91567612</f>
        <v>4.9156761199999996</v>
      </c>
      <c r="H253" s="93">
        <f t="shared" ref="H253:M253" si="99">4.91567612</f>
        <v>4.9156761199999996</v>
      </c>
      <c r="I253" s="93">
        <f t="shared" si="99"/>
        <v>4.9156761199999996</v>
      </c>
      <c r="J253" s="93">
        <f t="shared" si="99"/>
        <v>4.9156761199999996</v>
      </c>
      <c r="K253" s="93">
        <f t="shared" si="99"/>
        <v>4.9156761199999996</v>
      </c>
      <c r="L253" s="93">
        <f t="shared" si="99"/>
        <v>4.9156761199999996</v>
      </c>
      <c r="M253" s="93">
        <f t="shared" si="99"/>
        <v>4.9156761199999996</v>
      </c>
      <c r="N253" s="47"/>
      <c r="O253" s="47"/>
      <c r="S253" s="1050"/>
    </row>
    <row r="254" spans="1:19" ht="13" x14ac:dyDescent="0.3">
      <c r="A254" s="1380"/>
      <c r="B254" s="1388" t="s">
        <v>2261</v>
      </c>
      <c r="G254" s="93">
        <f>0.708</f>
        <v>0.70799999999999996</v>
      </c>
      <c r="H254" s="93">
        <f t="shared" ref="H254:M254" si="100">0.708</f>
        <v>0.70799999999999996</v>
      </c>
      <c r="I254" s="93">
        <f t="shared" si="100"/>
        <v>0.70799999999999996</v>
      </c>
      <c r="J254" s="93">
        <f t="shared" si="100"/>
        <v>0.70799999999999996</v>
      </c>
      <c r="K254" s="93">
        <f t="shared" si="100"/>
        <v>0.70799999999999996</v>
      </c>
      <c r="L254" s="93">
        <f t="shared" si="100"/>
        <v>0.70799999999999996</v>
      </c>
      <c r="M254" s="93">
        <f t="shared" si="100"/>
        <v>0.70799999999999996</v>
      </c>
      <c r="N254" s="47"/>
      <c r="O254" s="47"/>
      <c r="S254" s="1050"/>
    </row>
    <row r="255" spans="1:19" ht="13" x14ac:dyDescent="0.3">
      <c r="A255" s="1380"/>
      <c r="B255" s="1388" t="s">
        <v>2262</v>
      </c>
      <c r="G255" s="93">
        <f>-0.186</f>
        <v>-0.186</v>
      </c>
      <c r="H255" s="93">
        <f t="shared" ref="H255:M255" si="101">-0.186</f>
        <v>-0.186</v>
      </c>
      <c r="I255" s="93">
        <f t="shared" si="101"/>
        <v>-0.186</v>
      </c>
      <c r="J255" s="93">
        <f t="shared" si="101"/>
        <v>-0.186</v>
      </c>
      <c r="K255" s="93">
        <f t="shared" si="101"/>
        <v>-0.186</v>
      </c>
      <c r="L255" s="93">
        <f t="shared" si="101"/>
        <v>-0.186</v>
      </c>
      <c r="M255" s="93">
        <f t="shared" si="101"/>
        <v>-0.186</v>
      </c>
      <c r="N255" s="47"/>
      <c r="O255" s="47"/>
      <c r="S255" s="1050"/>
    </row>
    <row r="256" spans="1:19" ht="13" x14ac:dyDescent="0.3">
      <c r="A256" s="1380"/>
      <c r="B256" s="1388" t="s">
        <v>2263</v>
      </c>
      <c r="G256" s="93">
        <f>0.00276455781</f>
        <v>2.7645578100000002E-3</v>
      </c>
      <c r="H256" s="93">
        <f t="shared" ref="H256:M256" si="102">0.00276455781</f>
        <v>2.7645578100000002E-3</v>
      </c>
      <c r="I256" s="93">
        <f t="shared" si="102"/>
        <v>2.7645578100000002E-3</v>
      </c>
      <c r="J256" s="93">
        <f t="shared" si="102"/>
        <v>2.7645578100000002E-3</v>
      </c>
      <c r="K256" s="93">
        <f t="shared" si="102"/>
        <v>2.7645578100000002E-3</v>
      </c>
      <c r="L256" s="93">
        <f t="shared" si="102"/>
        <v>2.7645578100000002E-3</v>
      </c>
      <c r="M256" s="93">
        <f t="shared" si="102"/>
        <v>2.7645578100000002E-3</v>
      </c>
      <c r="N256" s="47"/>
      <c r="O256" s="47"/>
      <c r="S256" s="1050"/>
    </row>
    <row r="257" spans="1:20" ht="13" x14ac:dyDescent="0.3">
      <c r="A257" s="1380"/>
      <c r="B257" s="1388" t="s">
        <v>2264</v>
      </c>
      <c r="G257" s="93">
        <f>-46.151974</f>
        <v>-46.151974000000003</v>
      </c>
      <c r="H257" s="93">
        <f t="shared" ref="H257:M257" si="103">-46.151974</f>
        <v>-46.151974000000003</v>
      </c>
      <c r="I257" s="93">
        <f t="shared" si="103"/>
        <v>-46.151974000000003</v>
      </c>
      <c r="J257" s="93">
        <f t="shared" si="103"/>
        <v>-46.151974000000003</v>
      </c>
      <c r="K257" s="93">
        <f t="shared" si="103"/>
        <v>-46.151974000000003</v>
      </c>
      <c r="L257" s="93">
        <f t="shared" si="103"/>
        <v>-46.151974000000003</v>
      </c>
      <c r="M257" s="93">
        <f t="shared" si="103"/>
        <v>-46.151974000000003</v>
      </c>
      <c r="N257" s="47"/>
      <c r="O257" s="47"/>
      <c r="S257" s="1050"/>
    </row>
    <row r="258" spans="1:20" ht="13" x14ac:dyDescent="0.3">
      <c r="A258" s="1380"/>
      <c r="F258" s="612"/>
      <c r="G258" s="612"/>
      <c r="H258" s="612"/>
      <c r="I258" s="612"/>
      <c r="J258" s="612"/>
      <c r="K258" s="612"/>
      <c r="L258" s="612"/>
      <c r="M258" s="612"/>
      <c r="N258" s="47"/>
      <c r="O258" s="47"/>
      <c r="S258" s="1050"/>
    </row>
    <row r="259" spans="1:20" ht="13" x14ac:dyDescent="0.3">
      <c r="A259" s="1380"/>
      <c r="B259" s="353" t="s">
        <v>2255</v>
      </c>
      <c r="G259" s="93">
        <f ca="1">(15.32/G232)^1.1*LN('Battery Design'!G248)^2*('Battery Design'!G250*'Battery Design'!G247 +'Battery Design'!G251*'Battery Design'!G246 + 'Battery Design'!G252*'Battery Design'!G247*'Battery Design'!G246 + 'Battery Design'!G253) + ('Battery Design'!G254*'Battery Design'!G247 + 'Battery Design'!G255* 'Battery Design'!G246 + 'Battery Design'!G256*'Battery Design'!G247*'Battery Design'!G246 + 'Battery Design'!G257)</f>
        <v>163.48761215033471</v>
      </c>
      <c r="H259" s="93">
        <f ca="1">(15.32/H232)^1.1*LN('Battery Design'!H248)^2*('Battery Design'!H250*'Battery Design'!H247 +'Battery Design'!H251*'Battery Design'!H246 + 'Battery Design'!H252*'Battery Design'!H247*'Battery Design'!H246 + 'Battery Design'!H253) + ('Battery Design'!H254*'Battery Design'!H247 + 'Battery Design'!H255* 'Battery Design'!H246 + 'Battery Design'!H256*'Battery Design'!H247*'Battery Design'!H246 + 'Battery Design'!H257)</f>
        <v>140.03259930856069</v>
      </c>
      <c r="I259" s="93">
        <f ca="1">(15.32/I232)^1.1*LN('Battery Design'!I248)^2*('Battery Design'!I250*'Battery Design'!I247 +'Battery Design'!I251*'Battery Design'!I246 + 'Battery Design'!I252*'Battery Design'!I247*'Battery Design'!I246 + 'Battery Design'!I253) + ('Battery Design'!I254*'Battery Design'!I247 + 'Battery Design'!I255* 'Battery Design'!I246 + 'Battery Design'!I256*'Battery Design'!I247*'Battery Design'!I246 + 'Battery Design'!I257)</f>
        <v>108.28682636679949</v>
      </c>
      <c r="J259" s="93">
        <f ca="1">(15.32/J232)^1.1*LN('Battery Design'!J248)^2*('Battery Design'!J250*'Battery Design'!J247 +'Battery Design'!J251*'Battery Design'!J246 + 'Battery Design'!J252*'Battery Design'!J247*'Battery Design'!J246 + 'Battery Design'!J253) + ('Battery Design'!J254*'Battery Design'!J247 + 'Battery Design'!J255* 'Battery Design'!J246 + 'Battery Design'!J256*'Battery Design'!J247*'Battery Design'!J246 + 'Battery Design'!J257)</f>
        <v>93.859128158890144</v>
      </c>
      <c r="K259" s="93">
        <f ca="1">(15.32/K232)^1.1*LN('Battery Design'!K248)^2*('Battery Design'!K250*'Battery Design'!K247 +'Battery Design'!K251*'Battery Design'!K246 + 'Battery Design'!K252*'Battery Design'!K247*'Battery Design'!K246 + 'Battery Design'!K253) + ('Battery Design'!K254*'Battery Design'!K247 + 'Battery Design'!K255* 'Battery Design'!K246 + 'Battery Design'!K256*'Battery Design'!K247*'Battery Design'!K246 + 'Battery Design'!K257)</f>
        <v>77.09682591912636</v>
      </c>
      <c r="L259" s="93">
        <f ca="1">(15.32/L232)^1.1*LN('Battery Design'!L248)^2*('Battery Design'!L250*'Battery Design'!L247 +'Battery Design'!L251*'Battery Design'!L246 + 'Battery Design'!L252*'Battery Design'!L247*'Battery Design'!L246 + 'Battery Design'!L253) + ('Battery Design'!L254*'Battery Design'!L247 + 'Battery Design'!L255* 'Battery Design'!L246 + 'Battery Design'!L256*'Battery Design'!L247*'Battery Design'!L246 + 'Battery Design'!L257)</f>
        <v>56.979291521262034</v>
      </c>
      <c r="M259" s="93">
        <f ca="1">(15.32/M232)^1.1*LN('Battery Design'!M248)^2*('Battery Design'!M250*'Battery Design'!M247 +'Battery Design'!M251*'Battery Design'!M246 + 'Battery Design'!M252*'Battery Design'!M247*'Battery Design'!M246 + 'Battery Design'!M253) + ('Battery Design'!M254*'Battery Design'!M247 + 'Battery Design'!M255* 'Battery Design'!M246 + 'Battery Design'!M256*'Battery Design'!M247*'Battery Design'!M246 + 'Battery Design'!M257)</f>
        <v>30.309835647059309</v>
      </c>
      <c r="N259" s="47"/>
      <c r="O259" s="47"/>
      <c r="S259" s="1050"/>
    </row>
    <row r="260" spans="1:20" ht="13" x14ac:dyDescent="0.3">
      <c r="A260" s="1380"/>
      <c r="B260" s="353" t="s">
        <v>2256</v>
      </c>
      <c r="G260" s="93">
        <f t="shared" ref="G260:M260" ca="1" si="104">G259*G266</f>
        <v>208.02512751970349</v>
      </c>
      <c r="H260" s="93">
        <f t="shared" ca="1" si="104"/>
        <v>178.18046850725406</v>
      </c>
      <c r="I260" s="93">
        <f t="shared" ca="1" si="104"/>
        <v>137.78646936835412</v>
      </c>
      <c r="J260" s="93">
        <f t="shared" ca="1" si="104"/>
        <v>119.42835819381278</v>
      </c>
      <c r="K260" s="93">
        <f t="shared" ca="1" si="104"/>
        <v>98.099647014495872</v>
      </c>
      <c r="L260" s="93">
        <f t="shared" ca="1" si="104"/>
        <v>72.501666816158377</v>
      </c>
      <c r="M260" s="93">
        <f t="shared" ca="1" si="104"/>
        <v>38.566881873489137</v>
      </c>
      <c r="N260" s="47"/>
      <c r="O260" s="47"/>
      <c r="S260" s="1050"/>
    </row>
    <row r="261" spans="1:20" ht="13" x14ac:dyDescent="0.3">
      <c r="A261" s="1380"/>
      <c r="B261" s="353" t="s">
        <v>2265</v>
      </c>
      <c r="D261" s="515"/>
      <c r="F261" s="174"/>
      <c r="G261" s="175">
        <f ca="1">G246*0.8/(G248/60)/(G287)*1000/2</f>
        <v>3.1873496168755286</v>
      </c>
      <c r="H261" s="175">
        <f t="shared" ref="H261:M261" ca="1" si="105">H246*0.8/(H248/60)/(H287)*1000/2</f>
        <v>4.2497994891673709</v>
      </c>
      <c r="I261" s="175">
        <f t="shared" ca="1" si="105"/>
        <v>5.7593362805230033</v>
      </c>
      <c r="J261" s="175">
        <f t="shared" ca="1" si="105"/>
        <v>5.9991988388284838</v>
      </c>
      <c r="K261" s="175">
        <f t="shared" ca="1" si="105"/>
        <v>6.1702452503616705</v>
      </c>
      <c r="L261" s="175">
        <f t="shared" ca="1" si="105"/>
        <v>6.092680350956476</v>
      </c>
      <c r="M261" s="175">
        <f t="shared" ca="1" si="105"/>
        <v>4.8745915459119695</v>
      </c>
      <c r="N261" s="47"/>
      <c r="O261" s="47"/>
      <c r="S261" s="1050"/>
    </row>
    <row r="262" spans="1:20" ht="13.5" thickBot="1" x14ac:dyDescent="0.35">
      <c r="A262" s="1380"/>
      <c r="D262" s="515"/>
      <c r="F262" s="174"/>
      <c r="G262" s="175"/>
      <c r="H262" s="175"/>
      <c r="I262" s="175"/>
      <c r="J262" s="175"/>
      <c r="K262" s="175"/>
      <c r="L262" s="175"/>
      <c r="M262" s="175"/>
      <c r="N262" s="47"/>
      <c r="O262" s="47"/>
      <c r="S262" s="1050"/>
    </row>
    <row r="263" spans="1:20" ht="18.5" thickBot="1" x14ac:dyDescent="0.45">
      <c r="A263" s="1380"/>
      <c r="B263" s="1458" t="s">
        <v>457</v>
      </c>
      <c r="C263" s="1459"/>
      <c r="D263" s="1459"/>
      <c r="E263" s="1459"/>
      <c r="F263" s="1459"/>
      <c r="G263" s="1459"/>
      <c r="H263" s="1459"/>
      <c r="I263" s="1459"/>
      <c r="J263" s="1459"/>
      <c r="K263" s="1459"/>
      <c r="L263" s="1459"/>
      <c r="M263" s="1460"/>
      <c r="N263" s="47"/>
      <c r="O263" s="47"/>
      <c r="S263" s="1050"/>
    </row>
    <row r="264" spans="1:20" ht="13" x14ac:dyDescent="0.3">
      <c r="A264" s="1380"/>
      <c r="D264" s="515"/>
      <c r="F264" s="174"/>
      <c r="G264" s="175"/>
      <c r="H264" s="175"/>
      <c r="I264" s="175"/>
      <c r="J264" s="175"/>
      <c r="K264" s="175"/>
      <c r="L264" s="175"/>
      <c r="M264" s="175"/>
      <c r="N264" s="47"/>
      <c r="O264" s="47"/>
      <c r="S264" s="1050"/>
    </row>
    <row r="265" spans="1:20" ht="15.5" x14ac:dyDescent="0.35">
      <c r="A265" s="1380"/>
      <c r="B265" s="6" t="s">
        <v>458</v>
      </c>
      <c r="D265" s="88"/>
      <c r="G265" s="170"/>
      <c r="H265" s="170"/>
      <c r="I265" s="170"/>
      <c r="J265" s="170"/>
      <c r="K265" s="170"/>
      <c r="L265" s="170"/>
      <c r="M265" s="170"/>
      <c r="N265" s="47"/>
      <c r="O265" s="47"/>
      <c r="S265" s="1050"/>
    </row>
    <row r="266" spans="1:20" ht="13" x14ac:dyDescent="0.3">
      <c r="A266" s="1380"/>
      <c r="B266" s="353" t="s">
        <v>459</v>
      </c>
      <c r="G266" s="93">
        <f t="shared" ref="G266:M266" si="106">G99*G102/G101</f>
        <v>1.2724213460798142</v>
      </c>
      <c r="H266" s="93">
        <f t="shared" si="106"/>
        <v>1.2724213460798142</v>
      </c>
      <c r="I266" s="93">
        <f t="shared" si="106"/>
        <v>1.2724213460798142</v>
      </c>
      <c r="J266" s="93">
        <f t="shared" si="106"/>
        <v>1.2724213460798142</v>
      </c>
      <c r="K266" s="93">
        <f t="shared" si="106"/>
        <v>1.2724213460798142</v>
      </c>
      <c r="L266" s="93">
        <f t="shared" si="106"/>
        <v>1.2724213460798142</v>
      </c>
      <c r="M266" s="93">
        <f t="shared" si="106"/>
        <v>1.2724213460798142</v>
      </c>
      <c r="N266" s="47"/>
      <c r="O266" s="47"/>
      <c r="S266" s="1050"/>
    </row>
    <row r="267" spans="1:20" ht="13" x14ac:dyDescent="0.3">
      <c r="A267" s="1380"/>
      <c r="G267" s="93"/>
      <c r="H267" s="93"/>
      <c r="I267" s="93"/>
      <c r="J267" s="93"/>
      <c r="K267" s="93"/>
      <c r="L267" s="93"/>
      <c r="M267" s="93"/>
      <c r="N267" s="47"/>
      <c r="O267" s="47"/>
      <c r="S267" s="1050"/>
    </row>
    <row r="268" spans="1:20" ht="14" x14ac:dyDescent="0.3">
      <c r="A268" s="1380"/>
      <c r="B268" s="665" t="s">
        <v>460</v>
      </c>
      <c r="G268" s="93"/>
      <c r="H268" s="93"/>
      <c r="I268" s="93"/>
      <c r="J268" s="93"/>
      <c r="K268" s="93"/>
      <c r="L268" s="93"/>
      <c r="M268" s="93"/>
      <c r="N268" s="47"/>
      <c r="O268" s="47"/>
      <c r="S268" s="1050"/>
    </row>
    <row r="269" spans="1:20" ht="13" x14ac:dyDescent="0.3">
      <c r="A269" s="1380"/>
      <c r="B269" s="353" t="s">
        <v>461</v>
      </c>
      <c r="F269" s="90"/>
      <c r="G269" s="1274" t="str">
        <f>IF(Dashboard!D60=0," ",Dashboard!D60)</f>
        <v xml:space="preserve"> </v>
      </c>
      <c r="H269" s="1274" t="str">
        <f>IF(Dashboard!E60=0," ",Dashboard!E60)</f>
        <v xml:space="preserve"> </v>
      </c>
      <c r="I269" s="1274" t="str">
        <f>IF(Dashboard!F60=0," ",Dashboard!F60)</f>
        <v xml:space="preserve"> </v>
      </c>
      <c r="J269" s="1274" t="str">
        <f>IF(Dashboard!G60=0," ",Dashboard!G60)</f>
        <v xml:space="preserve"> </v>
      </c>
      <c r="K269" s="1274" t="str">
        <f>IF(Dashboard!H60=0," ",Dashboard!H60)</f>
        <v xml:space="preserve"> </v>
      </c>
      <c r="L269" s="1274" t="str">
        <f>IF(Dashboard!I60=0," ",Dashboard!I60)</f>
        <v xml:space="preserve"> </v>
      </c>
      <c r="M269" s="1274" t="str">
        <f>IF(Dashboard!J60=0," ",Dashboard!J60)</f>
        <v xml:space="preserve"> </v>
      </c>
      <c r="N269" s="47"/>
      <c r="O269" s="47"/>
    </row>
    <row r="270" spans="1:20" ht="13" x14ac:dyDescent="0.3">
      <c r="A270" s="1380"/>
      <c r="B270" s="9" t="s">
        <v>462</v>
      </c>
      <c r="F270" s="90"/>
      <c r="G270" s="84">
        <f t="shared" ref="G270:M270" ca="1" si="107">G35/G99/G283*10000</f>
        <v>192.10987196870497</v>
      </c>
      <c r="H270" s="84">
        <f t="shared" ca="1" si="107"/>
        <v>192.10987196870497</v>
      </c>
      <c r="I270" s="84">
        <f t="shared" ca="1" si="107"/>
        <v>189.5588845059662</v>
      </c>
      <c r="J270" s="84">
        <f t="shared" ca="1" si="107"/>
        <v>185.78906378377422</v>
      </c>
      <c r="K270" s="84">
        <f t="shared" ca="1" si="107"/>
        <v>179.94839552032872</v>
      </c>
      <c r="L270" s="84">
        <f t="shared" ca="1" si="107"/>
        <v>169.66834302150357</v>
      </c>
      <c r="M270" s="84">
        <f t="shared" ca="1" si="107"/>
        <v>142.57496144297016</v>
      </c>
      <c r="N270" s="47"/>
      <c r="O270" s="47"/>
      <c r="P270" s="47"/>
      <c r="Q270" s="47"/>
      <c r="R270" s="47"/>
      <c r="S270" s="47"/>
      <c r="T270" s="47"/>
    </row>
    <row r="271" spans="1:20" ht="13" x14ac:dyDescent="0.3">
      <c r="A271" s="1380"/>
      <c r="B271" s="61" t="s">
        <v>463</v>
      </c>
      <c r="F271" s="90"/>
      <c r="G271" s="84">
        <f t="shared" ref="G271:M271" ca="1" si="108">G35/G99/G284*10000</f>
        <v>258.74397871007938</v>
      </c>
      <c r="H271" s="84">
        <f t="shared" ca="1" si="108"/>
        <v>258.74397871007938</v>
      </c>
      <c r="I271" s="84">
        <f t="shared" ca="1" si="108"/>
        <v>257.51777578282531</v>
      </c>
      <c r="J271" s="84">
        <f t="shared" ca="1" si="108"/>
        <v>255.77136914980824</v>
      </c>
      <c r="K271" s="84">
        <f t="shared" ca="1" si="108"/>
        <v>253.02004852915377</v>
      </c>
      <c r="L271" s="84">
        <f t="shared" ca="1" si="108"/>
        <v>248.16703147598651</v>
      </c>
      <c r="M271" s="84">
        <f t="shared" ca="1" si="108"/>
        <v>233.84981448138291</v>
      </c>
      <c r="N271" s="47"/>
      <c r="O271" s="47"/>
      <c r="P271" s="47"/>
      <c r="Q271" s="47"/>
      <c r="R271" s="47"/>
      <c r="S271" s="47"/>
      <c r="T271" s="47"/>
    </row>
    <row r="272" spans="1:20" ht="15.5" x14ac:dyDescent="0.35">
      <c r="A272" s="443"/>
      <c r="B272" s="9" t="s">
        <v>464</v>
      </c>
      <c r="F272" s="90"/>
      <c r="G272" s="84">
        <f ca="1">IF(Dashboard!$D6=0,G273,IF(Dashboard!$D$34="Yes",MAX(G259, Chem!$C$27),2*G273))</f>
        <v>163.48761215033471</v>
      </c>
      <c r="H272" s="84">
        <f ca="1">IF(Dashboard!$D6=0,H273,IF(Dashboard!$D$34="Yes",MAX(H259, Chem!$C$27),2*H273))</f>
        <v>140.03259930856069</v>
      </c>
      <c r="I272" s="84">
        <f ca="1">IF(Dashboard!$D6=0,I273,IF(Dashboard!$D$34="Yes",MAX(I259, Chem!$C$27),2*I273))</f>
        <v>108.28682636679949</v>
      </c>
      <c r="J272" s="84">
        <f ca="1">IF(Dashboard!$D6=0,J273,IF(Dashboard!$D$34="Yes",MAX(J259, Chem!$C$27),2*J273))</f>
        <v>93.859128158890144</v>
      </c>
      <c r="K272" s="84">
        <f ca="1">IF(Dashboard!$D6=0,K273,IF(Dashboard!$D$34="Yes",MAX(K259, Chem!$C$27),2*K273))</f>
        <v>77.09682591912636</v>
      </c>
      <c r="L272" s="84">
        <f ca="1">IF(Dashboard!$D6=0,L273,IF(Dashboard!$D$34="Yes",MAX(L259, Chem!$C$27),2*L273))</f>
        <v>56.979291521262034</v>
      </c>
      <c r="M272" s="84">
        <f ca="1">IF(Dashboard!$D6=0,M273,IF(Dashboard!$D$34="Yes",MAX(M259, Chem!$C$27),2*M273))</f>
        <v>30.309835647059309</v>
      </c>
      <c r="N272" s="47"/>
      <c r="O272" s="47"/>
    </row>
    <row r="273" spans="1:15" ht="15.5" x14ac:dyDescent="0.35">
      <c r="A273" s="443"/>
      <c r="B273" s="9" t="s">
        <v>465</v>
      </c>
      <c r="F273" s="90"/>
      <c r="G273" s="456">
        <f>Dashboard!$D$18</f>
        <v>120</v>
      </c>
      <c r="H273" s="456">
        <f>Dashboard!$D$18</f>
        <v>120</v>
      </c>
      <c r="I273" s="456">
        <f>Dashboard!$D$18</f>
        <v>120</v>
      </c>
      <c r="J273" s="456">
        <f>Dashboard!$D$18</f>
        <v>120</v>
      </c>
      <c r="K273" s="456">
        <f>Dashboard!$D$18</f>
        <v>120</v>
      </c>
      <c r="L273" s="456">
        <f>Dashboard!$D$18</f>
        <v>120</v>
      </c>
      <c r="M273" s="456">
        <f>Dashboard!$D$18</f>
        <v>120</v>
      </c>
      <c r="N273" s="47"/>
      <c r="O273" s="47"/>
    </row>
    <row r="274" spans="1:15" ht="15.5" x14ac:dyDescent="0.35">
      <c r="A274" s="443"/>
      <c r="B274" s="9"/>
      <c r="F274" s="90"/>
      <c r="G274" s="84"/>
      <c r="H274" s="84"/>
      <c r="I274" s="84"/>
      <c r="J274" s="84"/>
      <c r="K274" s="84"/>
      <c r="L274" s="84"/>
      <c r="M274" s="84"/>
      <c r="N274" s="47"/>
      <c r="O274" s="47"/>
    </row>
    <row r="275" spans="1:15" ht="14" x14ac:dyDescent="0.3">
      <c r="A275" s="1380"/>
      <c r="B275" s="665" t="s">
        <v>466</v>
      </c>
      <c r="F275" s="90"/>
      <c r="G275" s="241"/>
      <c r="H275" s="241"/>
      <c r="I275" s="241"/>
      <c r="J275" s="241"/>
      <c r="K275" s="241"/>
      <c r="L275" s="241"/>
      <c r="M275" s="241"/>
      <c r="N275" s="47"/>
      <c r="O275" s="47"/>
    </row>
    <row r="276" spans="1:15" ht="13" x14ac:dyDescent="0.3">
      <c r="A276" s="1380"/>
      <c r="B276" s="353" t="s">
        <v>113</v>
      </c>
      <c r="F276" s="147"/>
      <c r="G276" s="84">
        <f ca="1">IF(G269=" ", MIN('Battery Design'!G270:G273),G269)</f>
        <v>120</v>
      </c>
      <c r="H276" s="84">
        <f ca="1">IF(H269=" ", MIN('Battery Design'!H270:H273),H269)</f>
        <v>120</v>
      </c>
      <c r="I276" s="84">
        <f ca="1">IF(I269=" ", MIN('Battery Design'!I270:I273),I269)</f>
        <v>108.28682636679949</v>
      </c>
      <c r="J276" s="84">
        <f ca="1">IF(J269=" ", MIN('Battery Design'!J270:J273),J269)</f>
        <v>93.859128158890144</v>
      </c>
      <c r="K276" s="84">
        <f ca="1">IF(K269=" ", MIN('Battery Design'!K270:K273),K269)</f>
        <v>77.09682591912636</v>
      </c>
      <c r="L276" s="84">
        <f ca="1">IF(L269=" ", MIN('Battery Design'!L270:L273),L269)</f>
        <v>56.979291521262034</v>
      </c>
      <c r="M276" s="84">
        <f ca="1">IF(M269=" ", MIN('Battery Design'!M270:M273),M269)</f>
        <v>30.309835647059309</v>
      </c>
      <c r="N276" s="47"/>
      <c r="O276" s="47"/>
    </row>
    <row r="277" spans="1:15" ht="13" x14ac:dyDescent="0.3">
      <c r="A277" s="1380" t="s">
        <v>438</v>
      </c>
      <c r="B277" s="353" t="s">
        <v>221</v>
      </c>
      <c r="G277" s="84">
        <f t="shared" ref="G277:M277" ca="1" si="109">G276*G266</f>
        <v>152.69056152957771</v>
      </c>
      <c r="H277" s="84">
        <f t="shared" ca="1" si="109"/>
        <v>152.69056152957771</v>
      </c>
      <c r="I277" s="84">
        <f t="shared" ca="1" si="109"/>
        <v>137.78646936835412</v>
      </c>
      <c r="J277" s="84">
        <f t="shared" ca="1" si="109"/>
        <v>119.42835819381278</v>
      </c>
      <c r="K277" s="84">
        <f t="shared" ca="1" si="109"/>
        <v>98.099647014495872</v>
      </c>
      <c r="L277" s="84">
        <f t="shared" ca="1" si="109"/>
        <v>72.501666816158377</v>
      </c>
      <c r="M277" s="84">
        <f t="shared" ca="1" si="109"/>
        <v>38.566881873489137</v>
      </c>
      <c r="N277" s="47"/>
      <c r="O277" s="47"/>
    </row>
    <row r="278" spans="1:15" ht="13" x14ac:dyDescent="0.3">
      <c r="A278" s="1380" t="s">
        <v>438</v>
      </c>
      <c r="B278" s="100" t="s">
        <v>467</v>
      </c>
      <c r="D278" s="28"/>
      <c r="E278" s="185"/>
      <c r="G278" s="93">
        <f t="shared" ref="G278:M278" ca="1" si="110">(G276/10000)*$F$48*G98*($E$44/100)</f>
        <v>8.0691897467962015</v>
      </c>
      <c r="H278" s="93">
        <f t="shared" ca="1" si="110"/>
        <v>8.0691897467962015</v>
      </c>
      <c r="I278" s="93">
        <f t="shared" ca="1" si="110"/>
        <v>7.281557908600659</v>
      </c>
      <c r="J278" s="93">
        <f t="shared" ca="1" si="110"/>
        <v>6.3113926215245577</v>
      </c>
      <c r="K278" s="93">
        <f t="shared" ca="1" si="110"/>
        <v>5.1842409768095497</v>
      </c>
      <c r="L278" s="93">
        <f t="shared" ca="1" si="110"/>
        <v>3.8314726243589945</v>
      </c>
      <c r="M278" s="93">
        <f t="shared" ca="1" si="110"/>
        <v>2.0381317919194082</v>
      </c>
      <c r="N278" s="47"/>
      <c r="O278" s="47"/>
    </row>
    <row r="279" spans="1:15" ht="13" x14ac:dyDescent="0.3">
      <c r="A279" s="1380" t="s">
        <v>438</v>
      </c>
      <c r="B279" s="100" t="s">
        <v>468</v>
      </c>
      <c r="D279" s="9"/>
      <c r="E279" s="9"/>
      <c r="G279" s="93">
        <f t="shared" ref="G279:M279" ca="1" si="111">(G277/10000)*$F$55*G100*($E$51/100)</f>
        <v>8.8761087214758234</v>
      </c>
      <c r="H279" s="93">
        <f t="shared" ca="1" si="111"/>
        <v>8.8761087214758234</v>
      </c>
      <c r="I279" s="93">
        <f t="shared" ca="1" si="111"/>
        <v>8.0097136994607254</v>
      </c>
      <c r="J279" s="93">
        <f t="shared" ca="1" si="111"/>
        <v>6.942531883677014</v>
      </c>
      <c r="K279" s="93">
        <f t="shared" ca="1" si="111"/>
        <v>5.7026650744905059</v>
      </c>
      <c r="L279" s="93">
        <f t="shared" ca="1" si="111"/>
        <v>4.2146198867948934</v>
      </c>
      <c r="M279" s="93">
        <f t="shared" ca="1" si="111"/>
        <v>2.2419449711113488</v>
      </c>
      <c r="N279" s="47"/>
      <c r="O279" s="47"/>
    </row>
    <row r="280" spans="1:15" ht="13" x14ac:dyDescent="0.3">
      <c r="A280" s="1380"/>
      <c r="B280" s="100"/>
      <c r="D280" s="9"/>
      <c r="E280" s="9"/>
      <c r="G280" s="93"/>
      <c r="H280" s="93"/>
      <c r="I280" s="93"/>
      <c r="J280" s="93"/>
      <c r="K280" s="93"/>
      <c r="L280" s="93"/>
      <c r="M280" s="93"/>
      <c r="N280" s="47"/>
      <c r="O280" s="47"/>
    </row>
    <row r="281" spans="1:15" ht="15.5" x14ac:dyDescent="0.35">
      <c r="A281" s="1380"/>
      <c r="B281" s="6" t="s">
        <v>469</v>
      </c>
      <c r="G281" s="202"/>
      <c r="H281" s="202"/>
      <c r="I281" s="202"/>
      <c r="J281" s="202"/>
      <c r="K281" s="202"/>
      <c r="L281" s="202"/>
      <c r="M281" s="202"/>
      <c r="N281" s="47"/>
      <c r="O281" s="47"/>
    </row>
    <row r="282" spans="1:15" ht="13" x14ac:dyDescent="0.3">
      <c r="A282" s="1380"/>
      <c r="B282" s="353" t="s">
        <v>470</v>
      </c>
      <c r="E282" s="353" t="s">
        <v>471</v>
      </c>
      <c r="G282" s="203" t="str">
        <f t="shared" ref="G282:M282" si="112">IF(G269=" "," ",G48/$F48/G269*10000)</f>
        <v xml:space="preserve"> </v>
      </c>
      <c r="H282" s="203" t="str">
        <f t="shared" si="112"/>
        <v xml:space="preserve"> </v>
      </c>
      <c r="I282" s="203" t="str">
        <f t="shared" si="112"/>
        <v xml:space="preserve"> </v>
      </c>
      <c r="J282" s="203" t="str">
        <f t="shared" si="112"/>
        <v xml:space="preserve"> </v>
      </c>
      <c r="K282" s="203" t="str">
        <f t="shared" si="112"/>
        <v xml:space="preserve"> </v>
      </c>
      <c r="L282" s="203" t="str">
        <f t="shared" si="112"/>
        <v xml:space="preserve"> </v>
      </c>
      <c r="M282" s="203" t="str">
        <f t="shared" si="112"/>
        <v xml:space="preserve"> </v>
      </c>
      <c r="N282" s="47"/>
      <c r="O282" s="47"/>
    </row>
    <row r="283" spans="1:15" ht="13" x14ac:dyDescent="0.3">
      <c r="A283" s="1380"/>
      <c r="B283" s="353" t="s">
        <v>472</v>
      </c>
      <c r="E283" s="353" t="s">
        <v>473</v>
      </c>
      <c r="G283" s="166">
        <f ca="1">IF(   Dashboard!$D6=0, G145 * (G22*1000) * ((1/G26)* (1/G30) * (1/G357)) * (1/G135) * (100/G112) * (100/(100-G112)),   G232 * (G22*1000) * ((1/G26) * (1/G30) * (1/G357)) * (1/G135) * (100/G112) * (100/(100-G112))   )</f>
        <v>5277.8002215815641</v>
      </c>
      <c r="H283" s="166">
        <f ca="1">IF(   Dashboard!$D6=0, H145 * (H22*1000) * ((1/H26)* (1/H30) * (1/H357)) * (1/H135) * (100/H112) * (100/(100-H112)),   H232 * (H22*1000) * ((1/H26) * (1/H30) * (1/H357)) * (1/H135) * (100/H112) * (100/(100-H112))   )</f>
        <v>5277.8002215815641</v>
      </c>
      <c r="I283" s="166">
        <f ca="1">IF(   Dashboard!$D6=0, I145 * (I22*1000) * ((1/I26)* (1/I30) * (1/I357)) * (1/I135) * (100/I112) * (100/(100-I112)),   I232 * (I22*1000) * ((1/I26) * (1/I30) * (1/I357)) * (1/I135) * (100/I112) * (100/(100-I112))   )</f>
        <v>5342.4458236026567</v>
      </c>
      <c r="J283" s="166">
        <f ca="1">IF(   Dashboard!$D6=0, J145 * (J22*1000) * ((1/J26)* (1/J30) * (1/J357)) * (1/J135) * (100/J112) * (100/(100-J112)),   J232 * (J22*1000) * ((1/J26) * (1/J30) * (1/J357)) * (1/J135) * (100/J112) * (100/(100-J112))   )</f>
        <v>5442.8384188171513</v>
      </c>
      <c r="K283" s="166">
        <f ca="1">IF(   Dashboard!$D6=0, K145 * (K22*1000) * ((1/K26)* (1/K30) * (1/K357)) * (1/K135) * (100/K112) * (100/(100-K112)),   K232 * (K22*1000) * ((1/K26) * (1/K30) * (1/K357)) * (1/K135) * (100/K112) * (100/(100-K112))   )</f>
        <v>5609.942824608308</v>
      </c>
      <c r="L283" s="166">
        <f ca="1">IF(   Dashboard!$D6=0, L145 * (L22*1000) * ((1/L26)* (1/L30) * (1/L357)) * (1/L135) * (100/L112) * (100/(100-L112)),   L232 * (L22*1000) * ((1/L26) * (1/L30) * (1/L357)) * (1/L135) * (100/L112) * (100/(100-L112))   )</f>
        <v>5937.7090190094896</v>
      </c>
      <c r="M283" s="166">
        <f ca="1">IF(   Dashboard!$D6=0, M145 * (M22*1000) * ((1/M26)* (1/M30) * (1/M357)) * (1/M135) * (100/M112) * (100/(100-M112)),   M232 * (M22*1000) * ((1/M26) * (1/M30) * (1/M357)) * (1/M135) * (100/M112) * (100/(100-M112))   )</f>
        <v>7047.0024904897573</v>
      </c>
      <c r="O283" s="47"/>
    </row>
    <row r="284" spans="1:15" x14ac:dyDescent="0.25">
      <c r="B284" s="353" t="s">
        <v>474</v>
      </c>
      <c r="E284" s="353" t="s">
        <v>475</v>
      </c>
      <c r="G284" s="166">
        <f ca="1">IF(   Dashboard!$D6=0, G152 * (G22*1000) * ((1/G26)* (1/G30) * (1/G357)) * (1/G149) * (100/G148) * (100/(100-G148)),   G233 * (G22*1000) * ((1/G26) * (1/G30) * (1/G357)) * (1/G149) * (100/G148) * (100/(100-G148))   )</f>
        <v>3918.6130239595786</v>
      </c>
      <c r="H284" s="166">
        <f ca="1">IF(   Dashboard!$D6=0, H152 * (H22*1000) * ((1/H26)* (1/H30) * (1/H357)) * (1/H149) * (100/H148) * (100/(100-H148)),   H233 * (H22*1000) * ((1/H26) * (1/H30) * (1/H357)) * (1/H149) * (100/H148) * (100/(100-H148))   )</f>
        <v>3918.6130239595786</v>
      </c>
      <c r="I284" s="166">
        <f ca="1">IF(   Dashboard!$D6=0, I152 * (I22*1000) * ((1/I26)* (1/I30) * (1/I357)) * (1/I149) * (100/I148) * (100/(100-I148)),   I233 * (I22*1000) * ((1/I26) * (1/I30) * (1/I357)) * (1/I149) * (100/I148) * (100/(100-I148))   )</f>
        <v>3932.575402910179</v>
      </c>
      <c r="J284" s="166">
        <f ca="1">IF(   Dashboard!$D6=0, J152 * (J22*1000) * ((1/J26)* (1/J30) * (1/J357)) * (1/J149) * (100/J148) * (100/(100-J148)),   J233 * (J22*1000) * ((1/J26) * (1/J30) * (1/J357)) * (1/J149) * (100/J148) * (100/(100-J148))   )</f>
        <v>3953.6084805727942</v>
      </c>
      <c r="K284" s="166">
        <f ca="1">IF(   Dashboard!$D6=0, K152 * (K22*1000) * ((1/K26)* (1/K30) * (1/K357)) * (1/K149) * (100/K148) * (100/(100-K148)),   K233 * (K22*1000) * ((1/K26) * (1/K30) * (1/K357)) * (1/K149) * (100/K148) * (100/(100-K148))   )</f>
        <v>3989.8032433296607</v>
      </c>
      <c r="L284" s="166">
        <f ca="1">IF(   Dashboard!$D6=0, L152 * (L22*1000) * ((1/L26)* (1/L30) * (1/L357)) * (1/L149) * (100/L148) * (100/(100-L148)),   L233 * (L22*1000) * ((1/L26) * (1/L30) * (1/L357)) * (1/L149) * (100/L148) * (100/(100-L148))   )</f>
        <v>4059.5289576031414</v>
      </c>
      <c r="M284" s="166">
        <f ca="1">IF(   Dashboard!$D6=0, M152 * (M22*1000) * ((1/M26)* (1/M30) * (1/M357)) * (1/M149) * (100/M148) * (100/(100-M148)),   M233 * (M22*1000) * ((1/M26) * (1/M30) * (1/M357)) * (1/M149) * (100/M148) * (100/(100-M148))   )</f>
        <v>4296.4588644139349</v>
      </c>
    </row>
    <row r="285" spans="1:15" ht="13" x14ac:dyDescent="0.3">
      <c r="A285" s="1380"/>
      <c r="B285" s="9" t="s">
        <v>476</v>
      </c>
      <c r="D285" s="87"/>
      <c r="E285" s="353" t="s">
        <v>477</v>
      </c>
      <c r="G285" s="166">
        <f ca="1">IF(Dashboard!$D6=0,G283,IF(Dashboard!$D$34="Yes",G48/$F48/G272*10000,G286/2))</f>
        <v>6201.8003169077492</v>
      </c>
      <c r="H285" s="166">
        <f ca="1">IF(Dashboard!$D6=0,H283,IF(Dashboard!$D$34="Yes",H48/$F48/H272*10000,H286/2))</f>
        <v>7240.5820491147078</v>
      </c>
      <c r="I285" s="166">
        <f ca="1">IF(Dashboard!$D6=0,I283,IF(Dashboard!$D$34="Yes",I48/$F48/I272*10000,I286/2))</f>
        <v>9352.0893060928393</v>
      </c>
      <c r="J285" s="166">
        <f ca="1">IF(Dashboard!$D6=0,J283,IF(Dashboard!$D$34="Yes",J48/$F48/J272*10000,J286/2))</f>
        <v>10773.804040098747</v>
      </c>
      <c r="K285" s="166">
        <f ca="1">IF(Dashboard!$D6=0,K283,IF(Dashboard!$D$34="Yes",K48/$F48/K272*10000,K286/2))</f>
        <v>13093.926996527707</v>
      </c>
      <c r="L285" s="166">
        <f ca="1">IF(Dashboard!$D6=0,L283,IF(Dashboard!$D$34="Yes",L48/$F48/L272*10000,L286/2))</f>
        <v>17680.831468802084</v>
      </c>
      <c r="M285" s="166">
        <f ca="1">IF(Dashboard!$D6=0,M283,IF(Dashboard!$D$34="Yes",M48/$F48/M272*10000,M286/2))</f>
        <v>33148.51720311361</v>
      </c>
      <c r="N285" s="47"/>
      <c r="O285" s="47"/>
    </row>
    <row r="286" spans="1:15" ht="13" x14ac:dyDescent="0.3">
      <c r="A286" s="1380"/>
      <c r="B286" s="100" t="s">
        <v>478</v>
      </c>
      <c r="E286" s="353" t="s">
        <v>479</v>
      </c>
      <c r="G286" s="166">
        <f t="shared" ref="G286:M286" ca="1" si="113">G48/$F48/G273*10000</f>
        <v>8449.3127070369774</v>
      </c>
      <c r="H286" s="166">
        <f t="shared" ca="1" si="113"/>
        <v>8449.3127070369774</v>
      </c>
      <c r="I286" s="166">
        <f t="shared" ca="1" si="113"/>
        <v>8439.2339237973119</v>
      </c>
      <c r="J286" s="166">
        <f t="shared" ca="1" si="113"/>
        <v>8426.832117986638</v>
      </c>
      <c r="K286" s="166">
        <f t="shared" ca="1" si="113"/>
        <v>8412.5017520753809</v>
      </c>
      <c r="L286" s="166">
        <f t="shared" ca="1" si="113"/>
        <v>8395.3437549931459</v>
      </c>
      <c r="M286" s="166">
        <f t="shared" ca="1" si="113"/>
        <v>8372.7175697507628</v>
      </c>
      <c r="N286" s="47"/>
      <c r="O286" s="47"/>
    </row>
    <row r="287" spans="1:15" ht="13" x14ac:dyDescent="0.3">
      <c r="A287" s="1380"/>
      <c r="B287" s="353" t="s">
        <v>480</v>
      </c>
      <c r="D287" s="87"/>
      <c r="G287" s="166">
        <f t="shared" ref="G287:M287" ca="1" si="114">IF(G269=" ",MAX(G283:G286, G362*1000/G26/G30/G214*1.01),G282)</f>
        <v>8449.3127070369774</v>
      </c>
      <c r="H287" s="166">
        <f t="shared" ca="1" si="114"/>
        <v>8449.3127070369774</v>
      </c>
      <c r="I287" s="166">
        <f t="shared" ca="1" si="114"/>
        <v>9352.0893060928393</v>
      </c>
      <c r="J287" s="166">
        <f t="shared" ca="1" si="114"/>
        <v>10773.804040098747</v>
      </c>
      <c r="K287" s="166">
        <f t="shared" ca="1" si="114"/>
        <v>13093.926996527707</v>
      </c>
      <c r="L287" s="166">
        <f t="shared" ca="1" si="114"/>
        <v>17680.831468802084</v>
      </c>
      <c r="M287" s="166">
        <f t="shared" ca="1" si="114"/>
        <v>33148.51720311361</v>
      </c>
      <c r="O287" s="47"/>
    </row>
    <row r="288" spans="1:15" ht="13" x14ac:dyDescent="0.3">
      <c r="A288" s="1380"/>
      <c r="B288" s="353" t="s">
        <v>481</v>
      </c>
      <c r="D288" s="87"/>
      <c r="G288" s="166">
        <f t="shared" ref="G288:M288" ca="1" si="115">G287*(1+G103/100)</f>
        <v>8791.4738621233573</v>
      </c>
      <c r="H288" s="166">
        <f t="shared" ca="1" si="115"/>
        <v>8791.4738621233573</v>
      </c>
      <c r="I288" s="166">
        <f t="shared" ca="1" si="115"/>
        <v>9728.5445450585121</v>
      </c>
      <c r="J288" s="166">
        <f t="shared" ca="1" si="115"/>
        <v>11205.763758770414</v>
      </c>
      <c r="K288" s="166">
        <f t="shared" ca="1" si="115"/>
        <v>13610.137944731065</v>
      </c>
      <c r="L288" s="166">
        <f t="shared" ca="1" si="115"/>
        <v>18364.119606550728</v>
      </c>
      <c r="M288" s="166">
        <f t="shared" ca="1" si="115"/>
        <v>34339.773697162964</v>
      </c>
      <c r="O288" s="47"/>
    </row>
    <row r="289" spans="1:15" ht="13" x14ac:dyDescent="0.3">
      <c r="A289" s="1380"/>
      <c r="B289" s="353" t="s">
        <v>482</v>
      </c>
      <c r="D289" s="87"/>
      <c r="G289" s="166" t="str">
        <f t="shared" ref="G289:M289" ca="1" si="116">INDEX($E$282:$E$286, MATCH(G287, G282:G286, 0))</f>
        <v>Max Thickness</v>
      </c>
      <c r="H289" s="166" t="str">
        <f t="shared" ca="1" si="116"/>
        <v>Max Thickness</v>
      </c>
      <c r="I289" s="166" t="str">
        <f t="shared" ca="1" si="116"/>
        <v>Charging</v>
      </c>
      <c r="J289" s="166" t="str">
        <f t="shared" ca="1" si="116"/>
        <v>Charging</v>
      </c>
      <c r="K289" s="166" t="str">
        <f t="shared" ca="1" si="116"/>
        <v>Charging</v>
      </c>
      <c r="L289" s="166" t="str">
        <f t="shared" ca="1" si="116"/>
        <v>Charging</v>
      </c>
      <c r="M289" s="166" t="str">
        <f t="shared" ca="1" si="116"/>
        <v>Charging</v>
      </c>
      <c r="O289" s="47"/>
    </row>
    <row r="290" spans="1:15" ht="13.5" thickBot="1" x14ac:dyDescent="0.35">
      <c r="A290" s="1380"/>
      <c r="D290" s="87"/>
      <c r="G290" s="203"/>
      <c r="H290" s="203"/>
      <c r="I290" s="203"/>
      <c r="J290" s="203"/>
      <c r="K290" s="203"/>
      <c r="L290" s="203"/>
      <c r="M290" s="203"/>
      <c r="N290" s="47"/>
      <c r="O290" s="47"/>
    </row>
    <row r="291" spans="1:15" ht="20.5" thickBot="1" x14ac:dyDescent="0.45">
      <c r="A291" s="1380"/>
      <c r="B291" s="1453" t="s">
        <v>483</v>
      </c>
      <c r="C291" s="1454"/>
      <c r="D291" s="1454"/>
      <c r="E291" s="1454"/>
      <c r="F291" s="1454"/>
      <c r="G291" s="1454"/>
      <c r="H291" s="1454"/>
      <c r="I291" s="1454"/>
      <c r="J291" s="1454"/>
      <c r="K291" s="1454"/>
      <c r="L291" s="1454"/>
      <c r="M291" s="1455"/>
      <c r="N291" s="47"/>
      <c r="O291" s="47"/>
    </row>
    <row r="292" spans="1:15" ht="18.5" thickBot="1" x14ac:dyDescent="0.45">
      <c r="A292" s="1380"/>
      <c r="B292" s="1461" t="s">
        <v>484</v>
      </c>
      <c r="C292" s="1462"/>
      <c r="D292" s="1462"/>
      <c r="E292" s="1462"/>
      <c r="F292" s="1462"/>
      <c r="G292" s="1462"/>
      <c r="H292" s="1462"/>
      <c r="I292" s="1462"/>
      <c r="J292" s="1462"/>
      <c r="K292" s="1462"/>
      <c r="L292" s="1462"/>
      <c r="M292" s="1463"/>
      <c r="N292" s="47"/>
      <c r="O292" s="47"/>
    </row>
    <row r="293" spans="1:15" ht="18" x14ac:dyDescent="0.4">
      <c r="A293" s="1380"/>
      <c r="B293" s="657"/>
      <c r="C293" s="657"/>
      <c r="D293" s="657"/>
      <c r="E293" s="657"/>
      <c r="F293" s="657"/>
      <c r="G293" s="657"/>
      <c r="H293" s="657"/>
      <c r="I293" s="657"/>
      <c r="J293" s="657"/>
      <c r="K293" s="657"/>
      <c r="L293" s="657"/>
      <c r="M293" s="657"/>
      <c r="N293" s="47"/>
      <c r="O293" s="47"/>
    </row>
    <row r="294" spans="1:15" ht="13" outlineLevel="2" x14ac:dyDescent="0.3">
      <c r="A294" s="1380"/>
      <c r="D294" s="87"/>
      <c r="G294" s="203"/>
      <c r="H294" s="203"/>
      <c r="I294" s="203"/>
      <c r="J294" s="203"/>
      <c r="K294" s="203"/>
      <c r="L294" s="203"/>
      <c r="M294" s="203"/>
      <c r="N294" s="47"/>
      <c r="O294" s="47"/>
    </row>
    <row r="295" spans="1:15" ht="15.5" outlineLevel="2" x14ac:dyDescent="0.35">
      <c r="A295" s="1380"/>
      <c r="B295" s="6" t="s">
        <v>485</v>
      </c>
      <c r="F295" s="16"/>
      <c r="G295" s="464"/>
      <c r="H295" s="464"/>
      <c r="I295" s="464"/>
      <c r="J295" s="464"/>
      <c r="K295" s="464"/>
      <c r="L295" s="464"/>
      <c r="M295" s="464"/>
      <c r="N295" s="47"/>
      <c r="O295" s="47"/>
    </row>
    <row r="296" spans="1:15" ht="13" outlineLevel="2" x14ac:dyDescent="0.3">
      <c r="A296" s="1380"/>
      <c r="B296" s="61" t="s">
        <v>486</v>
      </c>
      <c r="D296" s="87"/>
      <c r="G296" s="117">
        <f t="shared" ref="G296:M296" ca="1" si="117">(G81*1000-2*G73-$E64)/($E63+$E64+2*($E65+G276+G277))*0.97</f>
        <v>31.991162895578778</v>
      </c>
      <c r="H296" s="117">
        <f t="shared" ca="1" si="117"/>
        <v>31.991162895578778</v>
      </c>
      <c r="I296" s="117">
        <f t="shared" ca="1" si="117"/>
        <v>34.990214995096856</v>
      </c>
      <c r="J296" s="117">
        <f t="shared" ca="1" si="117"/>
        <v>39.991849417431197</v>
      </c>
      <c r="K296" s="117">
        <f t="shared" ca="1" si="117"/>
        <v>47.005131941145763</v>
      </c>
      <c r="L296" s="117">
        <f t="shared" ca="1" si="117"/>
        <v>61.008428024727941</v>
      </c>
      <c r="M296" s="117">
        <f t="shared" ca="1" si="117"/>
        <v>99.006411316933409</v>
      </c>
      <c r="N296" s="47"/>
      <c r="O296" s="47"/>
    </row>
    <row r="297" spans="1:15" ht="13" outlineLevel="2" x14ac:dyDescent="0.3">
      <c r="A297" s="1380"/>
      <c r="B297" s="61" t="s">
        <v>487</v>
      </c>
      <c r="D297" s="87"/>
      <c r="G297" s="466">
        <f t="shared" ref="G297:M297" ca="1" si="118">(G287/G296/2/G78)^0.5*10</f>
        <v>66.346810985586643</v>
      </c>
      <c r="H297" s="466">
        <f t="shared" ca="1" si="118"/>
        <v>66.346810985586643</v>
      </c>
      <c r="I297" s="466">
        <f t="shared" ca="1" si="118"/>
        <v>66.742949032040869</v>
      </c>
      <c r="J297" s="466">
        <f t="shared" ca="1" si="118"/>
        <v>67.007461670957014</v>
      </c>
      <c r="K297" s="466">
        <f t="shared" ca="1" si="118"/>
        <v>68.137578345926258</v>
      </c>
      <c r="L297" s="466">
        <f t="shared" ca="1" si="118"/>
        <v>69.4993590917978</v>
      </c>
      <c r="M297" s="466">
        <f t="shared" ca="1" si="118"/>
        <v>74.700716688688658</v>
      </c>
      <c r="N297" s="47"/>
      <c r="O297" s="47"/>
    </row>
    <row r="298" spans="1:15" ht="13" outlineLevel="2" x14ac:dyDescent="0.3">
      <c r="A298" s="1380"/>
      <c r="B298" s="61" t="s">
        <v>488</v>
      </c>
      <c r="D298" s="87"/>
      <c r="G298" s="466">
        <f t="shared" ref="G298:M298" ca="1" si="119">G297*G78</f>
        <v>199.04043295675993</v>
      </c>
      <c r="H298" s="466">
        <f t="shared" ca="1" si="119"/>
        <v>199.04043295675993</v>
      </c>
      <c r="I298" s="466">
        <f t="shared" ca="1" si="119"/>
        <v>200.22884709612259</v>
      </c>
      <c r="J298" s="466">
        <f t="shared" ca="1" si="119"/>
        <v>201.02238501287104</v>
      </c>
      <c r="K298" s="466">
        <f t="shared" ca="1" si="119"/>
        <v>204.41273503777876</v>
      </c>
      <c r="L298" s="466">
        <f t="shared" ca="1" si="119"/>
        <v>208.4980772753934</v>
      </c>
      <c r="M298" s="466">
        <f t="shared" ca="1" si="119"/>
        <v>224.10215006606597</v>
      </c>
      <c r="N298" s="47"/>
      <c r="O298" s="47"/>
    </row>
    <row r="299" spans="1:15" ht="13" outlineLevel="2" x14ac:dyDescent="0.3">
      <c r="A299" s="1380"/>
      <c r="B299" s="61" t="s">
        <v>489</v>
      </c>
      <c r="D299" s="87"/>
      <c r="G299" s="524">
        <f>2</f>
        <v>2</v>
      </c>
      <c r="H299" s="524">
        <f>2</f>
        <v>2</v>
      </c>
      <c r="I299" s="524">
        <f>2</f>
        <v>2</v>
      </c>
      <c r="J299" s="524">
        <f>2</f>
        <v>2</v>
      </c>
      <c r="K299" s="524">
        <f>2</f>
        <v>2</v>
      </c>
      <c r="L299" s="524">
        <f>2</f>
        <v>2</v>
      </c>
      <c r="M299" s="524">
        <f>2</f>
        <v>2</v>
      </c>
      <c r="N299" s="1290"/>
      <c r="O299" s="47"/>
    </row>
    <row r="300" spans="1:15" ht="13" outlineLevel="2" x14ac:dyDescent="0.3">
      <c r="A300" s="1380"/>
      <c r="B300" s="61" t="s">
        <v>490</v>
      </c>
      <c r="D300" s="87"/>
      <c r="G300" s="524">
        <f>2</f>
        <v>2</v>
      </c>
      <c r="H300" s="524">
        <f>2</f>
        <v>2</v>
      </c>
      <c r="I300" s="524">
        <f>2</f>
        <v>2</v>
      </c>
      <c r="J300" s="524">
        <f>2</f>
        <v>2</v>
      </c>
      <c r="K300" s="524">
        <f>2</f>
        <v>2</v>
      </c>
      <c r="L300" s="524">
        <f>2</f>
        <v>2</v>
      </c>
      <c r="M300" s="524">
        <f>2</f>
        <v>2</v>
      </c>
      <c r="N300" s="1290"/>
      <c r="O300" s="47"/>
    </row>
    <row r="301" spans="1:15" ht="13" outlineLevel="2" x14ac:dyDescent="0.3">
      <c r="A301" s="1380"/>
      <c r="B301" s="61" t="s">
        <v>491</v>
      </c>
      <c r="D301" s="87"/>
      <c r="G301" s="524">
        <f>4</f>
        <v>4</v>
      </c>
      <c r="H301" s="524">
        <f>4</f>
        <v>4</v>
      </c>
      <c r="I301" s="524">
        <f>4</f>
        <v>4</v>
      </c>
      <c r="J301" s="524">
        <f>4</f>
        <v>4</v>
      </c>
      <c r="K301" s="524">
        <f>4</f>
        <v>4</v>
      </c>
      <c r="L301" s="524">
        <f>4</f>
        <v>4</v>
      </c>
      <c r="M301" s="524">
        <f>4</f>
        <v>4</v>
      </c>
      <c r="N301" s="1290"/>
      <c r="O301" s="47"/>
    </row>
    <row r="302" spans="1:15" ht="13" outlineLevel="2" x14ac:dyDescent="0.3">
      <c r="A302" s="1380"/>
      <c r="B302" s="61" t="s">
        <v>492</v>
      </c>
      <c r="D302" s="87"/>
      <c r="G302" s="658">
        <f t="shared" ref="G302:M302" ca="1" si="120">1.2*G81</f>
        <v>24.133101410988832</v>
      </c>
      <c r="H302" s="658">
        <f t="shared" ca="1" si="120"/>
        <v>24.133101410988832</v>
      </c>
      <c r="I302" s="658">
        <f t="shared" ca="1" si="120"/>
        <v>24.056260044594403</v>
      </c>
      <c r="J302" s="658">
        <f t="shared" ca="1" si="120"/>
        <v>24.197658298933771</v>
      </c>
      <c r="K302" s="658">
        <f t="shared" ca="1" si="120"/>
        <v>23.945874938350006</v>
      </c>
      <c r="L302" s="658">
        <f t="shared" ca="1" si="120"/>
        <v>24.068069685726996</v>
      </c>
      <c r="M302" s="658">
        <f t="shared" ca="1" si="120"/>
        <v>23.980856749398736</v>
      </c>
      <c r="N302" s="47"/>
      <c r="O302" s="47"/>
    </row>
    <row r="303" spans="1:15" ht="13" outlineLevel="2" x14ac:dyDescent="0.3">
      <c r="A303" s="1380"/>
      <c r="B303" s="61" t="s">
        <v>493</v>
      </c>
      <c r="D303" s="87"/>
      <c r="G303" s="658">
        <f t="shared" ref="G303:M303" ca="1" si="121">G302-0.5*G299</f>
        <v>23.133101410988832</v>
      </c>
      <c r="H303" s="658">
        <f t="shared" ca="1" si="121"/>
        <v>23.133101410988832</v>
      </c>
      <c r="I303" s="658">
        <f t="shared" ca="1" si="121"/>
        <v>23.056260044594403</v>
      </c>
      <c r="J303" s="658">
        <f t="shared" ca="1" si="121"/>
        <v>23.197658298933771</v>
      </c>
      <c r="K303" s="658">
        <f t="shared" ca="1" si="121"/>
        <v>22.945874938350006</v>
      </c>
      <c r="L303" s="658">
        <f t="shared" ca="1" si="121"/>
        <v>23.068069685726996</v>
      </c>
      <c r="M303" s="658">
        <f t="shared" ca="1" si="121"/>
        <v>22.980856749398736</v>
      </c>
      <c r="N303" s="47"/>
      <c r="O303" s="47"/>
    </row>
    <row r="304" spans="1:15" ht="13" outlineLevel="2" x14ac:dyDescent="0.3">
      <c r="A304" s="1380"/>
      <c r="B304" s="61" t="s">
        <v>494</v>
      </c>
      <c r="D304" s="87"/>
      <c r="G304" s="466">
        <f t="shared" ref="G304:M304" ca="1" si="122">G297-8</f>
        <v>58.346810985586643</v>
      </c>
      <c r="H304" s="466">
        <f t="shared" ca="1" si="122"/>
        <v>58.346810985586643</v>
      </c>
      <c r="I304" s="466">
        <f t="shared" ca="1" si="122"/>
        <v>58.742949032040869</v>
      </c>
      <c r="J304" s="466">
        <f t="shared" ca="1" si="122"/>
        <v>59.007461670957014</v>
      </c>
      <c r="K304" s="466">
        <f t="shared" ca="1" si="122"/>
        <v>60.137578345926258</v>
      </c>
      <c r="L304" s="466">
        <f t="shared" ca="1" si="122"/>
        <v>61.4993590917978</v>
      </c>
      <c r="M304" s="466">
        <f t="shared" ca="1" si="122"/>
        <v>66.700716688688658</v>
      </c>
      <c r="N304" s="47"/>
      <c r="O304" s="47"/>
    </row>
    <row r="305" spans="1:32" ht="13" outlineLevel="2" x14ac:dyDescent="0.3">
      <c r="A305" s="1380"/>
      <c r="B305" s="61" t="s">
        <v>495</v>
      </c>
      <c r="D305" s="87"/>
      <c r="G305" s="466">
        <f t="shared" ref="G305:M305" ca="1" si="123">G297+2*G82+G300</f>
        <v>70.346810985586643</v>
      </c>
      <c r="H305" s="466">
        <f t="shared" ca="1" si="123"/>
        <v>70.346810985586643</v>
      </c>
      <c r="I305" s="466">
        <f t="shared" ca="1" si="123"/>
        <v>70.742949032040869</v>
      </c>
      <c r="J305" s="466">
        <f t="shared" ca="1" si="123"/>
        <v>71.007461670957014</v>
      </c>
      <c r="K305" s="466">
        <f t="shared" ca="1" si="123"/>
        <v>72.137578345926258</v>
      </c>
      <c r="L305" s="466">
        <f t="shared" ca="1" si="123"/>
        <v>73.4993590917978</v>
      </c>
      <c r="M305" s="466">
        <f t="shared" ca="1" si="123"/>
        <v>78.700716688688658</v>
      </c>
      <c r="N305" s="1290"/>
      <c r="O305" s="129"/>
      <c r="R305" s="90"/>
      <c r="S305" s="90"/>
      <c r="T305" s="175"/>
    </row>
    <row r="306" spans="1:32" ht="13" outlineLevel="2" x14ac:dyDescent="0.3">
      <c r="A306" s="1380"/>
      <c r="B306" s="61" t="s">
        <v>496</v>
      </c>
      <c r="C306" s="88"/>
      <c r="D306" s="521"/>
      <c r="E306" s="88"/>
      <c r="F306" s="520"/>
      <c r="G306" s="466">
        <f t="shared" ref="G306:M306" ca="1" si="124">G298+2*(G93+G95)</f>
        <v>273.30663577873759</v>
      </c>
      <c r="H306" s="466">
        <f t="shared" ca="1" si="124"/>
        <v>273.30663577873759</v>
      </c>
      <c r="I306" s="466">
        <f t="shared" ca="1" si="124"/>
        <v>274.34136718531141</v>
      </c>
      <c r="J306" s="466">
        <f t="shared" ca="1" si="124"/>
        <v>275.41770161073856</v>
      </c>
      <c r="K306" s="466">
        <f t="shared" ca="1" si="124"/>
        <v>278.30448491447879</v>
      </c>
      <c r="L306" s="466">
        <f t="shared" ca="1" si="124"/>
        <v>282.63421664684739</v>
      </c>
      <c r="M306" s="466">
        <f t="shared" ca="1" si="124"/>
        <v>298.06386356486348</v>
      </c>
      <c r="N306" s="1290"/>
      <c r="O306" s="353"/>
      <c r="Q306" s="90"/>
      <c r="R306" s="90"/>
      <c r="S306" s="90"/>
      <c r="T306" s="175"/>
    </row>
    <row r="307" spans="1:32" ht="13" outlineLevel="2" x14ac:dyDescent="0.3">
      <c r="A307" s="1380"/>
      <c r="B307" s="61" t="s">
        <v>497</v>
      </c>
      <c r="C307" s="130"/>
      <c r="D307" s="57"/>
      <c r="E307" s="130"/>
      <c r="G307" s="466">
        <f t="shared" ref="G307:M307" ca="1" si="125">G81*G305*G306/1000</f>
        <v>386.65753916138868</v>
      </c>
      <c r="H307" s="466">
        <f t="shared" ca="1" si="125"/>
        <v>386.65753916138868</v>
      </c>
      <c r="I307" s="466">
        <f t="shared" ca="1" si="125"/>
        <v>389.06424632669604</v>
      </c>
      <c r="J307" s="466">
        <f t="shared" ca="1" si="125"/>
        <v>394.35552648341803</v>
      </c>
      <c r="K307" s="466">
        <f t="shared" ca="1" si="125"/>
        <v>400.6187098660576</v>
      </c>
      <c r="L307" s="466">
        <f t="shared" ca="1" si="125"/>
        <v>416.6470432098958</v>
      </c>
      <c r="M307" s="466">
        <f t="shared" ca="1" si="125"/>
        <v>468.78257754476186</v>
      </c>
      <c r="N307" s="353"/>
      <c r="O307" s="353"/>
      <c r="Q307" s="90"/>
      <c r="R307" s="90"/>
      <c r="S307" s="90"/>
      <c r="T307" s="175"/>
    </row>
    <row r="308" spans="1:32" ht="13" outlineLevel="2" x14ac:dyDescent="0.3">
      <c r="A308" s="1380"/>
      <c r="B308" s="61"/>
      <c r="C308" s="130"/>
      <c r="D308" s="57"/>
      <c r="E308" s="130"/>
      <c r="G308" s="466"/>
      <c r="H308" s="466"/>
      <c r="I308" s="466"/>
      <c r="J308" s="466"/>
      <c r="K308" s="466"/>
      <c r="L308" s="466"/>
      <c r="M308" s="466"/>
      <c r="N308" s="353"/>
      <c r="O308" s="353"/>
      <c r="Q308" s="90"/>
      <c r="R308" s="90"/>
      <c r="S308" s="90"/>
      <c r="T308" s="175"/>
    </row>
    <row r="309" spans="1:32" ht="15.5" outlineLevel="2" x14ac:dyDescent="0.35">
      <c r="A309" s="1380"/>
      <c r="B309" s="6" t="s">
        <v>498</v>
      </c>
      <c r="D309" s="87"/>
      <c r="G309" s="57"/>
      <c r="H309" s="57"/>
      <c r="I309" s="57"/>
      <c r="J309" s="57"/>
      <c r="K309" s="57"/>
      <c r="L309" s="57"/>
      <c r="M309" s="57"/>
      <c r="N309" s="142"/>
      <c r="O309" s="142"/>
      <c r="P309" s="90"/>
      <c r="Q309" s="90"/>
      <c r="R309" s="90"/>
      <c r="S309" s="90"/>
      <c r="T309" s="175"/>
    </row>
    <row r="310" spans="1:32" ht="13" outlineLevel="2" x14ac:dyDescent="0.3">
      <c r="A310" s="1380"/>
      <c r="B310" s="353" t="s">
        <v>180</v>
      </c>
      <c r="G310" s="84">
        <f t="shared" ref="G310:M310" ca="1" si="126">G36</f>
        <v>136.35821492619525</v>
      </c>
      <c r="H310" s="84">
        <f t="shared" ca="1" si="126"/>
        <v>136.35821492619525</v>
      </c>
      <c r="I310" s="84">
        <f t="shared" ca="1" si="126"/>
        <v>136.1955596974399</v>
      </c>
      <c r="J310" s="84">
        <f t="shared" ca="1" si="126"/>
        <v>135.99541464886141</v>
      </c>
      <c r="K310" s="84">
        <f t="shared" ca="1" si="126"/>
        <v>135.76414576550351</v>
      </c>
      <c r="L310" s="84">
        <f t="shared" ca="1" si="126"/>
        <v>135.48724349724043</v>
      </c>
      <c r="M310" s="84">
        <f t="shared" ca="1" si="126"/>
        <v>135.12209353330655</v>
      </c>
      <c r="N310" s="142"/>
      <c r="O310" s="142"/>
      <c r="P310" s="90"/>
      <c r="Q310" s="90"/>
      <c r="R310" s="90"/>
      <c r="S310" s="90"/>
      <c r="T310" s="133"/>
    </row>
    <row r="311" spans="1:32" ht="13" outlineLevel="2" x14ac:dyDescent="0.3">
      <c r="A311" s="1380"/>
      <c r="G311" s="84"/>
      <c r="H311" s="84"/>
      <c r="I311" s="84"/>
      <c r="J311" s="84"/>
      <c r="K311" s="84"/>
      <c r="L311" s="84"/>
      <c r="M311" s="84"/>
      <c r="N311" s="142"/>
      <c r="O311" s="142"/>
      <c r="P311" s="90"/>
      <c r="Q311" s="90"/>
      <c r="R311" s="90"/>
      <c r="S311" s="90"/>
      <c r="T311" s="133"/>
    </row>
    <row r="312" spans="1:32" ht="14" outlineLevel="2" x14ac:dyDescent="0.3">
      <c r="A312" s="1380"/>
      <c r="B312" s="665" t="s">
        <v>499</v>
      </c>
      <c r="D312" s="222"/>
      <c r="G312" s="84"/>
      <c r="H312" s="84"/>
      <c r="I312" s="84"/>
      <c r="J312" s="84"/>
      <c r="K312" s="84"/>
      <c r="L312" s="84"/>
      <c r="M312" s="84"/>
      <c r="N312" s="139"/>
      <c r="O312" s="139"/>
      <c r="P312" s="90"/>
      <c r="Q312" s="90"/>
      <c r="R312" s="90"/>
      <c r="S312" s="133"/>
      <c r="T312" s="133"/>
    </row>
    <row r="313" spans="1:32" ht="13" outlineLevel="2" x14ac:dyDescent="0.3">
      <c r="A313" s="1380"/>
      <c r="B313" s="353" t="s">
        <v>500</v>
      </c>
      <c r="D313" s="515"/>
      <c r="G313" s="84">
        <f t="shared" ref="G313:M313" ca="1" si="127">G81+G334</f>
        <v>20.510917842490691</v>
      </c>
      <c r="H313" s="84">
        <f t="shared" ca="1" si="127"/>
        <v>20.510917842490691</v>
      </c>
      <c r="I313" s="84">
        <f t="shared" ca="1" si="127"/>
        <v>20.446883370495335</v>
      </c>
      <c r="J313" s="84">
        <f t="shared" ca="1" si="127"/>
        <v>20.564715249111476</v>
      </c>
      <c r="K313" s="84">
        <f t="shared" ca="1" si="127"/>
        <v>20.354895781958337</v>
      </c>
      <c r="L313" s="84">
        <f t="shared" ca="1" si="127"/>
        <v>20.45672473810583</v>
      </c>
      <c r="M313" s="84">
        <f t="shared" ca="1" si="127"/>
        <v>20.384047291165611</v>
      </c>
      <c r="N313" s="1365"/>
      <c r="O313" s="47"/>
      <c r="P313" s="90"/>
      <c r="Q313" s="90"/>
      <c r="R313" s="90"/>
      <c r="S313" s="90"/>
      <c r="T313" s="90"/>
    </row>
    <row r="314" spans="1:32" s="7" customFormat="1" ht="15.5" outlineLevel="2" x14ac:dyDescent="0.35">
      <c r="A314" s="1380"/>
      <c r="B314" s="353" t="s">
        <v>501</v>
      </c>
      <c r="C314" s="353"/>
      <c r="D314" s="515"/>
      <c r="E314" s="353"/>
      <c r="F314" s="353"/>
      <c r="G314" s="84">
        <f t="shared" ref="G314:M314" ca="1" si="128">G313+2*(G87-G321)</f>
        <v>32.510917842490691</v>
      </c>
      <c r="H314" s="84">
        <f t="shared" ca="1" si="128"/>
        <v>32.510917842490691</v>
      </c>
      <c r="I314" s="84">
        <f t="shared" ca="1" si="128"/>
        <v>32.446883370495335</v>
      </c>
      <c r="J314" s="84">
        <f t="shared" ca="1" si="128"/>
        <v>32.564715249111472</v>
      </c>
      <c r="K314" s="84">
        <f t="shared" ca="1" si="128"/>
        <v>32.354895781958334</v>
      </c>
      <c r="L314" s="84">
        <f t="shared" ca="1" si="128"/>
        <v>32.456724738105834</v>
      </c>
      <c r="M314" s="84">
        <f t="shared" ca="1" si="128"/>
        <v>32.384047291165615</v>
      </c>
      <c r="N314" s="1365"/>
      <c r="O314" s="191"/>
      <c r="P314" s="90"/>
      <c r="Q314" s="90"/>
      <c r="R314" s="90"/>
      <c r="S314" s="90"/>
      <c r="T314" s="90"/>
      <c r="U314" s="353"/>
      <c r="V314" s="353"/>
      <c r="W314" s="353"/>
      <c r="X314" s="353"/>
    </row>
    <row r="315" spans="1:32" ht="15.5" outlineLevel="2" x14ac:dyDescent="0.35">
      <c r="A315" s="1380"/>
      <c r="B315" s="353" t="s">
        <v>502</v>
      </c>
      <c r="D315" s="515"/>
      <c r="G315" s="147">
        <f t="shared" ref="G315:M315" si="129">G162+ (G26 - 1)*2</f>
        <v>29</v>
      </c>
      <c r="H315" s="147">
        <f t="shared" si="129"/>
        <v>29</v>
      </c>
      <c r="I315" s="147">
        <f t="shared" si="129"/>
        <v>29</v>
      </c>
      <c r="J315" s="147">
        <f t="shared" si="129"/>
        <v>29</v>
      </c>
      <c r="K315" s="147">
        <f t="shared" si="129"/>
        <v>29</v>
      </c>
      <c r="L315" s="147">
        <f t="shared" si="129"/>
        <v>29</v>
      </c>
      <c r="M315" s="147">
        <f t="shared" si="129"/>
        <v>29</v>
      </c>
      <c r="N315" s="47"/>
      <c r="O315" s="47"/>
      <c r="P315" s="90"/>
      <c r="Q315" s="90"/>
      <c r="R315" s="90"/>
      <c r="S315" s="90"/>
      <c r="T315" s="89"/>
      <c r="U315" s="7"/>
      <c r="V315" s="7"/>
      <c r="W315" s="7"/>
      <c r="X315" s="7"/>
    </row>
    <row r="316" spans="1:32" ht="13" outlineLevel="2" x14ac:dyDescent="0.3">
      <c r="A316" s="1380"/>
      <c r="B316" s="353" t="s">
        <v>503</v>
      </c>
      <c r="D316" s="515"/>
      <c r="G316" s="84">
        <f t="shared" ref="G316:M316" ca="1" si="130">G315*G314/10*G159*_rho_Cu</f>
        <v>337.90547568771126</v>
      </c>
      <c r="H316" s="84">
        <f t="shared" ca="1" si="130"/>
        <v>337.90547568771126</v>
      </c>
      <c r="I316" s="84">
        <f t="shared" ca="1" si="130"/>
        <v>337.23992699958035</v>
      </c>
      <c r="J316" s="84">
        <f t="shared" ca="1" si="130"/>
        <v>338.46462441316504</v>
      </c>
      <c r="K316" s="84">
        <f t="shared" ca="1" si="130"/>
        <v>336.28384479936221</v>
      </c>
      <c r="L316" s="84">
        <f t="shared" ca="1" si="130"/>
        <v>337.3422142379768</v>
      </c>
      <c r="M316" s="84">
        <f t="shared" ca="1" si="130"/>
        <v>336.58683392545902</v>
      </c>
      <c r="N316" s="144"/>
      <c r="O316" s="144"/>
      <c r="P316" s="90"/>
      <c r="Q316" s="90"/>
      <c r="S316" s="90"/>
      <c r="T316" s="194"/>
    </row>
    <row r="317" spans="1:32" ht="13" outlineLevel="2" x14ac:dyDescent="0.3">
      <c r="A317" s="1380"/>
      <c r="D317" s="515"/>
      <c r="G317" s="84"/>
      <c r="H317" s="84"/>
      <c r="I317" s="84"/>
      <c r="J317" s="84"/>
      <c r="K317" s="84"/>
      <c r="L317" s="84"/>
      <c r="M317" s="84"/>
      <c r="N317" s="144"/>
      <c r="O317" s="144"/>
      <c r="P317" s="90"/>
      <c r="Q317" s="90"/>
      <c r="S317" s="90"/>
      <c r="T317" s="194"/>
    </row>
    <row r="318" spans="1:32" ht="14" outlineLevel="2" x14ac:dyDescent="0.3">
      <c r="A318" s="1380"/>
      <c r="B318" s="665" t="s">
        <v>504</v>
      </c>
      <c r="D318" s="515"/>
      <c r="G318" s="84"/>
      <c r="H318" s="84"/>
      <c r="I318" s="84"/>
      <c r="J318" s="84"/>
      <c r="K318" s="84"/>
      <c r="L318" s="84"/>
      <c r="M318" s="84"/>
      <c r="N318" s="144"/>
      <c r="O318" s="144"/>
      <c r="P318" s="90"/>
      <c r="Q318" s="90"/>
    </row>
    <row r="319" spans="1:32" ht="13" outlineLevel="2" x14ac:dyDescent="0.3">
      <c r="A319" s="1380"/>
      <c r="B319" s="353" t="s">
        <v>505</v>
      </c>
      <c r="D319" s="515"/>
      <c r="G319" s="84">
        <f t="shared" ref="G319:M319" ca="1" si="131">G25*(G81+G334)-0.5*G81</f>
        <v>400.1628979285685</v>
      </c>
      <c r="H319" s="84">
        <f t="shared" ca="1" si="131"/>
        <v>400.1628979285685</v>
      </c>
      <c r="I319" s="84">
        <f t="shared" ca="1" si="131"/>
        <v>398.91422572465899</v>
      </c>
      <c r="J319" s="84">
        <f t="shared" ca="1" si="131"/>
        <v>401.21194735767375</v>
      </c>
      <c r="K319" s="84">
        <f t="shared" ca="1" si="131"/>
        <v>397.12046774818754</v>
      </c>
      <c r="L319" s="84">
        <f t="shared" ca="1" si="131"/>
        <v>399.10613239306372</v>
      </c>
      <c r="M319" s="84">
        <f t="shared" ca="1" si="131"/>
        <v>397.68892217772941</v>
      </c>
      <c r="N319" s="120"/>
      <c r="O319" s="120"/>
      <c r="P319" s="90"/>
    </row>
    <row r="320" spans="1:32" ht="13" outlineLevel="2" x14ac:dyDescent="0.3">
      <c r="A320" s="1380"/>
      <c r="B320" s="353" t="s">
        <v>506</v>
      </c>
      <c r="D320" s="515"/>
      <c r="G320" s="84">
        <f t="shared" ref="G320:M320" ca="1" si="132">G305*0.9</f>
        <v>63.312129887027979</v>
      </c>
      <c r="H320" s="84">
        <f t="shared" ca="1" si="132"/>
        <v>63.312129887027979</v>
      </c>
      <c r="I320" s="84">
        <f t="shared" ca="1" si="132"/>
        <v>63.668654128836785</v>
      </c>
      <c r="J320" s="84">
        <f t="shared" ca="1" si="132"/>
        <v>63.906715503861314</v>
      </c>
      <c r="K320" s="84">
        <f t="shared" ca="1" si="132"/>
        <v>64.923820511333631</v>
      </c>
      <c r="L320" s="84">
        <f t="shared" ca="1" si="132"/>
        <v>66.149423182618023</v>
      </c>
      <c r="M320" s="84">
        <f t="shared" ca="1" si="132"/>
        <v>70.830645019819798</v>
      </c>
      <c r="N320" s="1365"/>
      <c r="O320" s="120"/>
      <c r="P320" s="194"/>
      <c r="Y320" s="9"/>
      <c r="Z320" s="9"/>
      <c r="AA320" s="9"/>
      <c r="AB320" s="9"/>
      <c r="AC320" s="9"/>
      <c r="AD320" s="9"/>
      <c r="AE320" s="9"/>
      <c r="AF320" s="9"/>
    </row>
    <row r="321" spans="1:32" ht="13" outlineLevel="2" x14ac:dyDescent="0.3">
      <c r="A321" s="1380"/>
      <c r="B321" s="353" t="s">
        <v>507</v>
      </c>
      <c r="D321" s="515"/>
      <c r="G321" s="208">
        <f>2</f>
        <v>2</v>
      </c>
      <c r="H321" s="208">
        <f>2</f>
        <v>2</v>
      </c>
      <c r="I321" s="208">
        <f>2</f>
        <v>2</v>
      </c>
      <c r="J321" s="208">
        <f>2</f>
        <v>2</v>
      </c>
      <c r="K321" s="208">
        <f>2</f>
        <v>2</v>
      </c>
      <c r="L321" s="208">
        <f>2</f>
        <v>2</v>
      </c>
      <c r="M321" s="208">
        <f>2</f>
        <v>2</v>
      </c>
      <c r="N321" s="207"/>
      <c r="O321" s="140"/>
      <c r="P321" s="194"/>
      <c r="R321" s="12"/>
      <c r="S321" s="12"/>
      <c r="T321" s="12"/>
      <c r="U321" s="12"/>
      <c r="V321" s="12"/>
      <c r="W321" s="12"/>
      <c r="X321" s="12"/>
      <c r="Y321" s="9"/>
      <c r="Z321" s="9"/>
      <c r="AA321" s="9"/>
      <c r="AB321" s="9"/>
      <c r="AC321" s="9"/>
      <c r="AD321" s="9"/>
      <c r="AE321" s="9"/>
      <c r="AF321" s="9"/>
    </row>
    <row r="322" spans="1:32" ht="15" outlineLevel="2" x14ac:dyDescent="0.3">
      <c r="A322" s="1380"/>
      <c r="B322" s="353" t="s">
        <v>508</v>
      </c>
      <c r="D322" s="515"/>
      <c r="G322" s="84">
        <f t="shared" ref="G322:M322" ca="1" si="133">2*G319*G320*G321/1000*2.1</f>
        <v>212.81538910483363</v>
      </c>
      <c r="H322" s="84">
        <f t="shared" ca="1" si="133"/>
        <v>212.81538910483363</v>
      </c>
      <c r="I322" s="84">
        <f t="shared" ca="1" si="133"/>
        <v>213.34598766378275</v>
      </c>
      <c r="J322" s="84">
        <f t="shared" ca="1" si="133"/>
        <v>215.37715732291113</v>
      </c>
      <c r="K322" s="84">
        <f t="shared" ca="1" si="133"/>
        <v>216.57365494346556</v>
      </c>
      <c r="L322" s="84">
        <f t="shared" ca="1" si="133"/>
        <v>221.76537975015265</v>
      </c>
      <c r="M322" s="84">
        <f t="shared" ca="1" si="133"/>
        <v>236.61592815071813</v>
      </c>
      <c r="N322" s="207"/>
      <c r="O322" s="120"/>
      <c r="P322" s="90"/>
      <c r="R322" s="9"/>
      <c r="S322" s="9"/>
      <c r="T322" s="9"/>
      <c r="U322" s="9"/>
      <c r="V322" s="9"/>
      <c r="W322" s="9"/>
      <c r="X322" s="9"/>
    </row>
    <row r="323" spans="1:32" ht="13" outlineLevel="2" x14ac:dyDescent="0.3">
      <c r="A323" s="1380"/>
      <c r="D323" s="515"/>
      <c r="G323" s="84"/>
      <c r="H323" s="84"/>
      <c r="I323" s="84"/>
      <c r="J323" s="84"/>
      <c r="K323" s="84"/>
      <c r="L323" s="84"/>
      <c r="M323" s="84"/>
      <c r="N323" s="207"/>
      <c r="O323" s="120"/>
      <c r="P323" s="90"/>
      <c r="R323" s="9"/>
      <c r="S323" s="9"/>
      <c r="T323" s="9"/>
      <c r="U323" s="9"/>
      <c r="V323" s="9"/>
      <c r="W323" s="9"/>
      <c r="X323" s="9"/>
    </row>
    <row r="324" spans="1:32" ht="14" outlineLevel="2" x14ac:dyDescent="0.3">
      <c r="A324" s="1380"/>
      <c r="B324" s="665" t="s">
        <v>407</v>
      </c>
      <c r="D324" s="515"/>
      <c r="G324" s="84"/>
      <c r="H324" s="84"/>
      <c r="I324" s="84"/>
      <c r="J324" s="84"/>
      <c r="K324" s="84"/>
      <c r="L324" s="84"/>
      <c r="M324" s="84"/>
      <c r="N324" s="120"/>
      <c r="O324" s="120"/>
      <c r="P324" s="90"/>
      <c r="Q324" s="9"/>
    </row>
    <row r="325" spans="1:32" ht="13" outlineLevel="2" x14ac:dyDescent="0.3">
      <c r="A325" s="1380"/>
      <c r="B325" s="353" t="s">
        <v>509</v>
      </c>
      <c r="D325" s="515"/>
      <c r="G325" s="84">
        <f t="shared" ref="G325:M325" ca="1" si="134">G92+20</f>
        <v>60</v>
      </c>
      <c r="H325" s="84">
        <f t="shared" ca="1" si="134"/>
        <v>60</v>
      </c>
      <c r="I325" s="84">
        <f t="shared" ca="1" si="134"/>
        <v>60</v>
      </c>
      <c r="J325" s="84">
        <f t="shared" ca="1" si="134"/>
        <v>60</v>
      </c>
      <c r="K325" s="84">
        <f t="shared" ca="1" si="134"/>
        <v>60</v>
      </c>
      <c r="L325" s="84">
        <f t="shared" ca="1" si="134"/>
        <v>60</v>
      </c>
      <c r="M325" s="84">
        <f t="shared" ca="1" si="134"/>
        <v>60</v>
      </c>
      <c r="N325" s="120"/>
      <c r="O325" s="62"/>
      <c r="P325" s="9"/>
      <c r="Q325" s="9"/>
    </row>
    <row r="326" spans="1:32" ht="13" outlineLevel="2" x14ac:dyDescent="0.3">
      <c r="A326" s="1380"/>
      <c r="B326" s="353" t="s">
        <v>510</v>
      </c>
      <c r="D326" s="515"/>
      <c r="G326" s="84">
        <f t="shared" ref="G326:M326" ca="1" si="135">2*G325/10*G167*_rho_Cu</f>
        <v>49.979740123369687</v>
      </c>
      <c r="H326" s="84">
        <f t="shared" ca="1" si="135"/>
        <v>49.979740123369687</v>
      </c>
      <c r="I326" s="84">
        <f t="shared" ca="1" si="135"/>
        <v>49.979740123369687</v>
      </c>
      <c r="J326" s="84">
        <f t="shared" ca="1" si="135"/>
        <v>49.979740123369687</v>
      </c>
      <c r="K326" s="84">
        <f t="shared" ca="1" si="135"/>
        <v>49.979740123369687</v>
      </c>
      <c r="L326" s="84">
        <f t="shared" ca="1" si="135"/>
        <v>49.979740123369687</v>
      </c>
      <c r="M326" s="84">
        <f t="shared" ca="1" si="135"/>
        <v>49.979740123369687</v>
      </c>
      <c r="N326" s="62"/>
      <c r="O326" s="62"/>
      <c r="P326" s="9"/>
    </row>
    <row r="327" spans="1:32" ht="13" outlineLevel="2" x14ac:dyDescent="0.3">
      <c r="A327" s="1380"/>
      <c r="D327" s="515"/>
      <c r="G327" s="84"/>
      <c r="H327" s="84"/>
      <c r="I327" s="84"/>
      <c r="J327" s="84"/>
      <c r="K327" s="84"/>
      <c r="L327" s="84"/>
      <c r="M327" s="84"/>
      <c r="N327" s="62"/>
      <c r="O327" s="62"/>
      <c r="P327" s="9"/>
    </row>
    <row r="328" spans="1:32" ht="14" outlineLevel="2" x14ac:dyDescent="0.3">
      <c r="A328" s="1380"/>
      <c r="B328" s="665" t="s">
        <v>412</v>
      </c>
      <c r="D328" s="515"/>
      <c r="G328" s="84"/>
      <c r="H328" s="84"/>
      <c r="I328" s="84"/>
      <c r="J328" s="84"/>
      <c r="K328" s="84"/>
      <c r="L328" s="84"/>
      <c r="M328" s="84"/>
      <c r="N328" s="206"/>
      <c r="O328" s="206"/>
      <c r="P328" s="194"/>
    </row>
    <row r="329" spans="1:32" ht="13" outlineLevel="2" x14ac:dyDescent="0.3">
      <c r="A329" s="1380"/>
      <c r="B329" s="353" t="s">
        <v>511</v>
      </c>
      <c r="D329" s="515"/>
      <c r="G329" s="459">
        <f>35</f>
        <v>35</v>
      </c>
      <c r="H329" s="459">
        <f>35</f>
        <v>35</v>
      </c>
      <c r="I329" s="459">
        <f>35</f>
        <v>35</v>
      </c>
      <c r="J329" s="459">
        <f>35</f>
        <v>35</v>
      </c>
      <c r="K329" s="459">
        <f>35</f>
        <v>35</v>
      </c>
      <c r="L329" s="459">
        <f>35</f>
        <v>35</v>
      </c>
      <c r="M329" s="459">
        <f>35</f>
        <v>35</v>
      </c>
      <c r="N329" s="186"/>
      <c r="O329" s="186"/>
      <c r="P329" s="90"/>
    </row>
    <row r="330" spans="1:32" ht="13" outlineLevel="2" x14ac:dyDescent="0.3">
      <c r="A330" s="1380"/>
      <c r="B330" s="353" t="s">
        <v>512</v>
      </c>
      <c r="D330" s="515"/>
      <c r="G330" s="84">
        <f t="shared" ref="G330:M330" ca="1" si="136">IF(G29=1,0,2*G329/10*G175*_rho_Cu)*1.2</f>
        <v>49.477418428446519</v>
      </c>
      <c r="H330" s="84">
        <f t="shared" ca="1" si="136"/>
        <v>49.477418428446519</v>
      </c>
      <c r="I330" s="84">
        <f t="shared" ca="1" si="136"/>
        <v>49.477418428446519</v>
      </c>
      <c r="J330" s="84">
        <f t="shared" ca="1" si="136"/>
        <v>49.477418428446519</v>
      </c>
      <c r="K330" s="84">
        <f t="shared" ca="1" si="136"/>
        <v>49.477418428446519</v>
      </c>
      <c r="L330" s="84">
        <f t="shared" ca="1" si="136"/>
        <v>49.477418428446519</v>
      </c>
      <c r="M330" s="84">
        <f t="shared" ca="1" si="136"/>
        <v>49.477418428446519</v>
      </c>
      <c r="N330" s="186"/>
      <c r="O330" s="186"/>
      <c r="P330" s="90"/>
    </row>
    <row r="331" spans="1:32" ht="13" outlineLevel="2" x14ac:dyDescent="0.3">
      <c r="A331" s="1380"/>
      <c r="D331" s="515"/>
      <c r="G331" s="84"/>
      <c r="H331" s="84"/>
      <c r="I331" s="84"/>
      <c r="J331" s="84"/>
      <c r="K331" s="84"/>
      <c r="L331" s="84"/>
      <c r="M331" s="84"/>
      <c r="N331" s="186"/>
      <c r="O331" s="186"/>
      <c r="P331" s="90"/>
    </row>
    <row r="332" spans="1:32" ht="14" outlineLevel="2" x14ac:dyDescent="0.3">
      <c r="A332" s="1380"/>
      <c r="B332" s="665" t="s">
        <v>513</v>
      </c>
      <c r="D332" s="515"/>
      <c r="F332" s="520"/>
      <c r="G332" s="462"/>
      <c r="H332" s="462"/>
      <c r="I332" s="462"/>
      <c r="J332" s="462"/>
      <c r="K332" s="462"/>
      <c r="L332" s="462"/>
      <c r="M332" s="462"/>
      <c r="N332" s="120"/>
      <c r="O332" s="61"/>
    </row>
    <row r="333" spans="1:32" ht="13" outlineLevel="2" x14ac:dyDescent="0.3">
      <c r="A333" s="1380"/>
      <c r="B333" s="61" t="s">
        <v>514</v>
      </c>
      <c r="D333" s="515"/>
      <c r="G333" s="466">
        <f t="shared" ref="G333:M333" ca="1" si="137">G298+6</f>
        <v>205.04043295675993</v>
      </c>
      <c r="H333" s="466">
        <f t="shared" ca="1" si="137"/>
        <v>205.04043295675993</v>
      </c>
      <c r="I333" s="466">
        <f t="shared" ca="1" si="137"/>
        <v>206.22884709612259</v>
      </c>
      <c r="J333" s="466">
        <f t="shared" ca="1" si="137"/>
        <v>207.02238501287104</v>
      </c>
      <c r="K333" s="466">
        <f t="shared" ca="1" si="137"/>
        <v>210.41273503777876</v>
      </c>
      <c r="L333" s="466">
        <f t="shared" ca="1" si="137"/>
        <v>214.4980772753934</v>
      </c>
      <c r="M333" s="466">
        <f t="shared" ca="1" si="137"/>
        <v>230.10215006606597</v>
      </c>
      <c r="N333" s="120"/>
      <c r="O333" s="61"/>
    </row>
    <row r="334" spans="1:32" ht="13" outlineLevel="2" x14ac:dyDescent="0.3">
      <c r="A334" s="1380"/>
      <c r="B334" s="61" t="s">
        <v>515</v>
      </c>
      <c r="D334" s="515"/>
      <c r="E334" s="122"/>
      <c r="G334" s="133">
        <f>'Vehicle Considerations'!$B$34*10</f>
        <v>0.4</v>
      </c>
      <c r="H334" s="133">
        <f>'Vehicle Considerations'!$B$34*10</f>
        <v>0.4</v>
      </c>
      <c r="I334" s="133">
        <f>'Vehicle Considerations'!$B$34*10</f>
        <v>0.4</v>
      </c>
      <c r="J334" s="133">
        <f>'Vehicle Considerations'!$B$34*10</f>
        <v>0.4</v>
      </c>
      <c r="K334" s="133">
        <f>'Vehicle Considerations'!$B$34*10</f>
        <v>0.4</v>
      </c>
      <c r="L334" s="133">
        <f>'Vehicle Considerations'!$B$34*10</f>
        <v>0.4</v>
      </c>
      <c r="M334" s="133">
        <f>'Vehicle Considerations'!$B$34*10</f>
        <v>0.4</v>
      </c>
      <c r="N334" s="467"/>
      <c r="O334" s="61"/>
    </row>
    <row r="335" spans="1:32" ht="13" outlineLevel="2" x14ac:dyDescent="0.3">
      <c r="A335" s="1380"/>
      <c r="B335" s="353" t="s">
        <v>516</v>
      </c>
      <c r="D335" s="515"/>
      <c r="F335" s="122"/>
      <c r="G335" s="134">
        <f t="shared" ref="G335:M335" ca="1" si="138">(G25+1)*G333*((G305+2*G334)+0.95*G81*2)*G334/1000*_rho_Al</f>
        <v>508.54729869430525</v>
      </c>
      <c r="H335" s="134">
        <f t="shared" ca="1" si="138"/>
        <v>508.54729869430525</v>
      </c>
      <c r="I335" s="134">
        <f t="shared" ca="1" si="138"/>
        <v>512.77862060812163</v>
      </c>
      <c r="J335" s="134">
        <f t="shared" ca="1" si="138"/>
        <v>517.04485329060697</v>
      </c>
      <c r="K335" s="134">
        <f t="shared" ca="1" si="138"/>
        <v>529.00300132334371</v>
      </c>
      <c r="L335" s="134">
        <f t="shared" ca="1" si="138"/>
        <v>546.84007831694362</v>
      </c>
      <c r="M335" s="134">
        <f t="shared" ca="1" si="138"/>
        <v>613.04477983520019</v>
      </c>
      <c r="N335" s="467"/>
      <c r="O335" s="61"/>
    </row>
    <row r="336" spans="1:32" ht="13" outlineLevel="2" x14ac:dyDescent="0.3">
      <c r="A336" s="1380"/>
      <c r="D336" s="515"/>
      <c r="F336" s="122"/>
      <c r="G336" s="134"/>
      <c r="H336" s="134"/>
      <c r="I336" s="134"/>
      <c r="J336" s="134"/>
      <c r="K336" s="134"/>
      <c r="L336" s="134"/>
      <c r="M336" s="134"/>
      <c r="N336" s="467"/>
      <c r="O336" s="61"/>
    </row>
    <row r="337" spans="1:16" ht="14" outlineLevel="2" x14ac:dyDescent="0.3">
      <c r="A337" s="1380"/>
      <c r="B337" s="665" t="s">
        <v>517</v>
      </c>
      <c r="D337" s="515"/>
      <c r="G337" s="84"/>
      <c r="H337" s="84"/>
      <c r="I337" s="84"/>
      <c r="J337" s="84"/>
      <c r="K337" s="84"/>
      <c r="L337" s="84"/>
      <c r="M337" s="84"/>
      <c r="N337" s="186"/>
      <c r="O337" s="186"/>
      <c r="P337" s="90"/>
    </row>
    <row r="338" spans="1:16" ht="15" outlineLevel="2" x14ac:dyDescent="0.3">
      <c r="A338" s="1380"/>
      <c r="B338" s="353" t="s">
        <v>518</v>
      </c>
      <c r="D338" s="515"/>
      <c r="G338" s="134">
        <f t="shared" ref="G338:M338" si="139">120*12*16/1000*2</f>
        <v>46.08</v>
      </c>
      <c r="H338" s="134">
        <f t="shared" si="139"/>
        <v>46.08</v>
      </c>
      <c r="I338" s="134">
        <f t="shared" si="139"/>
        <v>46.08</v>
      </c>
      <c r="J338" s="134">
        <f t="shared" si="139"/>
        <v>46.08</v>
      </c>
      <c r="K338" s="134">
        <f t="shared" si="139"/>
        <v>46.08</v>
      </c>
      <c r="L338" s="134">
        <f t="shared" si="139"/>
        <v>46.08</v>
      </c>
      <c r="M338" s="134">
        <f t="shared" si="139"/>
        <v>46.08</v>
      </c>
      <c r="N338" s="186"/>
      <c r="O338" s="186"/>
      <c r="P338" s="90"/>
    </row>
    <row r="339" spans="1:16" ht="13" outlineLevel="2" x14ac:dyDescent="0.3">
      <c r="A339" s="1380"/>
      <c r="B339" s="353" t="s">
        <v>519</v>
      </c>
      <c r="D339" s="515"/>
      <c r="G339" s="469" t="s">
        <v>520</v>
      </c>
      <c r="H339" s="469" t="s">
        <v>520</v>
      </c>
      <c r="I339" s="469" t="s">
        <v>520</v>
      </c>
      <c r="J339" s="469" t="s">
        <v>520</v>
      </c>
      <c r="K339" s="469" t="s">
        <v>520</v>
      </c>
      <c r="L339" s="469" t="s">
        <v>520</v>
      </c>
      <c r="M339" s="469" t="s">
        <v>520</v>
      </c>
      <c r="N339" s="186"/>
      <c r="O339" s="186"/>
    </row>
    <row r="340" spans="1:16" ht="13" outlineLevel="2" x14ac:dyDescent="0.3">
      <c r="A340" s="1380"/>
      <c r="B340" s="353" t="s">
        <v>521</v>
      </c>
      <c r="D340" s="515"/>
      <c r="F340" s="520"/>
      <c r="G340" s="471">
        <f>0.3</f>
        <v>0.3</v>
      </c>
      <c r="H340" s="471">
        <f t="shared" ref="H340:M340" si="140">0.3</f>
        <v>0.3</v>
      </c>
      <c r="I340" s="471">
        <f t="shared" si="140"/>
        <v>0.3</v>
      </c>
      <c r="J340" s="471">
        <f t="shared" si="140"/>
        <v>0.3</v>
      </c>
      <c r="K340" s="471">
        <f t="shared" si="140"/>
        <v>0.3</v>
      </c>
      <c r="L340" s="471">
        <f t="shared" si="140"/>
        <v>0.3</v>
      </c>
      <c r="M340" s="471">
        <f t="shared" si="140"/>
        <v>0.3</v>
      </c>
      <c r="N340" s="465"/>
      <c r="O340" s="61"/>
    </row>
    <row r="341" spans="1:16" ht="13" outlineLevel="2" x14ac:dyDescent="0.3">
      <c r="A341" s="1380"/>
      <c r="B341" s="353" t="s">
        <v>522</v>
      </c>
      <c r="D341" s="515"/>
      <c r="F341" s="520"/>
      <c r="G341" s="134">
        <f t="shared" ref="G341:M341" ca="1" si="141">_rho_steel*G340*(G347*G348+G347*G349+G348*G349)*2/1000</f>
        <v>773.2468734405071</v>
      </c>
      <c r="H341" s="134">
        <f t="shared" ca="1" si="141"/>
        <v>773.2468734405071</v>
      </c>
      <c r="I341" s="134">
        <f t="shared" ca="1" si="141"/>
        <v>774.74413626263242</v>
      </c>
      <c r="J341" s="134">
        <f t="shared" ca="1" si="141"/>
        <v>781.95272075553021</v>
      </c>
      <c r="K341" s="134">
        <f t="shared" ca="1" si="141"/>
        <v>785.12146895872331</v>
      </c>
      <c r="L341" s="134">
        <f t="shared" ca="1" si="141"/>
        <v>802.80734756442132</v>
      </c>
      <c r="M341" s="134">
        <f t="shared" ca="1" si="141"/>
        <v>852.60041050128609</v>
      </c>
      <c r="N341" s="467"/>
      <c r="O341" s="61"/>
    </row>
    <row r="342" spans="1:16" ht="13" outlineLevel="2" x14ac:dyDescent="0.3">
      <c r="A342" s="1380"/>
      <c r="B342" s="353" t="s">
        <v>523</v>
      </c>
      <c r="D342" s="515"/>
      <c r="F342" s="122"/>
      <c r="G342" s="526">
        <f>5</f>
        <v>5</v>
      </c>
      <c r="H342" s="526">
        <f>5</f>
        <v>5</v>
      </c>
      <c r="I342" s="526">
        <f>5</f>
        <v>5</v>
      </c>
      <c r="J342" s="526">
        <f>5</f>
        <v>5</v>
      </c>
      <c r="K342" s="526">
        <f>5</f>
        <v>5</v>
      </c>
      <c r="L342" s="526">
        <f>5</f>
        <v>5</v>
      </c>
      <c r="M342" s="526">
        <f>5</f>
        <v>5</v>
      </c>
      <c r="N342" s="467"/>
      <c r="O342" s="61"/>
    </row>
    <row r="343" spans="1:16" ht="13" outlineLevel="2" x14ac:dyDescent="0.3">
      <c r="A343" s="1380"/>
      <c r="B343" s="353" t="s">
        <v>524</v>
      </c>
      <c r="D343" s="515"/>
      <c r="F343" s="122"/>
      <c r="G343" s="526">
        <f>2</f>
        <v>2</v>
      </c>
      <c r="H343" s="526">
        <f>2</f>
        <v>2</v>
      </c>
      <c r="I343" s="526">
        <f>2</f>
        <v>2</v>
      </c>
      <c r="J343" s="526">
        <f>2</f>
        <v>2</v>
      </c>
      <c r="K343" s="526">
        <f>2</f>
        <v>2</v>
      </c>
      <c r="L343" s="526">
        <f>2</f>
        <v>2</v>
      </c>
      <c r="M343" s="526">
        <f>2</f>
        <v>2</v>
      </c>
      <c r="N343" s="467"/>
      <c r="O343" s="61"/>
    </row>
    <row r="344" spans="1:16" ht="13" outlineLevel="2" x14ac:dyDescent="0.3">
      <c r="A344" s="1380"/>
      <c r="B344" s="353" t="s">
        <v>525</v>
      </c>
      <c r="D344" s="515"/>
      <c r="G344" s="523">
        <f>6</f>
        <v>6</v>
      </c>
      <c r="H344" s="523">
        <f>6</f>
        <v>6</v>
      </c>
      <c r="I344" s="523">
        <f>6</f>
        <v>6</v>
      </c>
      <c r="J344" s="523">
        <f>6</f>
        <v>6</v>
      </c>
      <c r="K344" s="523">
        <f>6</f>
        <v>6</v>
      </c>
      <c r="L344" s="523">
        <f>6</f>
        <v>6</v>
      </c>
      <c r="M344" s="523">
        <f>6</f>
        <v>6</v>
      </c>
      <c r="N344" s="467"/>
      <c r="O344" s="61"/>
    </row>
    <row r="345" spans="1:16" ht="13" outlineLevel="2" x14ac:dyDescent="0.3">
      <c r="A345" s="1380"/>
      <c r="D345" s="515"/>
      <c r="F345" s="520"/>
      <c r="G345" s="462"/>
      <c r="H345" s="462"/>
      <c r="I345" s="462"/>
      <c r="J345" s="462"/>
      <c r="K345" s="462"/>
      <c r="L345" s="462"/>
      <c r="M345" s="462"/>
      <c r="N345" s="120"/>
      <c r="O345" s="61"/>
    </row>
    <row r="346" spans="1:16" ht="14" outlineLevel="2" x14ac:dyDescent="0.3">
      <c r="A346" s="1380"/>
      <c r="B346" s="665" t="s">
        <v>526</v>
      </c>
      <c r="D346" s="515"/>
      <c r="G346" s="666"/>
      <c r="H346" s="666"/>
      <c r="I346" s="666"/>
      <c r="J346" s="666"/>
      <c r="K346" s="666"/>
      <c r="L346" s="666"/>
      <c r="M346" s="666"/>
      <c r="N346" s="467"/>
      <c r="O346" s="61"/>
    </row>
    <row r="347" spans="1:16" ht="13" outlineLevel="2" x14ac:dyDescent="0.3">
      <c r="A347" s="1380"/>
      <c r="B347" s="353" t="s">
        <v>186</v>
      </c>
      <c r="D347" s="515"/>
      <c r="G347" s="134">
        <f t="shared" ref="G347:M347" ca="1" si="142">G306+G344+G343</f>
        <v>281.30663577873759</v>
      </c>
      <c r="H347" s="134">
        <f t="shared" ca="1" si="142"/>
        <v>281.30663577873759</v>
      </c>
      <c r="I347" s="134">
        <f t="shared" ca="1" si="142"/>
        <v>282.34136718531141</v>
      </c>
      <c r="J347" s="134">
        <f t="shared" ca="1" si="142"/>
        <v>283.41770161073856</v>
      </c>
      <c r="K347" s="134">
        <f t="shared" ca="1" si="142"/>
        <v>286.30448491447879</v>
      </c>
      <c r="L347" s="134">
        <f t="shared" ca="1" si="142"/>
        <v>290.63421664684739</v>
      </c>
      <c r="M347" s="134">
        <f t="shared" ca="1" si="142"/>
        <v>306.06386356486348</v>
      </c>
      <c r="N347" s="467"/>
      <c r="O347" s="61"/>
    </row>
    <row r="348" spans="1:16" ht="13" outlineLevel="2" x14ac:dyDescent="0.3">
      <c r="A348" s="1380"/>
      <c r="B348" s="353" t="s">
        <v>187</v>
      </c>
      <c r="C348" s="122"/>
      <c r="D348" s="515"/>
      <c r="G348" s="1077">
        <f t="shared" ref="G348:M348" ca="1" si="143">(G81+G334)*G25+2*G340</f>
        <v>410.81835684981388</v>
      </c>
      <c r="H348" s="1077">
        <f t="shared" ca="1" si="143"/>
        <v>410.81835684981388</v>
      </c>
      <c r="I348" s="134">
        <f t="shared" ca="1" si="143"/>
        <v>409.5376674099067</v>
      </c>
      <c r="J348" s="134">
        <f t="shared" ca="1" si="143"/>
        <v>411.89430498222953</v>
      </c>
      <c r="K348" s="134">
        <f t="shared" ca="1" si="143"/>
        <v>407.69791563916675</v>
      </c>
      <c r="L348" s="134">
        <f t="shared" ca="1" si="143"/>
        <v>409.73449476211664</v>
      </c>
      <c r="M348" s="134">
        <f t="shared" ca="1" si="143"/>
        <v>408.28094582331227</v>
      </c>
      <c r="N348" s="467"/>
      <c r="O348" s="61"/>
    </row>
    <row r="349" spans="1:16" ht="13" outlineLevel="2" x14ac:dyDescent="0.3">
      <c r="A349" s="1380"/>
      <c r="B349" s="353" t="s">
        <v>527</v>
      </c>
      <c r="D349" s="515"/>
      <c r="G349" s="134">
        <f t="shared" ref="G349:M349" ca="1" si="144">G305+2*G334+2*G340</f>
        <v>71.746810985586635</v>
      </c>
      <c r="H349" s="134">
        <f t="shared" ca="1" si="144"/>
        <v>71.746810985586635</v>
      </c>
      <c r="I349" s="134">
        <f t="shared" ca="1" si="144"/>
        <v>72.14294903204086</v>
      </c>
      <c r="J349" s="134">
        <f t="shared" ca="1" si="144"/>
        <v>72.407461670957005</v>
      </c>
      <c r="K349" s="134">
        <f t="shared" ca="1" si="144"/>
        <v>73.537578345926249</v>
      </c>
      <c r="L349" s="134">
        <f t="shared" ca="1" si="144"/>
        <v>74.899359091797791</v>
      </c>
      <c r="M349" s="134">
        <f t="shared" ca="1" si="144"/>
        <v>80.100716688688649</v>
      </c>
      <c r="N349" s="467"/>
      <c r="O349" s="61"/>
    </row>
    <row r="350" spans="1:16" ht="13" outlineLevel="2" x14ac:dyDescent="0.3">
      <c r="A350" s="1380"/>
      <c r="B350" s="353" t="s">
        <v>189</v>
      </c>
      <c r="D350" s="515"/>
      <c r="G350" s="463">
        <f t="shared" ref="G350:M350" ca="1" si="145">G347*G348*G349/1000000</f>
        <v>8.2914869275865648</v>
      </c>
      <c r="H350" s="463">
        <f t="shared" ca="1" si="145"/>
        <v>8.2914869275865648</v>
      </c>
      <c r="I350" s="463">
        <f t="shared" ca="1" si="145"/>
        <v>8.3418477093577827</v>
      </c>
      <c r="J350" s="463">
        <f t="shared" ca="1" si="145"/>
        <v>8.4527121966303085</v>
      </c>
      <c r="K350" s="463">
        <f t="shared" ca="1" si="145"/>
        <v>8.5837283780282227</v>
      </c>
      <c r="L350" s="463">
        <f t="shared" ca="1" si="145"/>
        <v>8.9192301863024017</v>
      </c>
      <c r="M350" s="463">
        <f t="shared" ca="1" si="145"/>
        <v>10.009389057707685</v>
      </c>
      <c r="N350" s="143"/>
      <c r="O350" s="61"/>
    </row>
    <row r="351" spans="1:16" ht="13" outlineLevel="2" x14ac:dyDescent="0.3">
      <c r="A351" s="1380"/>
      <c r="B351" s="353" t="s">
        <v>191</v>
      </c>
      <c r="D351" s="515"/>
      <c r="G351" s="463">
        <f t="shared" ref="G351:M351" ca="1" si="146">(G316+G322+G25*G77+G326+G330+G338+G335+G342+G341)/1000</f>
        <v>16.865533059203628</v>
      </c>
      <c r="H351" s="463">
        <f t="shared" ca="1" si="146"/>
        <v>16.865533059203628</v>
      </c>
      <c r="I351" s="463">
        <f t="shared" ca="1" si="146"/>
        <v>17.023352317048847</v>
      </c>
      <c r="J351" s="463">
        <f t="shared" ca="1" si="146"/>
        <v>17.28676460426567</v>
      </c>
      <c r="K351" s="463">
        <f t="shared" ca="1" si="146"/>
        <v>17.706761933287698</v>
      </c>
      <c r="L351" s="463">
        <f t="shared" ca="1" si="146"/>
        <v>18.575883405210778</v>
      </c>
      <c r="M351" s="463">
        <f t="shared" ca="1" si="146"/>
        <v>21.514128593591003</v>
      </c>
      <c r="N351" s="120"/>
      <c r="O351" s="61"/>
    </row>
    <row r="352" spans="1:16" ht="13" outlineLevel="2" x14ac:dyDescent="0.3">
      <c r="A352" s="1380"/>
      <c r="D352" s="515"/>
      <c r="G352" s="463"/>
      <c r="H352" s="463"/>
      <c r="I352" s="463"/>
      <c r="J352" s="463"/>
      <c r="K352" s="463"/>
      <c r="L352" s="463"/>
      <c r="M352" s="463"/>
      <c r="N352" s="120"/>
      <c r="O352" s="61"/>
    </row>
    <row r="353" spans="1:15" ht="15.5" outlineLevel="2" x14ac:dyDescent="0.35">
      <c r="A353" s="1380"/>
      <c r="B353" s="6" t="s">
        <v>528</v>
      </c>
      <c r="D353" s="515"/>
      <c r="G353" s="84"/>
      <c r="H353" s="84"/>
      <c r="I353" s="84"/>
      <c r="J353" s="84"/>
      <c r="K353" s="84"/>
      <c r="L353" s="84"/>
      <c r="M353" s="84"/>
      <c r="N353" s="120"/>
      <c r="O353" s="61"/>
    </row>
    <row r="354" spans="1:15" ht="13" outlineLevel="2" x14ac:dyDescent="0.3">
      <c r="A354" s="1380"/>
      <c r="B354" s="353" t="s">
        <v>529</v>
      </c>
      <c r="D354" s="515"/>
      <c r="G354" s="84">
        <f t="shared" ref="G354:M354" ca="1" si="147">G310*G30</f>
        <v>272.71642985239049</v>
      </c>
      <c r="H354" s="84">
        <f t="shared" ca="1" si="147"/>
        <v>272.71642985239049</v>
      </c>
      <c r="I354" s="84">
        <f t="shared" ca="1" si="147"/>
        <v>272.39111939487981</v>
      </c>
      <c r="J354" s="84">
        <f t="shared" ca="1" si="147"/>
        <v>271.99082929772283</v>
      </c>
      <c r="K354" s="84">
        <f t="shared" ca="1" si="147"/>
        <v>271.52829153100703</v>
      </c>
      <c r="L354" s="84">
        <f t="shared" ca="1" si="147"/>
        <v>270.97448699448086</v>
      </c>
      <c r="M354" s="84">
        <f t="shared" ca="1" si="147"/>
        <v>270.24418706661311</v>
      </c>
      <c r="N354" s="120"/>
      <c r="O354" s="61"/>
    </row>
    <row r="355" spans="1:15" ht="13" outlineLevel="2" x14ac:dyDescent="0.3">
      <c r="A355" s="1380"/>
      <c r="B355" s="353" t="s">
        <v>530</v>
      </c>
      <c r="D355" s="515"/>
      <c r="G355" s="93">
        <f t="shared" ref="G355:M355" ca="1" si="148">G36*G30*G358/1000</f>
        <v>99.999999999999972</v>
      </c>
      <c r="H355" s="93">
        <f t="shared" ca="1" si="148"/>
        <v>99.999999999999972</v>
      </c>
      <c r="I355" s="93">
        <f t="shared" ca="1" si="148"/>
        <v>99.999999999999957</v>
      </c>
      <c r="J355" s="93">
        <f t="shared" ca="1" si="148"/>
        <v>99.999999999999957</v>
      </c>
      <c r="K355" s="93">
        <f t="shared" ca="1" si="148"/>
        <v>99.999999999999957</v>
      </c>
      <c r="L355" s="93">
        <f t="shared" ca="1" si="148"/>
        <v>99.999999999999957</v>
      </c>
      <c r="M355" s="93">
        <f t="shared" ca="1" si="148"/>
        <v>100.00000000000048</v>
      </c>
      <c r="N355" s="120"/>
      <c r="O355" s="61"/>
    </row>
    <row r="356" spans="1:15" ht="13" outlineLevel="2" x14ac:dyDescent="0.3">
      <c r="A356" s="1380"/>
      <c r="B356" s="353" t="s">
        <v>531</v>
      </c>
      <c r="D356" s="515"/>
      <c r="G356" s="93">
        <f t="shared" ref="G356:M356" ca="1" si="149">G355*G459/100</f>
        <v>84.999999999999986</v>
      </c>
      <c r="H356" s="93">
        <f t="shared" ca="1" si="149"/>
        <v>84.999999999999986</v>
      </c>
      <c r="I356" s="93">
        <f t="shared" ca="1" si="149"/>
        <v>84.999999999999957</v>
      </c>
      <c r="J356" s="93">
        <f t="shared" ca="1" si="149"/>
        <v>84.999999999999957</v>
      </c>
      <c r="K356" s="93">
        <f t="shared" ca="1" si="149"/>
        <v>84.999999999999957</v>
      </c>
      <c r="L356" s="93">
        <f t="shared" ca="1" si="149"/>
        <v>84.999999999999957</v>
      </c>
      <c r="M356" s="93">
        <f t="shared" ca="1" si="149"/>
        <v>85.000000000000412</v>
      </c>
      <c r="N356" s="120"/>
      <c r="O356" s="61"/>
    </row>
    <row r="357" spans="1:15" ht="13" outlineLevel="2" x14ac:dyDescent="0.3">
      <c r="A357" s="1380"/>
      <c r="B357" s="353" t="s">
        <v>532</v>
      </c>
      <c r="D357" s="515"/>
      <c r="G357" s="84">
        <f t="shared" ref="G357:M357" ca="1" si="150">G31/G26*G135/G30</f>
        <v>355.61368512112796</v>
      </c>
      <c r="H357" s="84">
        <f t="shared" ca="1" si="150"/>
        <v>355.61368512112796</v>
      </c>
      <c r="I357" s="84">
        <f t="shared" ca="1" si="150"/>
        <v>355.61368512112796</v>
      </c>
      <c r="J357" s="84">
        <f t="shared" ca="1" si="150"/>
        <v>355.61368512112796</v>
      </c>
      <c r="K357" s="84">
        <f t="shared" ca="1" si="150"/>
        <v>355.61368512112796</v>
      </c>
      <c r="L357" s="84">
        <f t="shared" ca="1" si="150"/>
        <v>355.61368512112796</v>
      </c>
      <c r="M357" s="84">
        <f t="shared" ca="1" si="150"/>
        <v>355.61368512112796</v>
      </c>
      <c r="N357" s="120"/>
      <c r="O357" s="61"/>
    </row>
    <row r="358" spans="1:15" ht="13" outlineLevel="2" x14ac:dyDescent="0.3">
      <c r="A358" s="1380"/>
      <c r="B358" s="353" t="s">
        <v>533</v>
      </c>
      <c r="D358" s="515"/>
      <c r="G358" s="84">
        <f t="shared" ref="G358:M358" ca="1" si="151">G359-G31*G35/3*G233/G287/G26/G30</f>
        <v>366.68124488915322</v>
      </c>
      <c r="H358" s="84">
        <f t="shared" ca="1" si="151"/>
        <v>366.68124488915322</v>
      </c>
      <c r="I358" s="84">
        <f t="shared" ca="1" si="151"/>
        <v>367.11916387785027</v>
      </c>
      <c r="J358" s="84">
        <f t="shared" ca="1" si="151"/>
        <v>367.65945476249624</v>
      </c>
      <c r="K358" s="84">
        <f t="shared" ca="1" si="151"/>
        <v>368.28574818539863</v>
      </c>
      <c r="L358" s="84">
        <f t="shared" ca="1" si="151"/>
        <v>369.03843276594796</v>
      </c>
      <c r="M358" s="84">
        <f t="shared" ca="1" si="151"/>
        <v>370.03571135223439</v>
      </c>
      <c r="N358" s="120"/>
      <c r="O358" s="61"/>
    </row>
    <row r="359" spans="1:15" ht="13" outlineLevel="2" x14ac:dyDescent="0.3">
      <c r="A359" s="1380"/>
      <c r="B359" s="353" t="s">
        <v>155</v>
      </c>
      <c r="D359" s="515"/>
      <c r="G359" s="84">
        <f t="shared" ref="G359:M359" ca="1" si="152">G31/G26*G149/G30</f>
        <v>371.32048846307276</v>
      </c>
      <c r="H359" s="84">
        <f t="shared" ca="1" si="152"/>
        <v>371.32048846307276</v>
      </c>
      <c r="I359" s="84">
        <f t="shared" ca="1" si="152"/>
        <v>371.32048846307276</v>
      </c>
      <c r="J359" s="84">
        <f t="shared" ca="1" si="152"/>
        <v>371.32048846307276</v>
      </c>
      <c r="K359" s="84">
        <f t="shared" ca="1" si="152"/>
        <v>371.32048846307276</v>
      </c>
      <c r="L359" s="84">
        <f t="shared" ca="1" si="152"/>
        <v>371.32048846307276</v>
      </c>
      <c r="M359" s="84">
        <f t="shared" ca="1" si="152"/>
        <v>371.32048846307276</v>
      </c>
      <c r="N359" s="120"/>
      <c r="O359" s="61"/>
    </row>
    <row r="360" spans="1:15" ht="13" outlineLevel="2" x14ac:dyDescent="0.3">
      <c r="A360" s="1380"/>
      <c r="B360" s="353" t="s">
        <v>534</v>
      </c>
      <c r="D360" s="515"/>
      <c r="G360" s="84">
        <f t="shared" ref="G360:M360" ca="1" si="153">(G357^2*G30^2*G26^2/G31*G112/100*(100-G112)/100)/(G232/G287)/1000</f>
        <v>480.27467992176258</v>
      </c>
      <c r="H360" s="84">
        <f t="shared" ca="1" si="153"/>
        <v>480.27467992176258</v>
      </c>
      <c r="I360" s="84">
        <f t="shared" ca="1" si="153"/>
        <v>525.15774318809815</v>
      </c>
      <c r="J360" s="84">
        <f t="shared" ca="1" si="153"/>
        <v>593.83376160044793</v>
      </c>
      <c r="K360" s="84">
        <f t="shared" ca="1" si="153"/>
        <v>700.21713621164781</v>
      </c>
      <c r="L360" s="84">
        <f t="shared" ca="1" si="153"/>
        <v>893.31582663602194</v>
      </c>
      <c r="M360" s="84">
        <f t="shared" ca="1" si="153"/>
        <v>1411.1752017052218</v>
      </c>
      <c r="N360" s="120"/>
      <c r="O360" s="61"/>
    </row>
    <row r="361" spans="1:15" ht="13" outlineLevel="2" x14ac:dyDescent="0.3">
      <c r="A361" s="1380"/>
      <c r="B361" s="353" t="s">
        <v>535</v>
      </c>
      <c r="D361" s="515"/>
      <c r="G361" s="84">
        <f t="shared" ref="G361:M361" ca="1" si="154">(G357^2*G30^2*G26^2/G31*G113/100*(100-G113)/100)/(G232/G287)/1000</f>
        <v>299.99999999999977</v>
      </c>
      <c r="H361" s="84">
        <f t="shared" ca="1" si="154"/>
        <v>299.99999999999977</v>
      </c>
      <c r="I361" s="84">
        <f t="shared" ca="1" si="154"/>
        <v>300.00000000000006</v>
      </c>
      <c r="J361" s="84">
        <f t="shared" ca="1" si="154"/>
        <v>300.00000000000017</v>
      </c>
      <c r="K361" s="84">
        <f t="shared" ca="1" si="154"/>
        <v>299.99999999999983</v>
      </c>
      <c r="L361" s="84">
        <f t="shared" ca="1" si="154"/>
        <v>300.00000000000006</v>
      </c>
      <c r="M361" s="84">
        <f t="shared" ca="1" si="154"/>
        <v>299.99999999999915</v>
      </c>
      <c r="N361" s="120"/>
      <c r="O361" s="61"/>
    </row>
    <row r="362" spans="1:15" ht="13" outlineLevel="2" x14ac:dyDescent="0.3">
      <c r="A362" s="1380"/>
      <c r="B362" s="353" t="s">
        <v>536</v>
      </c>
      <c r="D362" s="515"/>
      <c r="G362" s="84">
        <f t="shared" ref="G362:M362" ca="1" si="155">G22*1000/G357</f>
        <v>843.61207836479912</v>
      </c>
      <c r="H362" s="84">
        <f t="shared" ca="1" si="155"/>
        <v>843.61207836479912</v>
      </c>
      <c r="I362" s="84">
        <f t="shared" ca="1" si="155"/>
        <v>843.61207836479912</v>
      </c>
      <c r="J362" s="84">
        <f t="shared" ca="1" si="155"/>
        <v>843.61207836479912</v>
      </c>
      <c r="K362" s="84">
        <f t="shared" ca="1" si="155"/>
        <v>843.61207836479912</v>
      </c>
      <c r="L362" s="84">
        <f t="shared" ca="1" si="155"/>
        <v>843.61207836479912</v>
      </c>
      <c r="M362" s="84">
        <f t="shared" ca="1" si="155"/>
        <v>843.61207836479912</v>
      </c>
      <c r="N362" s="120"/>
      <c r="O362" s="61"/>
    </row>
    <row r="363" spans="1:15" ht="13" outlineLevel="2" x14ac:dyDescent="0.3">
      <c r="A363" s="1380"/>
      <c r="B363" s="353" t="s">
        <v>537</v>
      </c>
      <c r="D363" s="515"/>
      <c r="F363" s="90"/>
      <c r="G363" s="93">
        <f ca="1">IF(Dashboard!$D6=0,20,G362*1000/G287/G26/G30)</f>
        <v>24.960967466093429</v>
      </c>
      <c r="H363" s="93">
        <f ca="1">IF(Dashboard!$D6=0,20,H362*1000/H287/H26/H30)</f>
        <v>24.960967466093429</v>
      </c>
      <c r="I363" s="93">
        <f ca="1">IF(Dashboard!$D6=0,20,I362*1000/I287/I26/I30)</f>
        <v>22.551433448544756</v>
      </c>
      <c r="J363" s="93">
        <f ca="1">IF(Dashboard!$D6=0,20,J362*1000/J287/J26/J30)</f>
        <v>19.575538853894614</v>
      </c>
      <c r="K363" s="93">
        <f ca="1">IF(Dashboard!$D6=0,20,K362*1000/K287/K26/K30)</f>
        <v>16.106934126570874</v>
      </c>
      <c r="L363" s="93">
        <f ca="1">IF(Dashboard!$D6=0,20,L362*1000/L287/L26/L30)</f>
        <v>11.92834284763922</v>
      </c>
      <c r="M363" s="93">
        <f ca="1">IF(Dashboard!$D6=0,20,M362*1000/M287/M26/M30)</f>
        <v>6.3623666271078294</v>
      </c>
      <c r="N363" s="120"/>
      <c r="O363" s="61"/>
    </row>
    <row r="364" spans="1:15" ht="13" outlineLevel="2" x14ac:dyDescent="0.3">
      <c r="A364" s="1380"/>
      <c r="B364" s="353" t="s">
        <v>538</v>
      </c>
      <c r="D364" s="515"/>
      <c r="F364" s="90"/>
      <c r="G364" s="84">
        <f ca="1">IF(Dashboard!$D6=0,5,G362/G36/G30)</f>
        <v>3.0933672709833049</v>
      </c>
      <c r="H364" s="84">
        <f ca="1">IF(Dashboard!$D6=0,5,H362/H36/H30)</f>
        <v>3.0933672709833049</v>
      </c>
      <c r="I364" s="84">
        <f ca="1">IF(Dashboard!$D6=0,5,I362/I36/I30)</f>
        <v>3.0970616084654066</v>
      </c>
      <c r="J364" s="84">
        <f ca="1">IF(Dashboard!$D6=0,5,J362/J36/J30)</f>
        <v>3.1016195676265843</v>
      </c>
      <c r="K364" s="84">
        <f ca="1">IF(Dashboard!$D6=0,5,K362/K36/K30)</f>
        <v>3.106903054588193</v>
      </c>
      <c r="L364" s="84">
        <f ca="1">IF(Dashboard!$D6=0,5,L362/L36/L30)</f>
        <v>3.1132527926216964</v>
      </c>
      <c r="M364" s="84">
        <f ca="1">IF(Dashboard!$D6=0,5,M362/M36/M30)</f>
        <v>3.1216659552305384</v>
      </c>
      <c r="N364" s="120"/>
      <c r="O364" s="61"/>
    </row>
    <row r="365" spans="1:15" ht="13" outlineLevel="2" x14ac:dyDescent="0.3">
      <c r="A365" s="1380"/>
      <c r="D365" s="515"/>
      <c r="F365" s="90"/>
      <c r="G365" s="84"/>
      <c r="H365" s="84"/>
      <c r="I365" s="84"/>
      <c r="J365" s="84"/>
      <c r="K365" s="84"/>
      <c r="L365" s="84"/>
      <c r="M365" s="84"/>
      <c r="N365" s="120"/>
      <c r="O365" s="61"/>
    </row>
    <row r="366" spans="1:15" ht="14" outlineLevel="2" x14ac:dyDescent="0.3">
      <c r="A366" s="1380"/>
      <c r="B366" s="665" t="s">
        <v>539</v>
      </c>
      <c r="D366" s="515"/>
      <c r="F366" s="90"/>
      <c r="G366" s="84"/>
      <c r="H366" s="84"/>
      <c r="I366" s="84"/>
      <c r="J366" s="84"/>
      <c r="K366" s="84"/>
      <c r="L366" s="84"/>
      <c r="M366" s="84"/>
      <c r="N366" s="120"/>
      <c r="O366" s="61"/>
    </row>
    <row r="367" spans="1:15" ht="13" outlineLevel="2" x14ac:dyDescent="0.3">
      <c r="A367" s="1380"/>
      <c r="B367" s="353" t="s">
        <v>540</v>
      </c>
      <c r="D367" s="515"/>
      <c r="F367" s="90"/>
      <c r="G367" s="84">
        <f t="shared" ref="G367:M367" ca="1" si="156">G348*G27+G381*(G27-1)+G382+G384</f>
        <v>2125.8917842490696</v>
      </c>
      <c r="H367" s="84">
        <f t="shared" ca="1" si="156"/>
        <v>2125.8917842490696</v>
      </c>
      <c r="I367" s="84">
        <f t="shared" ca="1" si="156"/>
        <v>2119.4883370495336</v>
      </c>
      <c r="J367" s="84">
        <f t="shared" ca="1" si="156"/>
        <v>2131.2715249111479</v>
      </c>
      <c r="K367" s="84">
        <f t="shared" ca="1" si="156"/>
        <v>2110.2895781958341</v>
      </c>
      <c r="L367" s="84">
        <f t="shared" ca="1" si="156"/>
        <v>2120.4724738105833</v>
      </c>
      <c r="M367" s="84">
        <f t="shared" ca="1" si="156"/>
        <v>2113.2047291165618</v>
      </c>
      <c r="N367" s="1365"/>
      <c r="O367" s="61"/>
    </row>
    <row r="368" spans="1:15" ht="13" outlineLevel="2" x14ac:dyDescent="0.3">
      <c r="A368" s="1380"/>
      <c r="B368" s="353" t="s">
        <v>506</v>
      </c>
      <c r="D368" s="515"/>
      <c r="F368" s="90"/>
      <c r="G368" s="84">
        <f t="shared" ref="G368:M368" ca="1" si="157">G347+5</f>
        <v>286.30663577873759</v>
      </c>
      <c r="H368" s="84">
        <f t="shared" ca="1" si="157"/>
        <v>286.30663577873759</v>
      </c>
      <c r="I368" s="84">
        <f t="shared" ca="1" si="157"/>
        <v>287.34136718531141</v>
      </c>
      <c r="J368" s="84">
        <f t="shared" ca="1" si="157"/>
        <v>288.41770161073856</v>
      </c>
      <c r="K368" s="84">
        <f t="shared" ca="1" si="157"/>
        <v>291.30448491447879</v>
      </c>
      <c r="L368" s="84">
        <f t="shared" ca="1" si="157"/>
        <v>295.63421664684739</v>
      </c>
      <c r="M368" s="84">
        <f t="shared" ca="1" si="157"/>
        <v>311.06386356486348</v>
      </c>
      <c r="N368" s="120"/>
      <c r="O368" s="61"/>
    </row>
    <row r="369" spans="1:15" ht="13" outlineLevel="2" x14ac:dyDescent="0.3">
      <c r="A369" s="1380"/>
      <c r="B369" s="353" t="s">
        <v>541</v>
      </c>
      <c r="D369" s="515"/>
      <c r="F369" s="90"/>
      <c r="G369" s="101">
        <f t="shared" ref="G369:M369" ca="1" si="158">G349+2*G392+G370+G373</f>
        <v>84.946810985586637</v>
      </c>
      <c r="H369" s="101">
        <f t="shared" ca="1" si="158"/>
        <v>84.946810985586637</v>
      </c>
      <c r="I369" s="101">
        <f t="shared" ca="1" si="158"/>
        <v>85.342949032040863</v>
      </c>
      <c r="J369" s="101">
        <f t="shared" ca="1" si="158"/>
        <v>85.607461670957008</v>
      </c>
      <c r="K369" s="101">
        <f t="shared" ca="1" si="158"/>
        <v>86.737578345926252</v>
      </c>
      <c r="L369" s="101">
        <f t="shared" ca="1" si="158"/>
        <v>88.099359091797794</v>
      </c>
      <c r="M369" s="101">
        <f t="shared" ca="1" si="158"/>
        <v>93.300716688688652</v>
      </c>
      <c r="N369" s="120"/>
      <c r="O369" s="61"/>
    </row>
    <row r="370" spans="1:15" ht="13" outlineLevel="2" x14ac:dyDescent="0.3">
      <c r="A370" s="1380"/>
      <c r="B370" s="353" t="s">
        <v>542</v>
      </c>
      <c r="D370" s="515"/>
      <c r="F370" s="90"/>
      <c r="G370" s="208">
        <v>1</v>
      </c>
      <c r="H370" s="208">
        <v>1</v>
      </c>
      <c r="I370" s="208">
        <v>1</v>
      </c>
      <c r="J370" s="208">
        <v>1</v>
      </c>
      <c r="K370" s="208">
        <v>1</v>
      </c>
      <c r="L370" s="208">
        <v>1</v>
      </c>
      <c r="M370" s="208">
        <v>1</v>
      </c>
      <c r="N370" s="120"/>
      <c r="O370" s="61"/>
    </row>
    <row r="371" spans="1:15" ht="13" outlineLevel="2" x14ac:dyDescent="0.3">
      <c r="A371" s="1380"/>
      <c r="B371" s="353" t="s">
        <v>543</v>
      </c>
      <c r="D371" s="515"/>
      <c r="F371" s="90"/>
      <c r="G371" s="459">
        <v>10</v>
      </c>
      <c r="H371" s="459">
        <v>10</v>
      </c>
      <c r="I371" s="459">
        <v>10</v>
      </c>
      <c r="J371" s="459">
        <v>10</v>
      </c>
      <c r="K371" s="459">
        <v>10</v>
      </c>
      <c r="L371" s="459">
        <v>10</v>
      </c>
      <c r="M371" s="459">
        <v>10</v>
      </c>
      <c r="N371" s="120"/>
      <c r="O371" s="61"/>
    </row>
    <row r="372" spans="1:15" ht="13" outlineLevel="2" x14ac:dyDescent="0.3">
      <c r="A372" s="1380"/>
      <c r="B372" s="353" t="s">
        <v>544</v>
      </c>
      <c r="D372" s="515"/>
      <c r="F372" s="90"/>
      <c r="G372" s="84">
        <f t="shared" ref="G372:M372" ca="1" si="159">G367*(G368+2*(G371-G370))*G370/1000*_rho_steel/1000</f>
        <v>5.0459992197770385</v>
      </c>
      <c r="H372" s="84">
        <f t="shared" ca="1" si="159"/>
        <v>5.0459992197770385</v>
      </c>
      <c r="I372" s="84">
        <f t="shared" ca="1" si="159"/>
        <v>5.0479062392306089</v>
      </c>
      <c r="J372" s="84">
        <f t="shared" ca="1" si="159"/>
        <v>5.0938627129391651</v>
      </c>
      <c r="K372" s="84">
        <f t="shared" ca="1" si="159"/>
        <v>5.0912318418331903</v>
      </c>
      <c r="L372" s="84">
        <f t="shared" ca="1" si="159"/>
        <v>5.1874112413093219</v>
      </c>
      <c r="M372" s="84">
        <f t="shared" ca="1" si="159"/>
        <v>5.4239586387997649</v>
      </c>
      <c r="N372" s="120"/>
      <c r="O372" s="61"/>
    </row>
    <row r="373" spans="1:15" ht="13" outlineLevel="2" x14ac:dyDescent="0.3">
      <c r="A373" s="1380"/>
      <c r="B373" s="353" t="s">
        <v>545</v>
      </c>
      <c r="D373" s="515"/>
      <c r="F373" s="90"/>
      <c r="G373" s="208">
        <f>1</f>
        <v>1</v>
      </c>
      <c r="H373" s="208">
        <f>1</f>
        <v>1</v>
      </c>
      <c r="I373" s="208">
        <f>1</f>
        <v>1</v>
      </c>
      <c r="J373" s="208">
        <f>1</f>
        <v>1</v>
      </c>
      <c r="K373" s="208">
        <f>1</f>
        <v>1</v>
      </c>
      <c r="L373" s="208">
        <f>1</f>
        <v>1</v>
      </c>
      <c r="M373" s="208">
        <f>1</f>
        <v>1</v>
      </c>
      <c r="N373" s="145"/>
      <c r="O373" s="61"/>
    </row>
    <row r="374" spans="1:15" ht="13" outlineLevel="2" x14ac:dyDescent="0.3">
      <c r="A374" s="1380"/>
      <c r="B374" s="353" t="s">
        <v>546</v>
      </c>
      <c r="D374" s="515"/>
      <c r="F374" s="90"/>
      <c r="G374" s="87">
        <f t="shared" ref="G374:M374" ca="1" si="160">IF(G27=1,4*(G369-6),(G27*2+2)*(G369-6)+4*(G369-6)*2^0.5)</f>
        <v>1393.9523350347272</v>
      </c>
      <c r="H374" s="87">
        <f t="shared" ca="1" si="160"/>
        <v>1393.9523350347272</v>
      </c>
      <c r="I374" s="87">
        <f t="shared" ca="1" si="160"/>
        <v>1400.9468867836481</v>
      </c>
      <c r="J374" s="87">
        <f t="shared" ca="1" si="160"/>
        <v>1405.6173478961391</v>
      </c>
      <c r="K374" s="87">
        <f t="shared" ca="1" si="160"/>
        <v>1425.5716533109921</v>
      </c>
      <c r="L374" s="87">
        <f t="shared" ca="1" si="160"/>
        <v>1449.6164174606108</v>
      </c>
      <c r="M374" s="87">
        <f t="shared" ca="1" si="160"/>
        <v>1541.4560304484025</v>
      </c>
      <c r="N374" s="145"/>
      <c r="O374" s="61"/>
    </row>
    <row r="375" spans="1:15" ht="13" outlineLevel="2" x14ac:dyDescent="0.3">
      <c r="A375" s="1380"/>
      <c r="B375" s="353" t="s">
        <v>547</v>
      </c>
      <c r="D375" s="515"/>
      <c r="F375" s="90"/>
      <c r="G375" s="459">
        <v>15</v>
      </c>
      <c r="H375" s="459">
        <f>15</f>
        <v>15</v>
      </c>
      <c r="I375" s="459">
        <f>15</f>
        <v>15</v>
      </c>
      <c r="J375" s="459">
        <f>15</f>
        <v>15</v>
      </c>
      <c r="K375" s="459">
        <f>15</f>
        <v>15</v>
      </c>
      <c r="L375" s="459">
        <f>15</f>
        <v>15</v>
      </c>
      <c r="M375" s="459">
        <f>15</f>
        <v>15</v>
      </c>
      <c r="N375" s="145"/>
    </row>
    <row r="376" spans="1:15" ht="13" outlineLevel="2" x14ac:dyDescent="0.3">
      <c r="A376" s="1380"/>
      <c r="B376" s="353" t="s">
        <v>548</v>
      </c>
      <c r="D376" s="515"/>
      <c r="F376" s="90"/>
      <c r="G376" s="84">
        <f t="shared" ref="G376:M376" ca="1" si="161">(G367*(G368-2*G373)*G373+G374*G375)/1000*_rho_steel/1000</f>
        <v>4.8774525246332479</v>
      </c>
      <c r="H376" s="84">
        <f t="shared" ca="1" si="161"/>
        <v>4.8774525246332479</v>
      </c>
      <c r="I376" s="84">
        <f t="shared" ca="1" si="161"/>
        <v>4.8811768444045667</v>
      </c>
      <c r="J376" s="84">
        <f t="shared" ca="1" si="161"/>
        <v>4.9258415847568751</v>
      </c>
      <c r="K376" s="84">
        <f t="shared" ca="1" si="161"/>
        <v>4.9288185510720259</v>
      </c>
      <c r="L376" s="84">
        <f t="shared" ca="1" si="161"/>
        <v>5.0262226562377625</v>
      </c>
      <c r="M376" s="84">
        <f t="shared" ca="1" si="161"/>
        <v>5.2746490566200439</v>
      </c>
      <c r="N376" s="145"/>
      <c r="O376" s="61"/>
    </row>
    <row r="377" spans="1:15" ht="13" outlineLevel="2" x14ac:dyDescent="0.3">
      <c r="A377" s="1380"/>
      <c r="B377" s="353" t="s">
        <v>549</v>
      </c>
      <c r="D377" s="515"/>
      <c r="G377" s="208">
        <f>2</f>
        <v>2</v>
      </c>
      <c r="H377" s="208">
        <f>2</f>
        <v>2</v>
      </c>
      <c r="I377" s="208">
        <f>2</f>
        <v>2</v>
      </c>
      <c r="J377" s="208">
        <f>2</f>
        <v>2</v>
      </c>
      <c r="K377" s="208">
        <f>2</f>
        <v>2</v>
      </c>
      <c r="L377" s="208">
        <f>2</f>
        <v>2</v>
      </c>
      <c r="M377" s="208">
        <f>2</f>
        <v>2</v>
      </c>
      <c r="N377" s="145"/>
      <c r="O377" s="61"/>
    </row>
    <row r="378" spans="1:15" ht="13" outlineLevel="2" x14ac:dyDescent="0.3">
      <c r="A378" s="1380"/>
      <c r="B378" s="353" t="s">
        <v>550</v>
      </c>
      <c r="D378" s="515"/>
      <c r="F378" s="90"/>
      <c r="G378" s="84">
        <f t="shared" ref="G378:M378" ca="1" si="162">((G389+4)*(G349-4)+2*(G347-G389-16)*(G369+30))/100</f>
        <v>280.16638349060599</v>
      </c>
      <c r="H378" s="84">
        <f t="shared" ca="1" si="162"/>
        <v>280.16638349060599</v>
      </c>
      <c r="I378" s="84">
        <f t="shared" ca="1" si="162"/>
        <v>281.92724294405468</v>
      </c>
      <c r="J378" s="84">
        <f t="shared" ca="1" si="162"/>
        <v>283.99804211868474</v>
      </c>
      <c r="K378" s="84">
        <f t="shared" ca="1" si="162"/>
        <v>288.92978048065646</v>
      </c>
      <c r="L378" s="84">
        <f t="shared" ca="1" si="162"/>
        <v>296.95452677662985</v>
      </c>
      <c r="M378" s="84">
        <f t="shared" ca="1" si="162"/>
        <v>326.01985894957664</v>
      </c>
      <c r="N378" s="145"/>
      <c r="O378" s="61"/>
    </row>
    <row r="379" spans="1:15" ht="13" outlineLevel="2" x14ac:dyDescent="0.3">
      <c r="A379" s="1380"/>
      <c r="B379" s="353" t="s">
        <v>551</v>
      </c>
      <c r="D379" s="515"/>
      <c r="G379" s="89">
        <f t="shared" ref="G379:M379" ca="1" si="163">(G349-2)*(G298+4)*1.5/1000+6*0.2</f>
        <v>22.442134049800213</v>
      </c>
      <c r="H379" s="89">
        <f t="shared" ca="1" si="163"/>
        <v>22.442134049800213</v>
      </c>
      <c r="I379" s="89">
        <f t="shared" ca="1" si="163"/>
        <v>22.687820419103687</v>
      </c>
      <c r="J379" s="89">
        <f t="shared" ca="1" si="163"/>
        <v>22.852658571722863</v>
      </c>
      <c r="K379" s="89">
        <f t="shared" ca="1" si="163"/>
        <v>23.564013541580799</v>
      </c>
      <c r="L379" s="89">
        <f t="shared" ca="1" si="163"/>
        <v>24.436460462423248</v>
      </c>
      <c r="M379" s="89">
        <f t="shared" ca="1" si="163"/>
        <v>27.922412097585841</v>
      </c>
      <c r="N379" s="145"/>
      <c r="O379" s="61"/>
    </row>
    <row r="380" spans="1:15" ht="13" outlineLevel="2" x14ac:dyDescent="0.3">
      <c r="A380" s="1380"/>
      <c r="B380" s="353" t="s">
        <v>552</v>
      </c>
      <c r="D380" s="515"/>
      <c r="G380" s="89">
        <f t="shared" ref="G380:M380" ca="1" si="164">2*(G377/10*G378+G379)*_rho_steel/1000</f>
        <v>1.2242164076675741</v>
      </c>
      <c r="H380" s="89">
        <f t="shared" ca="1" si="164"/>
        <v>1.2242164076675741</v>
      </c>
      <c r="I380" s="89">
        <f t="shared" ca="1" si="164"/>
        <v>1.2335429965234683</v>
      </c>
      <c r="J380" s="89">
        <f t="shared" ca="1" si="164"/>
        <v>1.2425753651291729</v>
      </c>
      <c r="K380" s="89">
        <f t="shared" ca="1" si="164"/>
        <v>1.2690595263483084</v>
      </c>
      <c r="L380" s="89">
        <f t="shared" ca="1" si="164"/>
        <v>1.3077069067568878</v>
      </c>
      <c r="M380" s="89">
        <f t="shared" ca="1" si="164"/>
        <v>1.4527715886450181</v>
      </c>
      <c r="N380" s="145"/>
      <c r="O380" s="61"/>
    </row>
    <row r="381" spans="1:15" ht="13" outlineLevel="2" x14ac:dyDescent="0.3">
      <c r="A381" s="1380"/>
      <c r="B381" s="353" t="s">
        <v>553</v>
      </c>
      <c r="D381" s="515"/>
      <c r="F381" s="90"/>
      <c r="G381" s="208">
        <f>2</f>
        <v>2</v>
      </c>
      <c r="H381" s="208">
        <f>2</f>
        <v>2</v>
      </c>
      <c r="I381" s="208">
        <f>2</f>
        <v>2</v>
      </c>
      <c r="J381" s="208">
        <f>2</f>
        <v>2</v>
      </c>
      <c r="K381" s="208">
        <f>2</f>
        <v>2</v>
      </c>
      <c r="L381" s="208">
        <f>2</f>
        <v>2</v>
      </c>
      <c r="M381" s="208">
        <f>2</f>
        <v>2</v>
      </c>
      <c r="N381" s="145"/>
      <c r="O381" s="61"/>
    </row>
    <row r="382" spans="1:15" ht="13" outlineLevel="2" x14ac:dyDescent="0.3">
      <c r="A382" s="1380"/>
      <c r="B382" s="353" t="s">
        <v>554</v>
      </c>
      <c r="D382" s="515"/>
      <c r="F382" s="90"/>
      <c r="G382" s="208">
        <f>15</f>
        <v>15</v>
      </c>
      <c r="H382" s="208">
        <f>15</f>
        <v>15</v>
      </c>
      <c r="I382" s="208">
        <f>15</f>
        <v>15</v>
      </c>
      <c r="J382" s="208">
        <f>15</f>
        <v>15</v>
      </c>
      <c r="K382" s="208">
        <f>15</f>
        <v>15</v>
      </c>
      <c r="L382" s="208">
        <f>15</f>
        <v>15</v>
      </c>
      <c r="M382" s="208">
        <f>15</f>
        <v>15</v>
      </c>
      <c r="N382" s="145"/>
      <c r="O382" s="61"/>
    </row>
    <row r="383" spans="1:15" ht="13" outlineLevel="2" x14ac:dyDescent="0.3">
      <c r="A383" s="1380"/>
      <c r="B383" s="353" t="s">
        <v>555</v>
      </c>
      <c r="D383" s="515"/>
      <c r="F383" s="90"/>
      <c r="G383" s="208">
        <f>10</f>
        <v>10</v>
      </c>
      <c r="H383" s="208">
        <f>10</f>
        <v>10</v>
      </c>
      <c r="I383" s="208">
        <f>10</f>
        <v>10</v>
      </c>
      <c r="J383" s="208">
        <f>10</f>
        <v>10</v>
      </c>
      <c r="K383" s="208">
        <f>10</f>
        <v>10</v>
      </c>
      <c r="L383" s="208">
        <f>10</f>
        <v>10</v>
      </c>
      <c r="M383" s="208">
        <f>10</f>
        <v>10</v>
      </c>
      <c r="N383" s="145"/>
      <c r="O383" s="61"/>
    </row>
    <row r="384" spans="1:15" ht="13" outlineLevel="2" x14ac:dyDescent="0.3">
      <c r="A384" s="1380"/>
      <c r="B384" s="353" t="s">
        <v>556</v>
      </c>
      <c r="D384" s="515"/>
      <c r="F384" s="90"/>
      <c r="G384" s="175">
        <f>G383+G395+G396+2*0.5+2*0.4</f>
        <v>48.8</v>
      </c>
      <c r="H384" s="175">
        <f t="shared" ref="H384:M384" si="165">H383+H395+H396+2*0.5+2*0.4</f>
        <v>48.8</v>
      </c>
      <c r="I384" s="89">
        <f t="shared" si="165"/>
        <v>48.8</v>
      </c>
      <c r="J384" s="89">
        <f t="shared" si="165"/>
        <v>48.8</v>
      </c>
      <c r="K384" s="89">
        <f t="shared" si="165"/>
        <v>48.8</v>
      </c>
      <c r="L384" s="89">
        <f t="shared" si="165"/>
        <v>48.8</v>
      </c>
      <c r="M384" s="89">
        <f t="shared" si="165"/>
        <v>48.8</v>
      </c>
      <c r="N384" s="1365"/>
      <c r="O384" s="61"/>
    </row>
    <row r="385" spans="1:15" ht="13" outlineLevel="2" x14ac:dyDescent="0.3">
      <c r="A385" s="1380"/>
      <c r="B385" s="353" t="s">
        <v>557</v>
      </c>
      <c r="D385" s="515"/>
      <c r="G385" s="93">
        <f t="shared" ref="G385:M385" ca="1" si="166">(G27-1)*(G298+4)*(G349-2)*G381/1000*0.3/1000</f>
        <v>3.3987414479680338E-2</v>
      </c>
      <c r="H385" s="93">
        <f t="shared" ca="1" si="166"/>
        <v>3.3987414479680338E-2</v>
      </c>
      <c r="I385" s="93">
        <f t="shared" ca="1" si="166"/>
        <v>3.4380512670565903E-2</v>
      </c>
      <c r="J385" s="93">
        <f t="shared" ca="1" si="166"/>
        <v>3.464425371475658E-2</v>
      </c>
      <c r="K385" s="93">
        <f t="shared" ca="1" si="166"/>
        <v>3.5782421666529278E-2</v>
      </c>
      <c r="L385" s="93">
        <f t="shared" ca="1" si="166"/>
        <v>3.7178336739877194E-2</v>
      </c>
      <c r="M385" s="93">
        <f t="shared" ca="1" si="166"/>
        <v>4.2755859356137349E-2</v>
      </c>
      <c r="N385" s="145"/>
      <c r="O385" s="61"/>
    </row>
    <row r="386" spans="1:15" ht="13" outlineLevel="2" x14ac:dyDescent="0.3">
      <c r="A386" s="1380"/>
      <c r="B386" s="353" t="s">
        <v>558</v>
      </c>
      <c r="D386" s="515"/>
      <c r="G386" s="84">
        <f t="shared" ref="G386:M386" ca="1" si="167">G372+G376+G380+G385</f>
        <v>11.181655566557541</v>
      </c>
      <c r="H386" s="84">
        <f t="shared" ca="1" si="167"/>
        <v>11.181655566557541</v>
      </c>
      <c r="I386" s="84">
        <f t="shared" ca="1" si="167"/>
        <v>11.19700659282921</v>
      </c>
      <c r="J386" s="84">
        <f t="shared" ca="1" si="167"/>
        <v>11.296923916539971</v>
      </c>
      <c r="K386" s="84">
        <f t="shared" ca="1" si="167"/>
        <v>11.324892340920051</v>
      </c>
      <c r="L386" s="84">
        <f t="shared" ca="1" si="167"/>
        <v>11.558519141043849</v>
      </c>
      <c r="M386" s="84">
        <f t="shared" ca="1" si="167"/>
        <v>12.194135143420965</v>
      </c>
      <c r="N386" s="145"/>
      <c r="O386" s="61"/>
    </row>
    <row r="387" spans="1:15" ht="13" outlineLevel="2" x14ac:dyDescent="0.3">
      <c r="A387" s="1380"/>
      <c r="D387" s="515"/>
      <c r="G387" s="84"/>
      <c r="H387" s="84"/>
      <c r="I387" s="84"/>
      <c r="J387" s="84"/>
      <c r="K387" s="84"/>
      <c r="L387" s="84"/>
      <c r="M387" s="84"/>
      <c r="N387" s="145"/>
      <c r="O387" s="61"/>
    </row>
    <row r="388" spans="1:15" ht="14" outlineLevel="2" x14ac:dyDescent="0.3">
      <c r="A388" s="1380"/>
      <c r="B388" s="665" t="s">
        <v>559</v>
      </c>
      <c r="D388" s="515"/>
      <c r="F388" s="90"/>
      <c r="G388" s="84"/>
      <c r="H388" s="84"/>
      <c r="I388" s="84"/>
      <c r="J388" s="84"/>
      <c r="K388" s="84"/>
      <c r="L388" s="84"/>
      <c r="M388" s="84"/>
      <c r="N388" s="145"/>
      <c r="O388" s="61"/>
    </row>
    <row r="389" spans="1:15" ht="13" outlineLevel="2" x14ac:dyDescent="0.3">
      <c r="A389" s="1380"/>
      <c r="B389" s="353" t="s">
        <v>560</v>
      </c>
      <c r="D389" s="515"/>
      <c r="F389" s="90"/>
      <c r="G389" s="84">
        <f t="shared" ref="G389:M389" ca="1" si="168">G333</f>
        <v>205.04043295675993</v>
      </c>
      <c r="H389" s="84">
        <f t="shared" ca="1" si="168"/>
        <v>205.04043295675993</v>
      </c>
      <c r="I389" s="84">
        <f t="shared" ca="1" si="168"/>
        <v>206.22884709612259</v>
      </c>
      <c r="J389" s="84">
        <f t="shared" ca="1" si="168"/>
        <v>207.02238501287104</v>
      </c>
      <c r="K389" s="84">
        <f t="shared" ca="1" si="168"/>
        <v>210.41273503777876</v>
      </c>
      <c r="L389" s="84">
        <f t="shared" ca="1" si="168"/>
        <v>214.4980772753934</v>
      </c>
      <c r="M389" s="84">
        <f t="shared" ca="1" si="168"/>
        <v>230.10215006606597</v>
      </c>
      <c r="N389" s="145"/>
      <c r="O389" s="61"/>
    </row>
    <row r="390" spans="1:15" ht="13" outlineLevel="2" x14ac:dyDescent="0.3">
      <c r="A390" s="1380"/>
      <c r="B390" s="353" t="s">
        <v>561</v>
      </c>
      <c r="D390" s="515"/>
      <c r="F390" s="90"/>
      <c r="G390" s="208">
        <v>5</v>
      </c>
      <c r="H390" s="208">
        <f>5</f>
        <v>5</v>
      </c>
      <c r="I390" s="208">
        <f>5</f>
        <v>5</v>
      </c>
      <c r="J390" s="208">
        <f>5</f>
        <v>5</v>
      </c>
      <c r="K390" s="208">
        <f>5</f>
        <v>5</v>
      </c>
      <c r="L390" s="208">
        <f>5</f>
        <v>5</v>
      </c>
      <c r="M390" s="208">
        <f>5</f>
        <v>5</v>
      </c>
      <c r="N390" s="145"/>
      <c r="O390" s="120"/>
    </row>
    <row r="391" spans="1:15" ht="13" outlineLevel="2" x14ac:dyDescent="0.3">
      <c r="A391" s="1380"/>
      <c r="B391" s="353" t="s">
        <v>562</v>
      </c>
      <c r="D391" s="515"/>
      <c r="F391" s="90"/>
      <c r="G391" s="208">
        <f>0.3</f>
        <v>0.3</v>
      </c>
      <c r="H391" s="208">
        <f t="shared" ref="H391:M391" si="169">0.3</f>
        <v>0.3</v>
      </c>
      <c r="I391" s="208">
        <f t="shared" si="169"/>
        <v>0.3</v>
      </c>
      <c r="J391" s="208">
        <f t="shared" si="169"/>
        <v>0.3</v>
      </c>
      <c r="K391" s="208">
        <f t="shared" si="169"/>
        <v>0.3</v>
      </c>
      <c r="L391" s="208">
        <f t="shared" si="169"/>
        <v>0.3</v>
      </c>
      <c r="M391" s="208">
        <f t="shared" si="169"/>
        <v>0.3</v>
      </c>
      <c r="N391" s="145"/>
      <c r="O391" s="120"/>
    </row>
    <row r="392" spans="1:15" ht="13" outlineLevel="2" x14ac:dyDescent="0.3">
      <c r="A392" s="1380"/>
      <c r="B392" s="353" t="s">
        <v>563</v>
      </c>
      <c r="D392" s="515"/>
      <c r="F392" s="90"/>
      <c r="G392" s="84">
        <f>G390+2*G391</f>
        <v>5.6</v>
      </c>
      <c r="H392" s="84">
        <f t="shared" ref="H392:M392" si="170">H390+2*H391</f>
        <v>5.6</v>
      </c>
      <c r="I392" s="84">
        <f t="shared" si="170"/>
        <v>5.6</v>
      </c>
      <c r="J392" s="84">
        <f t="shared" si="170"/>
        <v>5.6</v>
      </c>
      <c r="K392" s="84">
        <f t="shared" si="170"/>
        <v>5.6</v>
      </c>
      <c r="L392" s="84">
        <f t="shared" si="170"/>
        <v>5.6</v>
      </c>
      <c r="M392" s="84">
        <f t="shared" si="170"/>
        <v>5.6</v>
      </c>
      <c r="N392" s="145"/>
      <c r="O392" s="120"/>
    </row>
    <row r="393" spans="1:15" ht="13" outlineLevel="2" x14ac:dyDescent="0.3">
      <c r="A393" s="1380"/>
      <c r="B393" s="353" t="s">
        <v>564</v>
      </c>
      <c r="D393" s="515"/>
      <c r="F393" s="90"/>
      <c r="G393" s="84">
        <f t="shared" ref="G393:M393" ca="1" si="171">G367-4</f>
        <v>2121.8917842490696</v>
      </c>
      <c r="H393" s="84">
        <f t="shared" ca="1" si="171"/>
        <v>2121.8917842490696</v>
      </c>
      <c r="I393" s="84">
        <f t="shared" ca="1" si="171"/>
        <v>2115.4883370495336</v>
      </c>
      <c r="J393" s="84">
        <f t="shared" ca="1" si="171"/>
        <v>2127.2715249111479</v>
      </c>
      <c r="K393" s="84">
        <f t="shared" ca="1" si="171"/>
        <v>2106.2895781958341</v>
      </c>
      <c r="L393" s="84">
        <f t="shared" ca="1" si="171"/>
        <v>2116.4724738105833</v>
      </c>
      <c r="M393" s="84">
        <f t="shared" ca="1" si="171"/>
        <v>2109.2047291165618</v>
      </c>
      <c r="N393" s="145"/>
      <c r="O393" s="120"/>
    </row>
    <row r="394" spans="1:15" ht="13" outlineLevel="2" x14ac:dyDescent="0.3">
      <c r="A394" s="1380"/>
      <c r="B394" s="353" t="s">
        <v>565</v>
      </c>
      <c r="D394" s="515"/>
      <c r="F394" s="90"/>
      <c r="G394" s="84">
        <f t="shared" ref="G394:M394" ca="1" si="172">G28*2*(2*G389*G393+2*G389*G390+2*G390*G393)*G391/1000/1000*_rho_steel</f>
        <v>16.724757674321431</v>
      </c>
      <c r="H394" s="84">
        <f t="shared" ca="1" si="172"/>
        <v>16.724757674321431</v>
      </c>
      <c r="I394" s="84">
        <f t="shared" ca="1" si="172"/>
        <v>16.768751003437576</v>
      </c>
      <c r="J394" s="84">
        <f t="shared" ca="1" si="172"/>
        <v>16.925287175098585</v>
      </c>
      <c r="K394" s="84">
        <f t="shared" ca="1" si="172"/>
        <v>17.026725923847355</v>
      </c>
      <c r="L394" s="84">
        <f t="shared" ca="1" si="172"/>
        <v>17.433341789538929</v>
      </c>
      <c r="M394" s="84">
        <f t="shared" ca="1" si="172"/>
        <v>18.608768661418349</v>
      </c>
      <c r="N394" s="145"/>
      <c r="O394" s="120"/>
    </row>
    <row r="395" spans="1:15" ht="13" outlineLevel="2" x14ac:dyDescent="0.3">
      <c r="A395" s="1380"/>
      <c r="B395" s="353" t="s">
        <v>566</v>
      </c>
      <c r="D395" s="515"/>
      <c r="F395" s="90"/>
      <c r="G395" s="208">
        <v>25</v>
      </c>
      <c r="H395" s="208">
        <v>25</v>
      </c>
      <c r="I395" s="208">
        <v>25</v>
      </c>
      <c r="J395" s="208">
        <v>25</v>
      </c>
      <c r="K395" s="208">
        <v>25</v>
      </c>
      <c r="L395" s="208">
        <v>25</v>
      </c>
      <c r="M395" s="208">
        <v>25</v>
      </c>
      <c r="N395" s="145"/>
      <c r="O395" s="61"/>
    </row>
    <row r="396" spans="1:15" ht="13" outlineLevel="2" x14ac:dyDescent="0.3">
      <c r="A396" s="1380"/>
      <c r="B396" s="353" t="s">
        <v>567</v>
      </c>
      <c r="D396" s="515"/>
      <c r="F396" s="90"/>
      <c r="G396" s="208">
        <v>12</v>
      </c>
      <c r="H396" s="208">
        <v>12</v>
      </c>
      <c r="I396" s="208">
        <v>12</v>
      </c>
      <c r="J396" s="208">
        <v>12</v>
      </c>
      <c r="K396" s="208">
        <v>12</v>
      </c>
      <c r="L396" s="208">
        <v>12</v>
      </c>
      <c r="M396" s="208">
        <v>12</v>
      </c>
      <c r="N396" s="145"/>
      <c r="O396" s="61"/>
    </row>
    <row r="397" spans="1:15" ht="13" outlineLevel="2" x14ac:dyDescent="0.3">
      <c r="A397" s="1380"/>
      <c r="B397" s="353" t="s">
        <v>568</v>
      </c>
      <c r="D397" s="515"/>
      <c r="F397" s="90"/>
      <c r="G397" s="87">
        <f t="shared" ref="G397:M397" ca="1" si="173">2*G28*G368</f>
        <v>2290.4530862299007</v>
      </c>
      <c r="H397" s="87">
        <f t="shared" ca="1" si="173"/>
        <v>2290.4530862299007</v>
      </c>
      <c r="I397" s="87">
        <f t="shared" ca="1" si="173"/>
        <v>2298.7309374824913</v>
      </c>
      <c r="J397" s="87">
        <f t="shared" ca="1" si="173"/>
        <v>2307.3416128859085</v>
      </c>
      <c r="K397" s="87">
        <f t="shared" ca="1" si="173"/>
        <v>2330.4358793158303</v>
      </c>
      <c r="L397" s="87">
        <f t="shared" ca="1" si="173"/>
        <v>2365.0737331747791</v>
      </c>
      <c r="M397" s="87">
        <f t="shared" ca="1" si="173"/>
        <v>2488.5109085189079</v>
      </c>
      <c r="N397" s="145"/>
      <c r="O397" s="61"/>
    </row>
    <row r="398" spans="1:15" ht="13" outlineLevel="2" x14ac:dyDescent="0.3">
      <c r="A398" s="1380"/>
      <c r="B398" s="353" t="s">
        <v>569</v>
      </c>
      <c r="D398" s="515"/>
      <c r="F398" s="90"/>
      <c r="G398" s="87">
        <f t="shared" ref="G398:M398" ca="1" si="174">2*G28*(6+G349)</f>
        <v>621.97448788469308</v>
      </c>
      <c r="H398" s="87">
        <f t="shared" ca="1" si="174"/>
        <v>621.97448788469308</v>
      </c>
      <c r="I398" s="87">
        <f t="shared" ca="1" si="174"/>
        <v>625.14359225632688</v>
      </c>
      <c r="J398" s="87">
        <f t="shared" ca="1" si="174"/>
        <v>627.25969336765604</v>
      </c>
      <c r="K398" s="87">
        <f t="shared" ca="1" si="174"/>
        <v>636.30062676740999</v>
      </c>
      <c r="L398" s="87">
        <f t="shared" ca="1" si="174"/>
        <v>647.19487273438233</v>
      </c>
      <c r="M398" s="87">
        <f t="shared" ca="1" si="174"/>
        <v>688.8057335095092</v>
      </c>
      <c r="N398" s="145"/>
      <c r="O398" s="62"/>
    </row>
    <row r="399" spans="1:15" ht="13" outlineLevel="2" x14ac:dyDescent="0.3">
      <c r="A399" s="1380"/>
      <c r="B399" s="353" t="s">
        <v>570</v>
      </c>
      <c r="D399" s="515"/>
      <c r="F399" s="90"/>
      <c r="G399" s="87">
        <f t="shared" ref="G399:M399" ca="1" si="175">G397*((G395+1)^2-G395^2)*PI()/4/1000*_rho_steel</f>
        <v>715.60944008519198</v>
      </c>
      <c r="H399" s="87">
        <f t="shared" ca="1" si="175"/>
        <v>715.60944008519198</v>
      </c>
      <c r="I399" s="87">
        <f t="shared" ca="1" si="175"/>
        <v>718.19570065328116</v>
      </c>
      <c r="J399" s="87">
        <f t="shared" ca="1" si="175"/>
        <v>720.88594593323899</v>
      </c>
      <c r="K399" s="87">
        <f t="shared" ca="1" si="175"/>
        <v>728.10131968110181</v>
      </c>
      <c r="L399" s="87">
        <f t="shared" ca="1" si="175"/>
        <v>738.92327248807021</v>
      </c>
      <c r="M399" s="87">
        <f t="shared" ca="1" si="175"/>
        <v>777.4889206843867</v>
      </c>
      <c r="N399" s="145"/>
      <c r="O399" s="62"/>
    </row>
    <row r="400" spans="1:15" ht="13" outlineLevel="2" x14ac:dyDescent="0.3">
      <c r="A400" s="1380"/>
      <c r="B400" s="353" t="s">
        <v>571</v>
      </c>
      <c r="D400" s="515"/>
      <c r="F400" s="90"/>
      <c r="G400" s="87">
        <f t="shared" ref="G400:M400" ca="1" si="176">G398*(12.8^2-12^2)*PI()/4/1000*_rho_steel+4*G28*10</f>
        <v>235.59598376215436</v>
      </c>
      <c r="H400" s="87">
        <f t="shared" ca="1" si="176"/>
        <v>235.59598376215436</v>
      </c>
      <c r="I400" s="87">
        <f t="shared" ca="1" si="176"/>
        <v>235.98116284471348</v>
      </c>
      <c r="J400" s="87">
        <f t="shared" ca="1" si="176"/>
        <v>236.23835787178791</v>
      </c>
      <c r="K400" s="87">
        <f t="shared" ca="1" si="176"/>
        <v>237.33721042570363</v>
      </c>
      <c r="L400" s="87">
        <f t="shared" ca="1" si="176"/>
        <v>238.66131817813101</v>
      </c>
      <c r="M400" s="87">
        <f t="shared" ca="1" si="176"/>
        <v>243.71878277958734</v>
      </c>
      <c r="N400" s="145"/>
      <c r="O400" s="61"/>
    </row>
    <row r="401" spans="1:20" ht="13" outlineLevel="2" x14ac:dyDescent="0.3">
      <c r="A401" s="1380"/>
      <c r="B401" s="353" t="s">
        <v>572</v>
      </c>
      <c r="D401" s="515"/>
      <c r="F401" s="90"/>
      <c r="G401" s="84">
        <f t="shared" ref="G401:M401" ca="1" si="177">(G399+G400)/1000</f>
        <v>0.9512054238473463</v>
      </c>
      <c r="H401" s="84">
        <f t="shared" ca="1" si="177"/>
        <v>0.9512054238473463</v>
      </c>
      <c r="I401" s="84">
        <f t="shared" ca="1" si="177"/>
        <v>0.95417686349799469</v>
      </c>
      <c r="J401" s="84">
        <f t="shared" ca="1" si="177"/>
        <v>0.95712430380502689</v>
      </c>
      <c r="K401" s="84">
        <f t="shared" ca="1" si="177"/>
        <v>0.96543853010680547</v>
      </c>
      <c r="L401" s="84">
        <f t="shared" ca="1" si="177"/>
        <v>0.97758459066620118</v>
      </c>
      <c r="M401" s="84">
        <f t="shared" ca="1" si="177"/>
        <v>1.0212077034639739</v>
      </c>
      <c r="N401" s="145"/>
      <c r="O401" s="61"/>
    </row>
    <row r="402" spans="1:20" ht="13" outlineLevel="2" x14ac:dyDescent="0.3">
      <c r="A402" s="1380"/>
      <c r="B402" s="353" t="s">
        <v>573</v>
      </c>
      <c r="D402" s="515"/>
      <c r="G402" s="93">
        <f ca="1">((G389*G390*G393*G28)+(G397*30^2*PI()/4)+(G398*15^2*PI()/4))/1000*Thermal!G102/1000</f>
        <v>11.160538753228929</v>
      </c>
      <c r="H402" s="93">
        <f ca="1">((H389*H390*H393*H28)+(H397*30^2*PI()/4)+(H398*15^2*PI()/4))/1000*Thermal!H102/1000</f>
        <v>11.160538753228929</v>
      </c>
      <c r="I402" s="93">
        <f ca="1">((I389*I390*I393*I28)+(I397*30^2*PI()/4)+(I398*15^2*PI()/4))/1000*Thermal!I102/1000</f>
        <v>11.193102607352818</v>
      </c>
      <c r="J402" s="93">
        <f ca="1">((J389*J390*J393*J28)+(J397*30^2*PI()/4)+(J398*15^2*PI()/4))/1000*Thermal!J102/1000</f>
        <v>11.288142736877054</v>
      </c>
      <c r="K402" s="93">
        <f ca="1">((K389*K390*K393*K28)+(K397*30^2*PI()/4)+(K398*15^2*PI()/4))/1000*Thermal!K102/1000</f>
        <v>11.367182101703657</v>
      </c>
      <c r="L402" s="93">
        <f ca="1">((L389*L390*L393*L28)+(L397*30^2*PI()/4)+(L398*15^2*PI()/4))/1000*Thermal!L102/1000</f>
        <v>11.626327257593768</v>
      </c>
      <c r="M402" s="93">
        <f ca="1">((M389*M390*M393*M28)+(M397*30^2*PI()/4)+(M398*15^2*PI()/4))/1000*Thermal!M102/1000</f>
        <v>12.398515421271689</v>
      </c>
      <c r="N402" s="145"/>
      <c r="O402" s="61"/>
    </row>
    <row r="403" spans="1:20" ht="13" outlineLevel="2" x14ac:dyDescent="0.3">
      <c r="A403" s="1380"/>
      <c r="B403" s="353" t="s">
        <v>574</v>
      </c>
      <c r="D403" s="515"/>
      <c r="F403" s="90"/>
      <c r="G403" s="84">
        <f t="shared" ref="G403:L403" ca="1" si="178">G394+G401+G402</f>
        <v>28.836501851397706</v>
      </c>
      <c r="H403" s="84">
        <f t="shared" ca="1" si="178"/>
        <v>28.836501851397706</v>
      </c>
      <c r="I403" s="84">
        <f t="shared" ca="1" si="178"/>
        <v>28.916030474288391</v>
      </c>
      <c r="J403" s="84">
        <f t="shared" ca="1" si="178"/>
        <v>29.170554215780669</v>
      </c>
      <c r="K403" s="84">
        <f t="shared" ca="1" si="178"/>
        <v>29.359346555657815</v>
      </c>
      <c r="L403" s="84">
        <f t="shared" ca="1" si="178"/>
        <v>30.037253637798898</v>
      </c>
      <c r="M403" s="84">
        <f ca="1">M394+M401+M402</f>
        <v>32.028491786154014</v>
      </c>
      <c r="N403" s="145"/>
      <c r="O403" s="120"/>
    </row>
    <row r="404" spans="1:20" ht="13" outlineLevel="2" x14ac:dyDescent="0.3">
      <c r="A404" s="1380"/>
      <c r="D404" s="515"/>
      <c r="F404" s="90"/>
      <c r="G404" s="84"/>
      <c r="H404" s="84"/>
      <c r="I404" s="84"/>
      <c r="J404" s="84"/>
      <c r="K404" s="84"/>
      <c r="L404" s="84"/>
      <c r="M404" s="84"/>
      <c r="N404" s="145"/>
      <c r="O404" s="120"/>
    </row>
    <row r="405" spans="1:20" ht="14" outlineLevel="2" x14ac:dyDescent="0.3">
      <c r="A405" s="1380"/>
      <c r="B405" s="665" t="s">
        <v>575</v>
      </c>
      <c r="D405" s="515"/>
      <c r="F405" s="445"/>
      <c r="N405" s="145"/>
      <c r="O405" s="120"/>
    </row>
    <row r="406" spans="1:20" outlineLevel="2" x14ac:dyDescent="0.25">
      <c r="B406" s="353" t="s">
        <v>576</v>
      </c>
      <c r="D406" s="515"/>
      <c r="G406" s="87">
        <f t="shared" ref="G406:M406" ca="1" si="179">G367+G409+2*G412</f>
        <v>2151.8917842490696</v>
      </c>
      <c r="H406" s="87">
        <f t="shared" ca="1" si="179"/>
        <v>2151.8917842490696</v>
      </c>
      <c r="I406" s="87">
        <f t="shared" ca="1" si="179"/>
        <v>2145.4883370495336</v>
      </c>
      <c r="J406" s="87">
        <f t="shared" ca="1" si="179"/>
        <v>2157.2715249111479</v>
      </c>
      <c r="K406" s="87">
        <f t="shared" ca="1" si="179"/>
        <v>2136.2895781958341</v>
      </c>
      <c r="L406" s="87">
        <f t="shared" ca="1" si="179"/>
        <v>2146.4724738105833</v>
      </c>
      <c r="M406" s="87">
        <f t="shared" ca="1" si="179"/>
        <v>2139.2047291165618</v>
      </c>
      <c r="N406" s="145"/>
      <c r="O406" s="61"/>
    </row>
    <row r="407" spans="1:20" ht="13" outlineLevel="2" x14ac:dyDescent="0.3">
      <c r="A407" s="1380"/>
      <c r="B407" s="353" t="s">
        <v>577</v>
      </c>
      <c r="D407" s="515"/>
      <c r="G407" s="87">
        <f t="shared" ref="G407:M407" ca="1" si="180">G28*G368+G409+G410+2*G412</f>
        <v>1206.2265431149503</v>
      </c>
      <c r="H407" s="87">
        <f t="shared" ca="1" si="180"/>
        <v>1206.2265431149503</v>
      </c>
      <c r="I407" s="87">
        <f t="shared" ca="1" si="180"/>
        <v>1210.3654687412456</v>
      </c>
      <c r="J407" s="87">
        <f t="shared" ca="1" si="180"/>
        <v>1214.6708064429542</v>
      </c>
      <c r="K407" s="87">
        <f t="shared" ca="1" si="180"/>
        <v>1226.2179396579152</v>
      </c>
      <c r="L407" s="87">
        <f t="shared" ca="1" si="180"/>
        <v>1243.5368665873896</v>
      </c>
      <c r="M407" s="87">
        <f t="shared" ca="1" si="180"/>
        <v>1305.2554542594539</v>
      </c>
      <c r="N407" s="145"/>
      <c r="O407" s="145"/>
      <c r="P407" s="145"/>
      <c r="Q407" s="145"/>
      <c r="R407" s="145"/>
      <c r="S407" s="145"/>
      <c r="T407" s="145"/>
    </row>
    <row r="408" spans="1:20" ht="13" outlineLevel="2" x14ac:dyDescent="0.3">
      <c r="A408" s="1380"/>
      <c r="B408" s="353" t="s">
        <v>578</v>
      </c>
      <c r="D408" s="515"/>
      <c r="G408" s="87">
        <f t="shared" ref="G408:M408" ca="1" si="181">G369+G409+G412+G413</f>
        <v>111.94681098558664</v>
      </c>
      <c r="H408" s="87">
        <f t="shared" ca="1" si="181"/>
        <v>111.94681098558664</v>
      </c>
      <c r="I408" s="87">
        <f t="shared" ca="1" si="181"/>
        <v>112.34294903204086</v>
      </c>
      <c r="J408" s="87">
        <f t="shared" ca="1" si="181"/>
        <v>112.60746167095701</v>
      </c>
      <c r="K408" s="87">
        <f t="shared" ca="1" si="181"/>
        <v>113.73757834592625</v>
      </c>
      <c r="L408" s="87">
        <f t="shared" ca="1" si="181"/>
        <v>115.09935909179779</v>
      </c>
      <c r="M408" s="87">
        <f t="shared" ca="1" si="181"/>
        <v>120.30071668868865</v>
      </c>
      <c r="N408" s="145"/>
      <c r="O408" s="145"/>
      <c r="P408" s="145"/>
      <c r="Q408" s="145"/>
      <c r="R408" s="145"/>
      <c r="S408" s="145"/>
      <c r="T408" s="145"/>
    </row>
    <row r="409" spans="1:20" ht="13" outlineLevel="2" x14ac:dyDescent="0.3">
      <c r="A409" s="1380"/>
      <c r="B409" s="353" t="s">
        <v>579</v>
      </c>
      <c r="D409" s="515"/>
      <c r="G409" s="102">
        <f>2</f>
        <v>2</v>
      </c>
      <c r="H409" s="102">
        <f>2</f>
        <v>2</v>
      </c>
      <c r="I409" s="102">
        <f>2</f>
        <v>2</v>
      </c>
      <c r="J409" s="102">
        <f>2</f>
        <v>2</v>
      </c>
      <c r="K409" s="102">
        <f>2</f>
        <v>2</v>
      </c>
      <c r="L409" s="102">
        <f>2</f>
        <v>2</v>
      </c>
      <c r="M409" s="102">
        <f>2</f>
        <v>2</v>
      </c>
      <c r="N409" s="145"/>
      <c r="O409" s="145"/>
      <c r="P409" s="145"/>
      <c r="Q409" s="145"/>
      <c r="R409" s="145"/>
      <c r="S409" s="145"/>
      <c r="T409" s="145"/>
    </row>
    <row r="410" spans="1:20" ht="13" outlineLevel="2" x14ac:dyDescent="0.3">
      <c r="A410" s="1380"/>
      <c r="B410" s="353" t="s">
        <v>580</v>
      </c>
      <c r="D410" s="515"/>
      <c r="G410" s="147">
        <f t="shared" ref="G410:M410" si="182">10*G193+15*(G201+MOD(G28+1,2))+5*(G193+(G201+MOD(G28+1,2))-1)</f>
        <v>35</v>
      </c>
      <c r="H410" s="147">
        <f t="shared" si="182"/>
        <v>35</v>
      </c>
      <c r="I410" s="147">
        <f t="shared" si="182"/>
        <v>35</v>
      </c>
      <c r="J410" s="147">
        <f t="shared" si="182"/>
        <v>35</v>
      </c>
      <c r="K410" s="147">
        <f t="shared" si="182"/>
        <v>35</v>
      </c>
      <c r="L410" s="147">
        <f t="shared" si="182"/>
        <v>35</v>
      </c>
      <c r="M410" s="147">
        <f t="shared" si="182"/>
        <v>35</v>
      </c>
      <c r="N410" s="145"/>
      <c r="O410" s="61"/>
    </row>
    <row r="411" spans="1:20" ht="13" outlineLevel="2" x14ac:dyDescent="0.3">
      <c r="A411" s="1380"/>
      <c r="B411" s="353" t="s">
        <v>581</v>
      </c>
      <c r="D411" s="515"/>
      <c r="G411" s="459">
        <f>10</f>
        <v>10</v>
      </c>
      <c r="H411" s="459">
        <f>10</f>
        <v>10</v>
      </c>
      <c r="I411" s="459">
        <f>10</f>
        <v>10</v>
      </c>
      <c r="J411" s="459">
        <f>10</f>
        <v>10</v>
      </c>
      <c r="K411" s="459">
        <f>10</f>
        <v>10</v>
      </c>
      <c r="L411" s="459">
        <f>10</f>
        <v>10</v>
      </c>
      <c r="M411" s="459">
        <f>10</f>
        <v>10</v>
      </c>
      <c r="N411" s="145"/>
      <c r="O411" s="61"/>
    </row>
    <row r="412" spans="1:20" ht="13" outlineLevel="2" x14ac:dyDescent="0.3">
      <c r="A412" s="1380"/>
      <c r="B412" s="353" t="s">
        <v>582</v>
      </c>
      <c r="D412" s="515"/>
      <c r="F412" s="445"/>
      <c r="G412" s="147">
        <f t="shared" ref="G412:M412" si="183">G411+G417+G418</f>
        <v>12</v>
      </c>
      <c r="H412" s="147">
        <f t="shared" si="183"/>
        <v>12</v>
      </c>
      <c r="I412" s="147">
        <f t="shared" si="183"/>
        <v>12</v>
      </c>
      <c r="J412" s="147">
        <f t="shared" si="183"/>
        <v>12</v>
      </c>
      <c r="K412" s="147">
        <f t="shared" si="183"/>
        <v>12</v>
      </c>
      <c r="L412" s="147">
        <f t="shared" si="183"/>
        <v>12</v>
      </c>
      <c r="M412" s="147">
        <f t="shared" si="183"/>
        <v>12</v>
      </c>
      <c r="N412" s="145"/>
      <c r="O412" s="61"/>
    </row>
    <row r="413" spans="1:20" ht="13" outlineLevel="2" x14ac:dyDescent="0.3">
      <c r="A413" s="1380"/>
      <c r="B413" s="353" t="s">
        <v>583</v>
      </c>
      <c r="D413" s="515"/>
      <c r="F413" s="445"/>
      <c r="G413" s="147">
        <f t="shared" ref="G413:M413" si="184">G411+G429+G430</f>
        <v>13</v>
      </c>
      <c r="H413" s="147">
        <f t="shared" si="184"/>
        <v>13</v>
      </c>
      <c r="I413" s="147">
        <f t="shared" si="184"/>
        <v>13</v>
      </c>
      <c r="J413" s="147">
        <f t="shared" si="184"/>
        <v>13</v>
      </c>
      <c r="K413" s="147">
        <f t="shared" si="184"/>
        <v>13</v>
      </c>
      <c r="L413" s="147">
        <f t="shared" si="184"/>
        <v>13</v>
      </c>
      <c r="M413" s="147">
        <f t="shared" si="184"/>
        <v>13</v>
      </c>
      <c r="N413" s="145"/>
      <c r="O413" s="61"/>
    </row>
    <row r="414" spans="1:20" ht="13" outlineLevel="2" x14ac:dyDescent="0.3">
      <c r="A414" s="1380"/>
      <c r="B414" s="353" t="s">
        <v>584</v>
      </c>
      <c r="D414" s="515"/>
      <c r="F414" s="445"/>
      <c r="G414" s="147">
        <f t="shared" ref="G414:M414" ca="1" si="185">G28*G368+G409+G410</f>
        <v>1182.2265431149503</v>
      </c>
      <c r="H414" s="147">
        <f t="shared" ca="1" si="185"/>
        <v>1182.2265431149503</v>
      </c>
      <c r="I414" s="147">
        <f t="shared" ca="1" si="185"/>
        <v>1186.3654687412456</v>
      </c>
      <c r="J414" s="147">
        <f t="shared" ca="1" si="185"/>
        <v>1190.6708064429542</v>
      </c>
      <c r="K414" s="147">
        <f t="shared" ca="1" si="185"/>
        <v>1202.2179396579152</v>
      </c>
      <c r="L414" s="147">
        <f t="shared" ca="1" si="185"/>
        <v>1219.5368665873896</v>
      </c>
      <c r="M414" s="147">
        <f t="shared" ca="1" si="185"/>
        <v>1281.2554542594539</v>
      </c>
      <c r="N414" s="145"/>
      <c r="O414" s="61"/>
    </row>
    <row r="415" spans="1:20" ht="13" outlineLevel="2" x14ac:dyDescent="0.3">
      <c r="A415" s="1380"/>
      <c r="D415" s="515"/>
      <c r="F415" s="445"/>
      <c r="G415" s="147"/>
      <c r="H415" s="147"/>
      <c r="I415" s="147"/>
      <c r="J415" s="147"/>
      <c r="K415" s="147"/>
      <c r="L415" s="147"/>
      <c r="M415" s="147"/>
      <c r="N415" s="145"/>
      <c r="O415" s="61"/>
    </row>
    <row r="416" spans="1:20" ht="13" outlineLevel="2" x14ac:dyDescent="0.3">
      <c r="A416" s="1380"/>
      <c r="B416" s="327" t="s">
        <v>585</v>
      </c>
      <c r="D416" s="515"/>
      <c r="F416" s="445"/>
      <c r="N416" s="145"/>
      <c r="O416" s="61"/>
    </row>
    <row r="417" spans="1:15" ht="13" outlineLevel="2" x14ac:dyDescent="0.3">
      <c r="A417" s="1380"/>
      <c r="B417" s="353" t="s">
        <v>586</v>
      </c>
      <c r="D417" s="515"/>
      <c r="F417" s="445"/>
      <c r="G417" s="208">
        <v>1</v>
      </c>
      <c r="H417" s="208">
        <v>1</v>
      </c>
      <c r="I417" s="208">
        <v>1</v>
      </c>
      <c r="J417" s="208">
        <v>1</v>
      </c>
      <c r="K417" s="208">
        <v>1</v>
      </c>
      <c r="L417" s="208">
        <v>1</v>
      </c>
      <c r="M417" s="208">
        <v>1</v>
      </c>
      <c r="N417" s="145"/>
      <c r="O417" s="61"/>
    </row>
    <row r="418" spans="1:15" ht="13" outlineLevel="2" x14ac:dyDescent="0.3">
      <c r="A418" s="1380"/>
      <c r="B418" s="353" t="s">
        <v>587</v>
      </c>
      <c r="D418" s="515"/>
      <c r="F418" s="445"/>
      <c r="G418" s="208">
        <f>1</f>
        <v>1</v>
      </c>
      <c r="H418" s="208">
        <f>1</f>
        <v>1</v>
      </c>
      <c r="I418" s="208">
        <f>1</f>
        <v>1</v>
      </c>
      <c r="J418" s="208">
        <f>1</f>
        <v>1</v>
      </c>
      <c r="K418" s="208">
        <f>1</f>
        <v>1</v>
      </c>
      <c r="L418" s="208">
        <f>1</f>
        <v>1</v>
      </c>
      <c r="M418" s="208">
        <f>1</f>
        <v>1</v>
      </c>
      <c r="N418" s="145"/>
      <c r="O418" s="61"/>
    </row>
    <row r="419" spans="1:15" ht="13" outlineLevel="2" x14ac:dyDescent="0.3">
      <c r="A419" s="1380"/>
      <c r="B419" s="353" t="s">
        <v>588</v>
      </c>
      <c r="D419" s="515"/>
      <c r="F419" s="445"/>
      <c r="G419" s="89" t="str">
        <f ca="1">INDEX(Lists!$AP$133:$AP$137, MATCH(G29*G350, Lists!$AQ$133:$AQ$137, 1))</f>
        <v>40 x 40 x 4</v>
      </c>
      <c r="H419" s="89" t="str">
        <f t="shared" ref="H419:M419" ca="1" si="186">IF(H29*H350&lt;40,"30 x 30 x 3","40 x 40 x 4")</f>
        <v>40 x 40 x 4</v>
      </c>
      <c r="I419" s="89" t="str">
        <f t="shared" ca="1" si="186"/>
        <v>40 x 40 x 4</v>
      </c>
      <c r="J419" s="89" t="str">
        <f t="shared" ca="1" si="186"/>
        <v>40 x 40 x 4</v>
      </c>
      <c r="K419" s="89" t="str">
        <f t="shared" ca="1" si="186"/>
        <v>40 x 40 x 4</v>
      </c>
      <c r="L419" s="89" t="str">
        <f t="shared" ca="1" si="186"/>
        <v>40 x 40 x 4</v>
      </c>
      <c r="M419" s="89" t="str">
        <f t="shared" ca="1" si="186"/>
        <v>40 x 40 x 4</v>
      </c>
      <c r="N419" s="145"/>
      <c r="O419" s="61"/>
    </row>
    <row r="420" spans="1:15" ht="13" outlineLevel="2" x14ac:dyDescent="0.3">
      <c r="A420" s="1380"/>
      <c r="B420" s="353" t="s">
        <v>589</v>
      </c>
      <c r="D420" s="515"/>
      <c r="F420" s="445"/>
      <c r="G420" s="89">
        <f ca="1">INDEX(Lists!$AU$133:$AU$137, MATCH(G29*G350, Lists!$AQ$133:$AQ$137, 1))*_rho_steel/1000</f>
        <v>2.3712</v>
      </c>
      <c r="H420" s="89">
        <f ca="1">INDEX(Lists!$AU$133:$AU$137, MATCH(H29*H350, Lists!$AQ$133:$AQ$137, 1))*_rho_steel/1000</f>
        <v>2.3712</v>
      </c>
      <c r="I420" s="89">
        <f ca="1">INDEX(Lists!$AU$133:$AU$137, MATCH(I29*I350, Lists!$AQ$133:$AQ$137, 1))*_rho_steel/1000</f>
        <v>2.3712</v>
      </c>
      <c r="J420" s="89">
        <f ca="1">INDEX(Lists!$AU$133:$AU$137, MATCH(J29*J350, Lists!$AQ$133:$AQ$137, 1))*_rho_steel/1000</f>
        <v>2.3712</v>
      </c>
      <c r="K420" s="89">
        <f ca="1">INDEX(Lists!$AU$133:$AU$137, MATCH(K29*K350, Lists!$AQ$133:$AQ$137, 1))*_rho_steel/1000</f>
        <v>2.3712</v>
      </c>
      <c r="L420" s="89">
        <f ca="1">INDEX(Lists!$AU$133:$AU$137, MATCH(L29*L350, Lists!$AQ$133:$AQ$137, 1))*_rho_steel/1000</f>
        <v>2.3712</v>
      </c>
      <c r="M420" s="89">
        <f ca="1">INDEX(Lists!$AU$133:$AU$137, MATCH(M29*M350, Lists!$AQ$133:$AQ$137, 1))*_rho_steel/1000</f>
        <v>2.3712</v>
      </c>
      <c r="N420" s="145"/>
      <c r="O420" s="61"/>
    </row>
    <row r="421" spans="1:15" ht="13" outlineLevel="2" x14ac:dyDescent="0.3">
      <c r="A421" s="1380"/>
      <c r="B421" s="353" t="s">
        <v>590</v>
      </c>
      <c r="D421" s="515"/>
      <c r="F421" s="445"/>
      <c r="G421" s="1356"/>
      <c r="H421" s="1356"/>
      <c r="I421" s="1356"/>
      <c r="J421" s="1356"/>
      <c r="K421" s="1356"/>
      <c r="L421" s="1356"/>
      <c r="M421" s="1356"/>
      <c r="N421" s="145"/>
      <c r="O421" s="61"/>
    </row>
    <row r="422" spans="1:15" ht="13" outlineLevel="2" x14ac:dyDescent="0.3">
      <c r="A422" s="1380"/>
      <c r="B422" s="353" t="s">
        <v>591</v>
      </c>
      <c r="D422" s="515"/>
      <c r="F422" s="445"/>
      <c r="G422" s="84">
        <f t="shared" ref="G422" ca="1" si="187">IF(G421="", G420, G421)*(G406*2+2*G407)/1000</f>
        <v>15.925540355691128</v>
      </c>
      <c r="H422" s="84">
        <f t="shared" ref="H422" ca="1" si="188">IF(H421="", H420, H421)*(H406*2+2*H407)/1000</f>
        <v>15.925540355691128</v>
      </c>
      <c r="I422" s="84">
        <f t="shared" ref="I422" ca="1" si="189">IF(I421="", I420, I421)*(I406*2+2*I407)/1000</f>
        <v>15.914801088582189</v>
      </c>
      <c r="J422" s="84">
        <f t="shared" ref="J422" ca="1" si="190">IF(J421="", J420, J421)*(J406*2+2*J407)/1000</f>
        <v>15.991099312213693</v>
      </c>
      <c r="K422" s="84">
        <f t="shared" ref="K422" ca="1" si="191">IF(K421="", K420, K421)*(K406*2+2*K407)/1000</f>
        <v>15.94635565266962</v>
      </c>
      <c r="L422" s="84">
        <f t="shared" ref="L422" ca="1" si="192">IF(L421="", L420, L421)*(L406*2+2*L407)/1000</f>
        <v>16.076780295903344</v>
      </c>
      <c r="M422" s="84">
        <f t="shared" ref="M422" ca="1" si="193">IF(M421="", M420, M421)*(M406*2+2*M407)/1000</f>
        <v>16.335007973642416</v>
      </c>
      <c r="N422" s="145"/>
      <c r="O422" s="353"/>
    </row>
    <row r="423" spans="1:15" ht="13" outlineLevel="2" x14ac:dyDescent="0.3">
      <c r="A423" s="1380"/>
      <c r="B423" s="353" t="s">
        <v>592</v>
      </c>
      <c r="D423" s="515"/>
      <c r="F423" s="445"/>
      <c r="G423" s="84">
        <f ca="1">((G406-2*G412)*G414*G418/1000)*_rho_steel/1000</f>
        <v>19.622071156080754</v>
      </c>
      <c r="H423" s="84">
        <f t="shared" ref="H423:M423" ca="1" si="194">((H406-2*H412)*H414*H418/1000)*_rho_steel/1000</f>
        <v>19.622071156080754</v>
      </c>
      <c r="I423" s="84">
        <f t="shared" ca="1" si="194"/>
        <v>19.631511942220275</v>
      </c>
      <c r="J423" s="84">
        <f t="shared" ca="1" si="194"/>
        <v>19.81218819003643</v>
      </c>
      <c r="K423" s="84">
        <f t="shared" ca="1" si="194"/>
        <v>19.807572912343964</v>
      </c>
      <c r="L423" s="84">
        <f t="shared" ca="1" si="194"/>
        <v>20.189780755005764</v>
      </c>
      <c r="M423" s="84">
        <f t="shared" ca="1" si="194"/>
        <v>21.138917249236684</v>
      </c>
      <c r="N423" s="145"/>
      <c r="O423" s="353"/>
    </row>
    <row r="424" spans="1:15" ht="13" outlineLevel="2" x14ac:dyDescent="0.3">
      <c r="A424" s="1380"/>
      <c r="B424" s="353" t="s">
        <v>593</v>
      </c>
      <c r="D424" s="515"/>
      <c r="F424" s="445"/>
      <c r="G424" s="84">
        <f t="shared" ref="G424:M424" ca="1" si="195">(((G406-2*G412)*G414+2*((G406-2*G412)+G414)*(G412-4))*G417/1000)*_rho_Al/1000</f>
        <v>6.9352525119239257</v>
      </c>
      <c r="H424" s="84">
        <f t="shared" ca="1" si="195"/>
        <v>6.9352525119239257</v>
      </c>
      <c r="I424" s="84">
        <f t="shared" ca="1" si="195"/>
        <v>6.9384226490248713</v>
      </c>
      <c r="J424" s="84">
        <f t="shared" ca="1" si="195"/>
        <v>7.0016594514194157</v>
      </c>
      <c r="K424" s="84">
        <f t="shared" ca="1" si="195"/>
        <v>6.9996542713518846</v>
      </c>
      <c r="L424" s="84">
        <f t="shared" ca="1" si="195"/>
        <v>7.133145064853343</v>
      </c>
      <c r="M424" s="84">
        <f t="shared" ca="1" si="195"/>
        <v>7.4640445892730041</v>
      </c>
      <c r="N424" s="145"/>
      <c r="O424" s="353"/>
    </row>
    <row r="425" spans="1:15" ht="15" outlineLevel="2" x14ac:dyDescent="0.3">
      <c r="A425" s="1380"/>
      <c r="B425" s="353" t="s">
        <v>594</v>
      </c>
      <c r="D425" s="515"/>
      <c r="F425" s="445"/>
      <c r="G425" s="522">
        <f t="shared" ref="G425:M425" ca="1" si="196">((G406-2*G412)*G414)/100/10000</f>
        <v>2.5156501482154812</v>
      </c>
      <c r="H425" s="522">
        <f t="shared" ca="1" si="196"/>
        <v>2.5156501482154812</v>
      </c>
      <c r="I425" s="522">
        <f t="shared" ca="1" si="196"/>
        <v>2.5168605054128554</v>
      </c>
      <c r="J425" s="522">
        <f t="shared" ca="1" si="196"/>
        <v>2.5400241269277473</v>
      </c>
      <c r="K425" s="522">
        <f t="shared" ca="1" si="196"/>
        <v>2.5394324246594819</v>
      </c>
      <c r="L425" s="522">
        <f t="shared" ca="1" si="196"/>
        <v>2.5884334301289442</v>
      </c>
      <c r="M425" s="522">
        <f t="shared" ca="1" si="196"/>
        <v>2.7101175960559853</v>
      </c>
      <c r="N425" s="145"/>
      <c r="O425" s="353"/>
    </row>
    <row r="426" spans="1:15" ht="13" outlineLevel="2" x14ac:dyDescent="0.3">
      <c r="A426" s="1380"/>
      <c r="B426" s="353" t="s">
        <v>595</v>
      </c>
      <c r="D426" s="515"/>
      <c r="F426" s="445"/>
      <c r="G426" s="84">
        <f t="shared" ref="G426:M426" ca="1" si="197">G422+G423+G424+G425*G411*0.032</f>
        <v>43.287872071124767</v>
      </c>
      <c r="H426" s="84">
        <f t="shared" ca="1" si="197"/>
        <v>43.287872071124767</v>
      </c>
      <c r="I426" s="84">
        <f t="shared" ca="1" si="197"/>
        <v>43.290131041559455</v>
      </c>
      <c r="J426" s="84">
        <f t="shared" ca="1" si="197"/>
        <v>43.617754674286417</v>
      </c>
      <c r="K426" s="84">
        <f t="shared" ca="1" si="197"/>
        <v>43.566201212256502</v>
      </c>
      <c r="L426" s="84">
        <f t="shared" ca="1" si="197"/>
        <v>44.228004813403707</v>
      </c>
      <c r="M426" s="84">
        <f t="shared" ca="1" si="197"/>
        <v>45.805207442890023</v>
      </c>
      <c r="N426" s="145"/>
      <c r="O426" s="353"/>
    </row>
    <row r="427" spans="1:15" ht="13" outlineLevel="2" x14ac:dyDescent="0.3">
      <c r="A427" s="1380"/>
      <c r="D427" s="515"/>
      <c r="F427" s="445"/>
      <c r="G427" s="84"/>
      <c r="H427" s="84"/>
      <c r="I427" s="84"/>
      <c r="J427" s="84"/>
      <c r="K427" s="84"/>
      <c r="L427" s="84"/>
      <c r="M427" s="84"/>
      <c r="N427" s="145"/>
      <c r="O427" s="353"/>
    </row>
    <row r="428" spans="1:15" ht="13" outlineLevel="2" x14ac:dyDescent="0.3">
      <c r="A428" s="1380"/>
      <c r="B428" s="327" t="s">
        <v>596</v>
      </c>
      <c r="D428" s="515"/>
      <c r="F428" s="445"/>
      <c r="G428" s="84"/>
      <c r="H428" s="84"/>
      <c r="I428" s="84"/>
      <c r="J428" s="84"/>
      <c r="K428" s="84"/>
      <c r="L428" s="84"/>
      <c r="M428" s="84"/>
      <c r="N428" s="145"/>
      <c r="O428" s="353"/>
    </row>
    <row r="429" spans="1:15" ht="13" outlineLevel="2" x14ac:dyDescent="0.3">
      <c r="A429" s="1380"/>
      <c r="B429" s="353" t="s">
        <v>586</v>
      </c>
      <c r="D429" s="515"/>
      <c r="F429" s="445"/>
      <c r="G429" s="208">
        <f>1</f>
        <v>1</v>
      </c>
      <c r="H429" s="208">
        <f>1</f>
        <v>1</v>
      </c>
      <c r="I429" s="208">
        <f>1</f>
        <v>1</v>
      </c>
      <c r="J429" s="208">
        <f>1</f>
        <v>1</v>
      </c>
      <c r="K429" s="208">
        <f>1</f>
        <v>1</v>
      </c>
      <c r="L429" s="208">
        <f>1</f>
        <v>1</v>
      </c>
      <c r="M429" s="208">
        <f>1</f>
        <v>1</v>
      </c>
      <c r="N429" s="145"/>
      <c r="O429" s="61"/>
    </row>
    <row r="430" spans="1:15" ht="13" outlineLevel="2" x14ac:dyDescent="0.3">
      <c r="A430" s="1380"/>
      <c r="B430" s="353" t="s">
        <v>597</v>
      </c>
      <c r="D430" s="515"/>
      <c r="F430" s="445"/>
      <c r="G430" s="89">
        <f t="shared" ref="G430:M430" si="198">IF(G15&lt;10,1,IF(G15&lt;20,1.5,2))</f>
        <v>2</v>
      </c>
      <c r="H430" s="89">
        <f t="shared" si="198"/>
        <v>2</v>
      </c>
      <c r="I430" s="89">
        <f t="shared" si="198"/>
        <v>2</v>
      </c>
      <c r="J430" s="89">
        <f t="shared" si="198"/>
        <v>2</v>
      </c>
      <c r="K430" s="89">
        <f t="shared" si="198"/>
        <v>2</v>
      </c>
      <c r="L430" s="89">
        <f t="shared" si="198"/>
        <v>2</v>
      </c>
      <c r="M430" s="89">
        <f t="shared" si="198"/>
        <v>2</v>
      </c>
      <c r="N430" s="1368"/>
      <c r="O430" s="61"/>
    </row>
    <row r="431" spans="1:15" ht="13" outlineLevel="2" x14ac:dyDescent="0.3">
      <c r="A431" s="1380"/>
      <c r="B431" s="353" t="s">
        <v>593</v>
      </c>
      <c r="D431" s="515"/>
      <c r="F431" s="445"/>
      <c r="G431" s="84">
        <f t="shared" ref="G431:M431" ca="1" si="199">(2*(G406+G407)*G408*G430/1000+2*((G407-2*G412)+(G406-2*G412))*(G408-2*G412)*G429/1000+(G406*G407)*G430/1000+(G406-2*G412)*(G407-2*G412)*G429/1000)*_rho_Al/1000</f>
        <v>26.440936317240539</v>
      </c>
      <c r="H431" s="84">
        <f t="shared" ca="1" si="199"/>
        <v>26.440936317240539</v>
      </c>
      <c r="I431" s="84">
        <f t="shared" ca="1" si="199"/>
        <v>26.468066713074556</v>
      </c>
      <c r="J431" s="84">
        <f t="shared" ca="1" si="199"/>
        <v>26.699353016770726</v>
      </c>
      <c r="K431" s="84">
        <f t="shared" ca="1" si="199"/>
        <v>26.738616347895185</v>
      </c>
      <c r="L431" s="84">
        <f t="shared" ca="1" si="199"/>
        <v>27.260631448967096</v>
      </c>
      <c r="M431" s="84">
        <f t="shared" ca="1" si="199"/>
        <v>28.636691646673519</v>
      </c>
      <c r="N431" s="145"/>
      <c r="O431" s="61"/>
    </row>
    <row r="432" spans="1:15" ht="15" outlineLevel="2" x14ac:dyDescent="0.3">
      <c r="A432" s="1380"/>
      <c r="B432" s="353" t="s">
        <v>594</v>
      </c>
      <c r="D432" s="515"/>
      <c r="F432" s="445"/>
      <c r="G432" s="463">
        <f t="shared" ref="G432:M432" ca="1" si="200">(((G406-2*G430)*(G407-2*G430))/100+2*((G406-G412)+(G407-G412))*(G408-2*G412)/100)/10000</f>
        <v>3.1687026634432893</v>
      </c>
      <c r="H432" s="463">
        <f t="shared" ca="1" si="200"/>
        <v>3.1687026634432893</v>
      </c>
      <c r="I432" s="463">
        <f t="shared" ca="1" si="200"/>
        <v>3.1721091634230434</v>
      </c>
      <c r="J432" s="463">
        <f t="shared" ca="1" si="200"/>
        <v>3.2002083171588951</v>
      </c>
      <c r="K432" s="463">
        <f t="shared" ca="1" si="200"/>
        <v>3.2053017349002864</v>
      </c>
      <c r="L432" s="463">
        <f t="shared" ca="1" si="200"/>
        <v>3.268956204151424</v>
      </c>
      <c r="M432" s="463">
        <f t="shared" ca="1" si="200"/>
        <v>3.4372323338519739</v>
      </c>
      <c r="N432" s="145"/>
      <c r="O432" s="61"/>
    </row>
    <row r="433" spans="1:21" ht="13" outlineLevel="2" x14ac:dyDescent="0.3">
      <c r="A433" s="1380"/>
      <c r="B433" s="353" t="s">
        <v>598</v>
      </c>
      <c r="D433" s="515"/>
      <c r="F433" s="445"/>
      <c r="G433" s="84">
        <f t="shared" ref="G433:M433" ca="1" si="201">G431+G432*G411*0.032</f>
        <v>27.454921169542391</v>
      </c>
      <c r="H433" s="84">
        <f t="shared" ca="1" si="201"/>
        <v>27.454921169542391</v>
      </c>
      <c r="I433" s="84">
        <f t="shared" ca="1" si="201"/>
        <v>27.48314164536993</v>
      </c>
      <c r="J433" s="84">
        <f t="shared" ca="1" si="201"/>
        <v>27.723419678261571</v>
      </c>
      <c r="K433" s="84">
        <f t="shared" ca="1" si="201"/>
        <v>27.764312903063278</v>
      </c>
      <c r="L433" s="84">
        <f t="shared" ca="1" si="201"/>
        <v>28.30669743429555</v>
      </c>
      <c r="M433" s="84">
        <f t="shared" ca="1" si="201"/>
        <v>29.736605993506149</v>
      </c>
      <c r="N433" s="145"/>
      <c r="O433" s="61"/>
    </row>
    <row r="434" spans="1:21" ht="13" outlineLevel="2" x14ac:dyDescent="0.3">
      <c r="A434" s="1380"/>
      <c r="B434" s="353" t="s">
        <v>599</v>
      </c>
      <c r="D434" s="515"/>
      <c r="F434" s="445"/>
      <c r="G434" s="84">
        <f t="shared" ref="G434:M434" ca="1" si="202">G426+G433</f>
        <v>70.742793240667154</v>
      </c>
      <c r="H434" s="84">
        <f t="shared" ca="1" si="202"/>
        <v>70.742793240667154</v>
      </c>
      <c r="I434" s="84">
        <f t="shared" ca="1" si="202"/>
        <v>70.773272686929388</v>
      </c>
      <c r="J434" s="84">
        <f t="shared" ca="1" si="202"/>
        <v>71.341174352547995</v>
      </c>
      <c r="K434" s="84">
        <f t="shared" ca="1" si="202"/>
        <v>71.330514115319772</v>
      </c>
      <c r="L434" s="84">
        <f t="shared" ca="1" si="202"/>
        <v>72.534702247699258</v>
      </c>
      <c r="M434" s="84">
        <f t="shared" ca="1" si="202"/>
        <v>75.541813436396168</v>
      </c>
      <c r="N434" s="145"/>
      <c r="O434" s="61"/>
    </row>
    <row r="435" spans="1:21" ht="13" outlineLevel="2" x14ac:dyDescent="0.3">
      <c r="A435" s="1380"/>
      <c r="D435" s="515"/>
      <c r="F435" s="445"/>
      <c r="G435" s="84"/>
      <c r="H435" s="84"/>
      <c r="I435" s="84"/>
      <c r="J435" s="84"/>
      <c r="K435" s="84"/>
      <c r="L435" s="84"/>
      <c r="M435" s="84"/>
      <c r="N435" s="145"/>
      <c r="O435" s="61"/>
    </row>
    <row r="436" spans="1:21" ht="14" outlineLevel="2" x14ac:dyDescent="0.3">
      <c r="A436" s="1380"/>
      <c r="B436" s="665" t="s">
        <v>600</v>
      </c>
      <c r="D436" s="515"/>
      <c r="F436" s="445"/>
      <c r="G436" s="84"/>
      <c r="H436" s="84"/>
      <c r="I436" s="84"/>
      <c r="J436" s="84"/>
      <c r="K436" s="84"/>
      <c r="L436" s="84"/>
      <c r="M436" s="84"/>
      <c r="N436" s="468"/>
      <c r="O436" s="61"/>
    </row>
    <row r="437" spans="1:21" ht="13" outlineLevel="2" x14ac:dyDescent="0.3">
      <c r="A437" s="1380"/>
      <c r="B437" s="353" t="s">
        <v>601</v>
      </c>
      <c r="D437" s="515"/>
      <c r="G437" s="89">
        <f ca="1">BMS!G151</f>
        <v>3.6146500000000001</v>
      </c>
      <c r="H437" s="89">
        <f ca="1">BMS!H151</f>
        <v>3.6146500000000001</v>
      </c>
      <c r="I437" s="89">
        <f ca="1">BMS!I151</f>
        <v>3.6146500000000001</v>
      </c>
      <c r="J437" s="89">
        <f ca="1">BMS!J151</f>
        <v>3.6146500000000001</v>
      </c>
      <c r="K437" s="89">
        <f ca="1">BMS!K151</f>
        <v>3.6146500000000001</v>
      </c>
      <c r="L437" s="89">
        <f ca="1">BMS!L151</f>
        <v>3.6146500000000001</v>
      </c>
      <c r="M437" s="89">
        <f ca="1">BMS!M151</f>
        <v>3.6146500000000001</v>
      </c>
      <c r="N437" s="145"/>
      <c r="O437" s="61"/>
    </row>
    <row r="438" spans="1:21" ht="13" outlineLevel="2" x14ac:dyDescent="0.3">
      <c r="A438" s="1380"/>
      <c r="B438" s="353" t="s">
        <v>602</v>
      </c>
      <c r="D438" s="515"/>
      <c r="G438" s="216">
        <f t="shared" ref="G438:M438" ca="1" si="203">G406*G407*G408/1000000+G437</f>
        <v>294.19151558886949</v>
      </c>
      <c r="H438" s="216">
        <f t="shared" ca="1" si="203"/>
        <v>294.19151558886949</v>
      </c>
      <c r="I438" s="216">
        <f t="shared" ca="1" si="203"/>
        <v>295.34962825522098</v>
      </c>
      <c r="J438" s="216">
        <f t="shared" ca="1" si="203"/>
        <v>298.68839842243108</v>
      </c>
      <c r="K438" s="216">
        <f t="shared" ca="1" si="203"/>
        <v>301.55667460278181</v>
      </c>
      <c r="L438" s="216">
        <f t="shared" ca="1" si="203"/>
        <v>310.83989128626871</v>
      </c>
      <c r="M438" s="216">
        <f t="shared" ca="1" si="203"/>
        <v>339.51935059132722</v>
      </c>
      <c r="N438" s="468"/>
      <c r="O438" s="61"/>
    </row>
    <row r="439" spans="1:21" ht="13" outlineLevel="2" x14ac:dyDescent="0.3">
      <c r="A439" s="1380"/>
      <c r="B439" s="353" t="s">
        <v>603</v>
      </c>
      <c r="D439" s="515"/>
      <c r="G439" s="217">
        <f t="shared" ref="G439:M439" ca="1" si="204">G183*G182*_rho_Cu*1.3</f>
        <v>45.943317112128916</v>
      </c>
      <c r="H439" s="217">
        <f t="shared" ca="1" si="204"/>
        <v>45.943317112128916</v>
      </c>
      <c r="I439" s="217">
        <f t="shared" ca="1" si="204"/>
        <v>45.943317112128916</v>
      </c>
      <c r="J439" s="217">
        <f t="shared" ca="1" si="204"/>
        <v>45.943317112128916</v>
      </c>
      <c r="K439" s="217">
        <f t="shared" ca="1" si="204"/>
        <v>45.943317112128916</v>
      </c>
      <c r="L439" s="217">
        <f t="shared" ca="1" si="204"/>
        <v>45.943317112128916</v>
      </c>
      <c r="M439" s="217">
        <f t="shared" ca="1" si="204"/>
        <v>45.943317112128916</v>
      </c>
      <c r="N439" s="145"/>
      <c r="O439" s="61"/>
    </row>
    <row r="440" spans="1:21" ht="13" outlineLevel="2" x14ac:dyDescent="0.3">
      <c r="A440" s="1380"/>
      <c r="B440" s="353" t="s">
        <v>604</v>
      </c>
      <c r="D440" s="515"/>
      <c r="E440" s="174"/>
      <c r="F440" s="445"/>
      <c r="G440" s="217">
        <f t="shared" ref="G440:M440" ca="1" si="205">(G190*G191*G193+G198*G199*G201)*_rho_Cu</f>
        <v>1547.8694874167529</v>
      </c>
      <c r="H440" s="217">
        <f t="shared" ca="1" si="205"/>
        <v>1547.8694874167529</v>
      </c>
      <c r="I440" s="217">
        <f t="shared" ca="1" si="205"/>
        <v>1553.3207910187371</v>
      </c>
      <c r="J440" s="217">
        <f t="shared" ca="1" si="205"/>
        <v>1558.9912729360674</v>
      </c>
      <c r="K440" s="217">
        <f t="shared" ca="1" si="205"/>
        <v>1574.199791902292</v>
      </c>
      <c r="L440" s="217">
        <f t="shared" ca="1" si="205"/>
        <v>1597.0102353065743</v>
      </c>
      <c r="M440" s="217">
        <f t="shared" ca="1" si="205"/>
        <v>1678.2986636727635</v>
      </c>
      <c r="N440" s="470"/>
      <c r="O440" s="61"/>
    </row>
    <row r="441" spans="1:21" ht="13" outlineLevel="2" x14ac:dyDescent="0.3">
      <c r="A441" s="1380"/>
      <c r="B441" s="353" t="s">
        <v>605</v>
      </c>
      <c r="D441" s="515"/>
      <c r="E441" s="174"/>
      <c r="G441" s="218">
        <f t="shared" ref="G441:M441" ca="1" si="206">2*(G207+2)*G206*_rho_Cu/0.9</f>
        <v>819.5175626459793</v>
      </c>
      <c r="H441" s="218">
        <f t="shared" ca="1" si="206"/>
        <v>819.5175626459793</v>
      </c>
      <c r="I441" s="218">
        <f t="shared" ca="1" si="206"/>
        <v>819.5175626459793</v>
      </c>
      <c r="J441" s="218">
        <f t="shared" ca="1" si="206"/>
        <v>819.5175626459793</v>
      </c>
      <c r="K441" s="218">
        <f t="shared" ca="1" si="206"/>
        <v>819.5175626459793</v>
      </c>
      <c r="L441" s="218">
        <f t="shared" ca="1" si="206"/>
        <v>819.5175626459793</v>
      </c>
      <c r="M441" s="218">
        <f t="shared" ca="1" si="206"/>
        <v>819.5175626459793</v>
      </c>
      <c r="N441" s="470"/>
    </row>
    <row r="442" spans="1:21" ht="13" outlineLevel="2" x14ac:dyDescent="0.3">
      <c r="A442" s="1380"/>
      <c r="B442" s="353" t="s">
        <v>606</v>
      </c>
      <c r="D442" s="515"/>
      <c r="E442" s="174"/>
      <c r="G442" s="216">
        <f>IF(Dashboard!$D6=0,1,Thermal!G152/1000)</f>
        <v>1</v>
      </c>
      <c r="H442" s="216">
        <f>IF(Dashboard!$D6=0,1,Thermal!H152/1000)</f>
        <v>1</v>
      </c>
      <c r="I442" s="216">
        <f>IF(Dashboard!$D6=0,1,Thermal!I152/1000)</f>
        <v>1</v>
      </c>
      <c r="J442" s="216">
        <f>IF(Dashboard!$D6=0,1,Thermal!J152/1000)</f>
        <v>1</v>
      </c>
      <c r="K442" s="216">
        <f>IF(Dashboard!$D6=0,1,Thermal!K152/1000)</f>
        <v>1</v>
      </c>
      <c r="L442" s="216">
        <f>IF(Dashboard!$D6=0,1,Thermal!L152/1000)</f>
        <v>1</v>
      </c>
      <c r="M442" s="216">
        <f>IF(Dashboard!$D6=0,1,Thermal!M152/1000)</f>
        <v>1</v>
      </c>
      <c r="N442" s="737"/>
      <c r="O442" s="470"/>
    </row>
    <row r="443" spans="1:21" ht="13" outlineLevel="2" x14ac:dyDescent="0.3">
      <c r="A443" s="1380"/>
      <c r="B443" s="353" t="s">
        <v>607</v>
      </c>
      <c r="D443" s="515"/>
      <c r="G443" s="219">
        <f t="shared" ref="G443:M443" si="207">G442*0.2</f>
        <v>0.2</v>
      </c>
      <c r="H443" s="219">
        <f t="shared" si="207"/>
        <v>0.2</v>
      </c>
      <c r="I443" s="219">
        <f t="shared" si="207"/>
        <v>0.2</v>
      </c>
      <c r="J443" s="219">
        <f t="shared" si="207"/>
        <v>0.2</v>
      </c>
      <c r="K443" s="219">
        <f t="shared" si="207"/>
        <v>0.2</v>
      </c>
      <c r="L443" s="219">
        <f t="shared" si="207"/>
        <v>0.2</v>
      </c>
      <c r="M443" s="219">
        <f t="shared" si="207"/>
        <v>0.2</v>
      </c>
      <c r="N443" s="467"/>
      <c r="O443" s="87"/>
    </row>
    <row r="444" spans="1:21" ht="13" outlineLevel="2" x14ac:dyDescent="0.3">
      <c r="A444" s="1380"/>
      <c r="B444" s="353" t="s">
        <v>608</v>
      </c>
      <c r="D444" s="515"/>
      <c r="E444" s="174"/>
      <c r="G444" s="215">
        <f t="shared" ref="G444:M444" ca="1" si="208">G434+(G439*(G29+1)+G440+G441)/1000+G443</f>
        <v>74.274989950084603</v>
      </c>
      <c r="H444" s="215">
        <f t="shared" ca="1" si="208"/>
        <v>74.274989950084603</v>
      </c>
      <c r="I444" s="215">
        <f t="shared" ca="1" si="208"/>
        <v>74.310920699948809</v>
      </c>
      <c r="J444" s="215">
        <f t="shared" ca="1" si="208"/>
        <v>74.884492847484751</v>
      </c>
      <c r="K444" s="215">
        <f t="shared" ca="1" si="208"/>
        <v>74.889041129222747</v>
      </c>
      <c r="L444" s="215">
        <f t="shared" ca="1" si="208"/>
        <v>76.116039705006514</v>
      </c>
      <c r="M444" s="215">
        <f t="shared" ca="1" si="208"/>
        <v>79.204439322069618</v>
      </c>
      <c r="N444" s="1367"/>
      <c r="O444" s="87"/>
    </row>
    <row r="445" spans="1:21" ht="13" outlineLevel="2" x14ac:dyDescent="0.3">
      <c r="A445" s="1380"/>
      <c r="B445" s="353" t="s">
        <v>609</v>
      </c>
      <c r="D445" s="515"/>
      <c r="E445" s="174"/>
      <c r="G445" s="89">
        <f ca="1">BMS!G142</f>
        <v>3.5776000000000003</v>
      </c>
      <c r="H445" s="89">
        <f ca="1">BMS!H142</f>
        <v>3.5776000000000003</v>
      </c>
      <c r="I445" s="89">
        <f ca="1">BMS!I142</f>
        <v>3.5776000000000003</v>
      </c>
      <c r="J445" s="89">
        <f ca="1">BMS!J142</f>
        <v>3.5776000000000003</v>
      </c>
      <c r="K445" s="89">
        <f ca="1">BMS!K142</f>
        <v>3.5776000000000003</v>
      </c>
      <c r="L445" s="89">
        <f ca="1">BMS!L142</f>
        <v>3.5776000000000003</v>
      </c>
      <c r="M445" s="89">
        <f ca="1">BMS!M142</f>
        <v>3.5776000000000003</v>
      </c>
      <c r="N445" s="145" t="s">
        <v>610</v>
      </c>
      <c r="O445" s="61"/>
    </row>
    <row r="446" spans="1:21" ht="13" outlineLevel="2" x14ac:dyDescent="0.3">
      <c r="A446" s="1380"/>
      <c r="B446" s="353" t="s">
        <v>611</v>
      </c>
      <c r="D446" s="515"/>
      <c r="E446" s="174"/>
      <c r="G446" s="215">
        <f t="shared" ref="G446:M446" ca="1" si="209">G29*G351+G28*G386+G403+G444+G445</f>
        <v>488.72637525178504</v>
      </c>
      <c r="H446" s="215">
        <f t="shared" ca="1" si="209"/>
        <v>488.72637525178504</v>
      </c>
      <c r="I446" s="215">
        <f t="shared" ca="1" si="209"/>
        <v>492.05962388653103</v>
      </c>
      <c r="J446" s="215">
        <f t="shared" ca="1" si="209"/>
        <v>498.55563481473871</v>
      </c>
      <c r="K446" s="215">
        <f t="shared" ca="1" si="209"/>
        <v>507.26079571431472</v>
      </c>
      <c r="L446" s="215">
        <f t="shared" ca="1" si="209"/>
        <v>527.48263801119629</v>
      </c>
      <c r="M446" s="215">
        <f t="shared" ca="1" si="209"/>
        <v>593.86964355372754</v>
      </c>
      <c r="N446" s="144"/>
      <c r="O446" s="215"/>
      <c r="P446" s="215"/>
      <c r="Q446" s="215"/>
      <c r="R446" s="215"/>
      <c r="S446" s="215"/>
      <c r="T446" s="215"/>
      <c r="U446" s="215"/>
    </row>
    <row r="447" spans="1:21" ht="13" outlineLevel="2" x14ac:dyDescent="0.3">
      <c r="A447" s="1380"/>
      <c r="B447" s="353" t="s">
        <v>612</v>
      </c>
      <c r="D447" s="515"/>
      <c r="E447" s="174"/>
      <c r="G447" s="215">
        <f t="shared" ref="G447:M447" ca="1" si="210">G438*G12</f>
        <v>294.19151558886949</v>
      </c>
      <c r="H447" s="215">
        <f t="shared" ca="1" si="210"/>
        <v>294.19151558886949</v>
      </c>
      <c r="I447" s="215">
        <f t="shared" ca="1" si="210"/>
        <v>295.34962825522098</v>
      </c>
      <c r="J447" s="215">
        <f t="shared" ca="1" si="210"/>
        <v>298.68839842243108</v>
      </c>
      <c r="K447" s="215">
        <f t="shared" ca="1" si="210"/>
        <v>301.55667460278181</v>
      </c>
      <c r="L447" s="215">
        <f t="shared" ca="1" si="210"/>
        <v>310.83989128626871</v>
      </c>
      <c r="M447" s="215">
        <f t="shared" ca="1" si="210"/>
        <v>339.51935059132722</v>
      </c>
      <c r="N447" s="1367"/>
      <c r="O447" s="187"/>
      <c r="P447" s="187"/>
      <c r="Q447" s="187"/>
      <c r="R447" s="187"/>
      <c r="S447" s="187"/>
      <c r="T447" s="187"/>
      <c r="U447" s="187"/>
    </row>
    <row r="448" spans="1:21" ht="13" outlineLevel="2" x14ac:dyDescent="0.3">
      <c r="A448" s="1380"/>
      <c r="B448" s="353" t="s">
        <v>613</v>
      </c>
      <c r="D448" s="515"/>
      <c r="E448" s="174"/>
      <c r="G448" s="220">
        <f ca="1">G446*'Battery Design'!G12</f>
        <v>488.72637525178504</v>
      </c>
      <c r="H448" s="220">
        <f ca="1">H446*'Battery Design'!H12</f>
        <v>488.72637525178504</v>
      </c>
      <c r="I448" s="220">
        <f ca="1">I446*'Battery Design'!I12</f>
        <v>492.05962388653103</v>
      </c>
      <c r="J448" s="220">
        <f ca="1">J446*'Battery Design'!J12</f>
        <v>498.55563481473871</v>
      </c>
      <c r="K448" s="220">
        <f ca="1">K446*'Battery Design'!K12</f>
        <v>507.26079571431472</v>
      </c>
      <c r="L448" s="220">
        <f ca="1">L446*'Battery Design'!L12</f>
        <v>527.48263801119629</v>
      </c>
      <c r="M448" s="220">
        <f ca="1">M446*'Battery Design'!M12</f>
        <v>593.86964355372754</v>
      </c>
      <c r="N448" s="120"/>
      <c r="O448" s="61"/>
    </row>
    <row r="449" spans="1:23" ht="13" outlineLevel="2" x14ac:dyDescent="0.3">
      <c r="A449" s="1380"/>
      <c r="D449" s="515"/>
      <c r="E449" s="174"/>
      <c r="G449" s="220"/>
      <c r="H449" s="220"/>
      <c r="I449" s="220"/>
      <c r="J449" s="220"/>
      <c r="K449" s="220"/>
      <c r="L449" s="220"/>
      <c r="M449" s="220"/>
      <c r="N449" s="120"/>
      <c r="O449" s="61"/>
    </row>
    <row r="450" spans="1:23" ht="15.5" outlineLevel="2" x14ac:dyDescent="0.35">
      <c r="A450" s="1380"/>
      <c r="B450" s="6" t="s">
        <v>614</v>
      </c>
      <c r="E450" s="174"/>
      <c r="G450" s="221"/>
      <c r="H450" s="221"/>
      <c r="I450" s="221"/>
      <c r="J450" s="221"/>
      <c r="K450" s="221"/>
      <c r="L450" s="221"/>
      <c r="M450" s="221"/>
      <c r="N450" s="120"/>
      <c r="O450" s="61"/>
    </row>
    <row r="451" spans="1:23" ht="13" outlineLevel="2" x14ac:dyDescent="0.3">
      <c r="A451" s="1380"/>
      <c r="B451" s="353" t="s">
        <v>615</v>
      </c>
      <c r="E451" s="174"/>
      <c r="G451" s="222">
        <f ca="1">(Thermal!G62)*'Battery Design'!G12</f>
        <v>4000</v>
      </c>
      <c r="H451" s="222">
        <f ca="1">(Thermal!H62)*'Battery Design'!H12</f>
        <v>4000</v>
      </c>
      <c r="I451" s="222">
        <f ca="1">(Thermal!I62)*'Battery Design'!I12</f>
        <v>4000</v>
      </c>
      <c r="J451" s="222">
        <f ca="1">(Thermal!J62)*'Battery Design'!J12</f>
        <v>4000</v>
      </c>
      <c r="K451" s="222">
        <f ca="1">(Thermal!K62)*'Battery Design'!K12</f>
        <v>4000</v>
      </c>
      <c r="L451" s="222">
        <f ca="1">(Thermal!L62)*'Battery Design'!L12</f>
        <v>4000</v>
      </c>
      <c r="M451" s="222">
        <f ca="1">(Thermal!M62)*'Battery Design'!M12</f>
        <v>4000</v>
      </c>
      <c r="N451" s="1031"/>
      <c r="O451" s="61"/>
    </row>
    <row r="452" spans="1:23" ht="13" outlineLevel="2" x14ac:dyDescent="0.3">
      <c r="A452" s="1380"/>
      <c r="B452" s="353" t="s">
        <v>616</v>
      </c>
      <c r="E452" s="174"/>
      <c r="G452" s="220" t="str">
        <f ca="1">Thermal!G141</f>
        <v>Refrig 4</v>
      </c>
      <c r="H452" s="220" t="str">
        <f ca="1">Thermal!H141</f>
        <v>Refrig 4</v>
      </c>
      <c r="I452" s="220" t="str">
        <f ca="1">Thermal!I141</f>
        <v>Refrig 4</v>
      </c>
      <c r="J452" s="220" t="str">
        <f ca="1">Thermal!J141</f>
        <v>Refrig 4</v>
      </c>
      <c r="K452" s="220" t="str">
        <f ca="1">Thermal!K141</f>
        <v>Refrig 4</v>
      </c>
      <c r="L452" s="220" t="str">
        <f ca="1">Thermal!L141</f>
        <v>Refrig 4</v>
      </c>
      <c r="M452" s="220" t="str">
        <f ca="1">Thermal!M141</f>
        <v>Refrig 4</v>
      </c>
      <c r="N452" s="47"/>
    </row>
    <row r="453" spans="1:23" ht="13" outlineLevel="2" x14ac:dyDescent="0.3">
      <c r="A453" s="1380"/>
      <c r="B453" s="353" t="s">
        <v>617</v>
      </c>
      <c r="E453" s="174"/>
      <c r="G453" s="215">
        <f ca="1">INDEX(Thermal!$D$169:$D$172, MATCH(Thermal!G141, Thermal!$B$169:$B$172, 0))*('Battery Design'!G12)^0.5</f>
        <v>7</v>
      </c>
      <c r="H453" s="215">
        <f ca="1">INDEX(Thermal!$D$169:$D$172, MATCH(Thermal!H141, Thermal!$B$169:$B$172, 0))*('Battery Design'!H12)^0.5</f>
        <v>7</v>
      </c>
      <c r="I453" s="215">
        <f ca="1">INDEX(Thermal!$D$169:$D$172, MATCH(Thermal!I141, Thermal!$B$169:$B$172, 0))*('Battery Design'!I12)^0.5</f>
        <v>7</v>
      </c>
      <c r="J453" s="215">
        <f ca="1">INDEX(Thermal!$D$169:$D$172, MATCH(Thermal!J141, Thermal!$B$169:$B$172, 0))*('Battery Design'!J12)^0.5</f>
        <v>7</v>
      </c>
      <c r="K453" s="215">
        <f ca="1">INDEX(Thermal!$D$169:$D$172, MATCH(Thermal!K141, Thermal!$B$169:$B$172, 0))*('Battery Design'!K12)^0.5</f>
        <v>7</v>
      </c>
      <c r="L453" s="215">
        <f ca="1">INDEX(Thermal!$D$169:$D$172, MATCH(Thermal!L141, Thermal!$B$169:$B$172, 0))*('Battery Design'!L12)^0.5</f>
        <v>7</v>
      </c>
      <c r="M453" s="215">
        <f ca="1">INDEX(Thermal!$D$169:$D$172, MATCH(Thermal!M141, Thermal!$B$169:$B$172, 0))*('Battery Design'!M12)^0.5</f>
        <v>7</v>
      </c>
      <c r="N453" s="120"/>
      <c r="O453" s="61"/>
    </row>
    <row r="454" spans="1:23" ht="13" outlineLevel="2" x14ac:dyDescent="0.3">
      <c r="A454" s="1380"/>
      <c r="B454" s="353" t="s">
        <v>618</v>
      </c>
      <c r="E454" s="174"/>
      <c r="F454" s="90"/>
      <c r="G454" s="215">
        <f ca="1">INDEX(Thermal!$E$169:$E$172, MATCH(Thermal!G141, Thermal!$B$169:$B$172, 0))*('Battery Design'!G12)^0.5</f>
        <v>2.8</v>
      </c>
      <c r="H454" s="215">
        <f ca="1">INDEX(Thermal!$E$169:$E$172, MATCH(Thermal!H141, Thermal!$B$169:$B$172, 0))*('Battery Design'!H12)^0.5</f>
        <v>2.8</v>
      </c>
      <c r="I454" s="215">
        <f ca="1">INDEX(Thermal!$E$169:$E$172, MATCH(Thermal!I141, Thermal!$B$169:$B$172, 0))*('Battery Design'!I12)^0.5</f>
        <v>2.8</v>
      </c>
      <c r="J454" s="215">
        <f ca="1">INDEX(Thermal!$E$169:$E$172, MATCH(Thermal!J141, Thermal!$B$169:$B$172, 0))*('Battery Design'!J12)^0.5</f>
        <v>2.8</v>
      </c>
      <c r="K454" s="215">
        <f ca="1">INDEX(Thermal!$E$169:$E$172, MATCH(Thermal!K141, Thermal!$B$169:$B$172, 0))*('Battery Design'!K12)^0.5</f>
        <v>2.8</v>
      </c>
      <c r="L454" s="215">
        <f ca="1">INDEX(Thermal!$E$169:$E$172, MATCH(Thermal!L141, Thermal!$B$169:$B$172, 0))*('Battery Design'!L12)^0.5</f>
        <v>2.8</v>
      </c>
      <c r="M454" s="215">
        <f ca="1">INDEX(Thermal!$E$169:$E$172, MATCH(Thermal!M141, Thermal!$B$169:$B$172, 0))*('Battery Design'!M12)^0.5</f>
        <v>2.8</v>
      </c>
      <c r="N454" s="120"/>
      <c r="O454" s="61"/>
    </row>
    <row r="455" spans="1:23" ht="13" x14ac:dyDescent="0.3">
      <c r="A455" s="1380"/>
      <c r="E455" s="174"/>
      <c r="F455" s="90"/>
      <c r="G455" s="215"/>
      <c r="H455" s="215"/>
      <c r="I455" s="215"/>
      <c r="J455" s="215"/>
      <c r="K455" s="215"/>
      <c r="L455" s="215"/>
      <c r="M455" s="215"/>
      <c r="N455" s="120"/>
      <c r="O455" s="61"/>
    </row>
    <row r="456" spans="1:23" ht="15.5" x14ac:dyDescent="0.35">
      <c r="A456" s="1380"/>
      <c r="B456" s="6" t="s">
        <v>619</v>
      </c>
      <c r="E456" s="174"/>
      <c r="F456" s="189"/>
      <c r="G456" s="216"/>
      <c r="H456" s="216"/>
      <c r="I456" s="216"/>
      <c r="J456" s="216"/>
      <c r="K456" s="216"/>
      <c r="L456" s="216"/>
      <c r="M456" s="216"/>
      <c r="N456" s="62"/>
      <c r="O456" s="125"/>
    </row>
    <row r="457" spans="1:23" ht="13" x14ac:dyDescent="0.3">
      <c r="A457" s="1380"/>
      <c r="B457" s="353" t="s">
        <v>620</v>
      </c>
      <c r="E457" s="174"/>
      <c r="F457" s="189"/>
      <c r="G457" s="127">
        <v>250</v>
      </c>
      <c r="H457" s="127">
        <v>250</v>
      </c>
      <c r="I457" s="127">
        <v>250</v>
      </c>
      <c r="J457" s="127">
        <v>250</v>
      </c>
      <c r="K457" s="127">
        <v>250</v>
      </c>
      <c r="L457" s="127">
        <v>250</v>
      </c>
      <c r="M457" s="127">
        <v>250</v>
      </c>
      <c r="N457" s="47"/>
      <c r="O457" s="61"/>
    </row>
    <row r="458" spans="1:23" ht="13" x14ac:dyDescent="0.3">
      <c r="A458" s="1380"/>
      <c r="B458" s="353" t="s">
        <v>621</v>
      </c>
      <c r="E458" s="174"/>
      <c r="G458" s="89">
        <f>(G457/'Battery Design'!G12)</f>
        <v>250</v>
      </c>
      <c r="H458" s="89">
        <f>(H457/'Battery Design'!H12)</f>
        <v>250</v>
      </c>
      <c r="I458" s="89">
        <f>(I457/'Battery Design'!I12)</f>
        <v>250</v>
      </c>
      <c r="J458" s="89">
        <f>(J457/'Battery Design'!J12)</f>
        <v>250</v>
      </c>
      <c r="K458" s="89">
        <f>(K457/'Battery Design'!K12)</f>
        <v>250</v>
      </c>
      <c r="L458" s="89">
        <f>(L457/'Battery Design'!L12)</f>
        <v>250</v>
      </c>
      <c r="M458" s="89">
        <f>(M457/'Battery Design'!M12)</f>
        <v>250</v>
      </c>
      <c r="N458" s="120"/>
      <c r="O458" s="61"/>
    </row>
    <row r="459" spans="1:23" ht="13" x14ac:dyDescent="0.3">
      <c r="A459" s="1380"/>
      <c r="B459" s="353" t="s">
        <v>622</v>
      </c>
      <c r="G459" s="458">
        <f>Dashboard!$I$34</f>
        <v>85</v>
      </c>
      <c r="H459" s="458">
        <f>Dashboard!$I$34</f>
        <v>85</v>
      </c>
      <c r="I459" s="458">
        <f>Dashboard!$I$34</f>
        <v>85</v>
      </c>
      <c r="J459" s="458">
        <f>Dashboard!$I$34</f>
        <v>85</v>
      </c>
      <c r="K459" s="458">
        <f>Dashboard!$I$34</f>
        <v>85</v>
      </c>
      <c r="L459" s="458">
        <f>Dashboard!$I$34</f>
        <v>85</v>
      </c>
      <c r="M459" s="458">
        <f>Dashboard!$I$34</f>
        <v>85</v>
      </c>
      <c r="N459" s="120"/>
      <c r="O459" s="61"/>
      <c r="T459" s="1464"/>
      <c r="U459" s="1464"/>
      <c r="V459" s="1464"/>
      <c r="W459" s="1464"/>
    </row>
    <row r="460" spans="1:23" ht="13" x14ac:dyDescent="0.3">
      <c r="A460" s="1380"/>
      <c r="B460" s="353" t="s">
        <v>623</v>
      </c>
      <c r="G460" s="93">
        <f t="shared" ref="G460:M460" ca="1" si="211">G355*G459/100/G458*1000</f>
        <v>339.99999999999994</v>
      </c>
      <c r="H460" s="93">
        <f t="shared" ca="1" si="211"/>
        <v>339.99999999999994</v>
      </c>
      <c r="I460" s="93">
        <f t="shared" ca="1" si="211"/>
        <v>339.99999999999983</v>
      </c>
      <c r="J460" s="93">
        <f t="shared" ca="1" si="211"/>
        <v>339.99999999999983</v>
      </c>
      <c r="K460" s="93">
        <f t="shared" ca="1" si="211"/>
        <v>339.99999999999983</v>
      </c>
      <c r="L460" s="93">
        <f t="shared" ca="1" si="211"/>
        <v>339.99999999999983</v>
      </c>
      <c r="M460" s="93">
        <f t="shared" ca="1" si="211"/>
        <v>340.00000000000165</v>
      </c>
      <c r="N460" s="120"/>
      <c r="O460" s="61"/>
      <c r="R460" s="87"/>
      <c r="S460" s="87"/>
      <c r="T460" s="87"/>
      <c r="U460" s="87"/>
    </row>
    <row r="461" spans="1:23" ht="13" x14ac:dyDescent="0.3">
      <c r="A461" s="1380"/>
      <c r="G461" s="93"/>
      <c r="H461" s="93"/>
      <c r="I461" s="93"/>
      <c r="J461" s="93"/>
      <c r="K461" s="93"/>
      <c r="L461" s="93"/>
      <c r="M461" s="93"/>
      <c r="N461" s="120"/>
      <c r="O461" s="61"/>
      <c r="R461" s="87"/>
      <c r="S461" s="87"/>
      <c r="T461" s="87"/>
      <c r="U461" s="87"/>
    </row>
    <row r="462" spans="1:23" ht="15.5" x14ac:dyDescent="0.35">
      <c r="A462" s="1380"/>
      <c r="B462" s="6" t="s">
        <v>624</v>
      </c>
      <c r="C462" s="9"/>
      <c r="D462" s="9"/>
      <c r="F462" s="106" t="str">
        <f>IF(OR(G462="x",H462="x",I462="x",J462="x",K462="x",L462="x",M462="x"),"Inadequate capacity if X"," ")</f>
        <v xml:space="preserve"> </v>
      </c>
      <c r="G462" s="181"/>
      <c r="H462" s="181"/>
      <c r="I462" s="181"/>
      <c r="J462" s="181"/>
      <c r="K462" s="181"/>
      <c r="L462" s="181"/>
      <c r="M462" s="181"/>
      <c r="N462" s="62"/>
      <c r="O462" s="61"/>
      <c r="R462" s="87"/>
      <c r="S462" s="87"/>
      <c r="T462" s="87"/>
      <c r="U462" s="87"/>
    </row>
    <row r="463" spans="1:23" ht="13" x14ac:dyDescent="0.3">
      <c r="A463" s="1380"/>
      <c r="B463" s="353" t="s">
        <v>625</v>
      </c>
      <c r="G463" s="89">
        <f ca="1">IF(Dashboard!D51&gt;0,Dashboard!D51,IF(Dashboard!D52&gt;0,Dashboard!D52*1000/G31*G26*G30/G149))</f>
        <v>269.30913619635845</v>
      </c>
      <c r="H463" s="89">
        <f ca="1">IF(Dashboard!E51&gt;0,Dashboard!E51,IF(Dashboard!E52&gt;0,Dashboard!E52*1000/H31*H26*H30/H149))</f>
        <v>269.30913619635845</v>
      </c>
      <c r="I463" s="89">
        <f ca="1">IF(Dashboard!F51&gt;0,Dashboard!F51,IF(Dashboard!F52&gt;0,Dashboard!F52*1000/I31*I26*I30/I149))</f>
        <v>269.30913619635845</v>
      </c>
      <c r="J463" s="89">
        <f ca="1">IF(Dashboard!G51&gt;0,Dashboard!G51,IF(Dashboard!G52&gt;0,Dashboard!G52*1000/J31*J26*J30/J149))</f>
        <v>269.30913619635845</v>
      </c>
      <c r="K463" s="89">
        <f ca="1">IF(Dashboard!H51&gt;0,Dashboard!H51,IF(Dashboard!H52&gt;0,Dashboard!H52*1000/K31*K26*K30/K149))</f>
        <v>269.30913619635845</v>
      </c>
      <c r="L463" s="89">
        <f ca="1">IF(Dashboard!I51&gt;0,Dashboard!I51,IF(Dashboard!I52&gt;0,Dashboard!I52*1000/L31*L26*L30/L149))</f>
        <v>269.30913619635845</v>
      </c>
      <c r="M463" s="89">
        <f ca="1">IF(Dashboard!J51&gt;0,Dashboard!J51,IF(Dashboard!J52&gt;0,Dashboard!J52*1000/M31*M26*M30/M149))</f>
        <v>269.30913619635845</v>
      </c>
      <c r="N463" s="62"/>
      <c r="O463" s="59"/>
      <c r="Q463" s="87"/>
      <c r="R463" s="87"/>
      <c r="S463" s="87"/>
      <c r="T463" s="87"/>
      <c r="U463" s="87"/>
    </row>
    <row r="464" spans="1:23" ht="13" x14ac:dyDescent="0.3">
      <c r="A464" s="1380"/>
      <c r="B464" s="353" t="s">
        <v>157</v>
      </c>
      <c r="G464" s="84">
        <f ca="1">IF(Dashboard!$D6=0,G463,IF(Dashboard!D51&gt;0,Dashboard!D51,IF(Dashboard!D52&gt;0,IF(G355=Dashboard!D52,G465,G465-G466*(G355-Dashboard!D52)/Dashboard!D52),0)))</f>
        <v>272.71642985239049</v>
      </c>
      <c r="H464" s="84">
        <f ca="1">IF(Dashboard!$D6=0,H463,IF(Dashboard!E51&gt;0,Dashboard!E51,IF(Dashboard!E52&gt;0,IF(H355=Dashboard!E52,H465,H465-H466*(H355-Dashboard!E52)/Dashboard!E52),0)))</f>
        <v>272.71642985239049</v>
      </c>
      <c r="I464" s="84">
        <f ca="1">IF(Dashboard!$D6=0,I463,IF(Dashboard!F51&gt;0,Dashboard!F51,IF(Dashboard!F52&gt;0,IF(I355=Dashboard!F52,I465,I465-I466*(I355-Dashboard!F52)/Dashboard!F52),0)))</f>
        <v>272.39111939487981</v>
      </c>
      <c r="J464" s="84">
        <f ca="1">IF(Dashboard!$D6=0,J463,IF(Dashboard!G51&gt;0,Dashboard!G51,IF(Dashboard!G52&gt;0,IF(J355=Dashboard!G52,J465,J465-J466*(J355-Dashboard!G52)/Dashboard!G52),0)))</f>
        <v>271.99082929772283</v>
      </c>
      <c r="K464" s="84">
        <f ca="1">IF(Dashboard!$D6=0,K463,IF(Dashboard!H51&gt;0,Dashboard!H51,IF(Dashboard!H52&gt;0,IF(K355=Dashboard!H52,K465,K465-K466*(K355-Dashboard!H52)/Dashboard!H52),0)))</f>
        <v>271.52829153100703</v>
      </c>
      <c r="L464" s="84">
        <f ca="1">IF(Dashboard!$D6=0,L463,IF(Dashboard!I51&gt;0,Dashboard!I51,IF(Dashboard!I52&gt;0,IF(L355=Dashboard!I52,L465,L465-L466*(L355-Dashboard!I52)/Dashboard!I52),0)))</f>
        <v>270.97448699448086</v>
      </c>
      <c r="M464" s="84">
        <f ca="1">IF(Dashboard!$D6=0,M463,IF(Dashboard!J51&gt;0,Dashboard!J51,IF(Dashboard!J52&gt;0,IF(M355=Dashboard!J52,M465,M465-M466*(M355-Dashboard!J52)/Dashboard!J52),0)))</f>
        <v>270.24418706661311</v>
      </c>
      <c r="N464" s="62"/>
      <c r="O464" s="87"/>
      <c r="P464" s="87"/>
      <c r="Q464" s="87"/>
    </row>
    <row r="465" spans="1:22" ht="13" x14ac:dyDescent="0.3">
      <c r="A465" s="1380"/>
      <c r="B465" s="353" t="s">
        <v>626</v>
      </c>
      <c r="G465" s="84">
        <f t="shared" ref="G465:M465" ca="1" si="212">G464</f>
        <v>272.71642985239049</v>
      </c>
      <c r="H465" s="84">
        <f t="shared" ca="1" si="212"/>
        <v>272.71642985239049</v>
      </c>
      <c r="I465" s="84">
        <f t="shared" ca="1" si="212"/>
        <v>272.39111939487981</v>
      </c>
      <c r="J465" s="84">
        <f t="shared" ca="1" si="212"/>
        <v>271.99082929772283</v>
      </c>
      <c r="K465" s="84">
        <f t="shared" ca="1" si="212"/>
        <v>271.52829153100703</v>
      </c>
      <c r="L465" s="84">
        <f t="shared" ca="1" si="212"/>
        <v>270.97448699448086</v>
      </c>
      <c r="M465" s="84">
        <f t="shared" ca="1" si="212"/>
        <v>270.24418706661311</v>
      </c>
      <c r="N465" s="62"/>
      <c r="O465" s="87"/>
      <c r="P465" s="87"/>
      <c r="Q465" s="87"/>
    </row>
    <row r="466" spans="1:22" ht="13" x14ac:dyDescent="0.3">
      <c r="A466" s="1380"/>
      <c r="B466" s="353" t="s">
        <v>627</v>
      </c>
      <c r="G466" s="127">
        <f t="shared" ref="G466:M466" ca="1" si="213">G463*0.5</f>
        <v>134.65456809817923</v>
      </c>
      <c r="H466" s="127">
        <f t="shared" ca="1" si="213"/>
        <v>134.65456809817923</v>
      </c>
      <c r="I466" s="127">
        <f t="shared" ca="1" si="213"/>
        <v>134.65456809817923</v>
      </c>
      <c r="J466" s="127">
        <f t="shared" ca="1" si="213"/>
        <v>134.65456809817923</v>
      </c>
      <c r="K466" s="127">
        <f t="shared" ca="1" si="213"/>
        <v>134.65456809817923</v>
      </c>
      <c r="L466" s="127">
        <f t="shared" ca="1" si="213"/>
        <v>134.65456809817923</v>
      </c>
      <c r="M466" s="127">
        <f t="shared" ca="1" si="213"/>
        <v>134.65456809817923</v>
      </c>
      <c r="N466" s="1031"/>
      <c r="O466" s="87"/>
      <c r="P466" s="87"/>
    </row>
    <row r="467" spans="1:22" ht="13" x14ac:dyDescent="0.3">
      <c r="A467" s="1380"/>
      <c r="B467" s="353" t="s">
        <v>113</v>
      </c>
      <c r="G467" s="93">
        <f ca="1">IF(Dashboard!$D6=0,G273,IF(ABS(G276-G468)&lt;0.01,G468,G468+G469*(G276-G468)))</f>
        <v>120</v>
      </c>
      <c r="H467" s="93">
        <f ca="1">IF(Dashboard!$D6=0,H273,IF(ABS(H276-H468)&lt;0.01,H468,H468+H469*(H276-H468)))</f>
        <v>120</v>
      </c>
      <c r="I467" s="93">
        <f ca="1">IF(Dashboard!$D6=0,I273,IF(ABS(I276-I468)&lt;0.01,I468,I468+I469*(I276-I468)))</f>
        <v>108.29190362479697</v>
      </c>
      <c r="J467" s="93">
        <f ca="1">IF(Dashboard!$D6=0,J273,IF(ABS(J276-J468)&lt;0.01,J468,J468+J469*(J276-J468)))</f>
        <v>93.863238032287995</v>
      </c>
      <c r="K467" s="93">
        <f ca="1">IF(Dashboard!$D6=0,K273,IF(ABS(K276-K468)&lt;0.01,K468,K468+K469*(K276-K468)))</f>
        <v>77.101115577562737</v>
      </c>
      <c r="L467" s="93">
        <f ca="1">IF(Dashboard!$D6=0,L273,IF(ABS(L276-L468)&lt;0.01,L468,L468+L469*(L276-L468)))</f>
        <v>56.984427833363014</v>
      </c>
      <c r="M467" s="93">
        <f ca="1">IF(Dashboard!$D6=0,M273,IF(ABS(M276-M468)&lt;0.01,M468,M468+M469*(M276-M468)))</f>
        <v>30.316468795694671</v>
      </c>
      <c r="N467" s="120"/>
      <c r="O467" s="61"/>
      <c r="R467" s="240"/>
      <c r="S467" s="240"/>
      <c r="T467" s="240"/>
      <c r="U467" s="240"/>
      <c r="V467" s="240"/>
    </row>
    <row r="468" spans="1:22" ht="13" x14ac:dyDescent="0.3">
      <c r="A468" s="1380"/>
      <c r="B468" s="353" t="s">
        <v>628</v>
      </c>
      <c r="G468" s="93">
        <f t="shared" ref="G468:M468" ca="1" si="214">G467</f>
        <v>120</v>
      </c>
      <c r="H468" s="93">
        <f t="shared" ca="1" si="214"/>
        <v>120</v>
      </c>
      <c r="I468" s="93">
        <f t="shared" ca="1" si="214"/>
        <v>108.29190362479697</v>
      </c>
      <c r="J468" s="93">
        <f t="shared" ca="1" si="214"/>
        <v>93.863238032287995</v>
      </c>
      <c r="K468" s="93">
        <f t="shared" ca="1" si="214"/>
        <v>77.101115577562737</v>
      </c>
      <c r="L468" s="93">
        <f t="shared" ca="1" si="214"/>
        <v>56.984427833363014</v>
      </c>
      <c r="M468" s="93">
        <f t="shared" ca="1" si="214"/>
        <v>30.316468795694671</v>
      </c>
      <c r="N468" s="120"/>
      <c r="O468" s="61"/>
    </row>
    <row r="469" spans="1:22" ht="13" x14ac:dyDescent="0.3">
      <c r="A469" s="1380"/>
      <c r="B469" s="353" t="s">
        <v>629</v>
      </c>
      <c r="G469" s="1310">
        <f t="shared" ref="G469:M469" ca="1" si="215">(1-G363/G214)</f>
        <v>0.75039032533906569</v>
      </c>
      <c r="H469" s="1310">
        <f t="shared" ca="1" si="215"/>
        <v>0.75039032533906569</v>
      </c>
      <c r="I469" s="1310">
        <f t="shared" ca="1" si="215"/>
        <v>0.77448566551455245</v>
      </c>
      <c r="J469" s="1310">
        <f t="shared" ca="1" si="215"/>
        <v>0.80424461146105386</v>
      </c>
      <c r="K469" s="1310">
        <f t="shared" ca="1" si="215"/>
        <v>0.83893065873429129</v>
      </c>
      <c r="L469" s="1310">
        <f t="shared" ca="1" si="215"/>
        <v>0.88071657152360783</v>
      </c>
      <c r="M469" s="1310">
        <f t="shared" ca="1" si="215"/>
        <v>0.93637633372892171</v>
      </c>
      <c r="N469" s="120"/>
      <c r="O469" s="120"/>
      <c r="Q469" s="240"/>
    </row>
    <row r="470" spans="1:22" ht="13" x14ac:dyDescent="0.3">
      <c r="A470" s="1380"/>
      <c r="B470" s="353" t="s">
        <v>630</v>
      </c>
      <c r="G470" s="11">
        <f ca="1">IF(Dashboard!$D6=0,0,IF(ABS(G471)&gt;(G81-2*G73/1000)/G296/2,0,IF(ABS(ROUND(G296,0)-G296)&lt;0.01,G471,G471+G472*(ROUND(G296,0)-G296))))</f>
        <v>0.11091784249069359</v>
      </c>
      <c r="H470" s="11">
        <f ca="1">IF(Dashboard!$D6=0,0,IF(ABS(H471)&gt;(H81-2*H73/1000)/H296/2,0,IF(ABS(ROUND(H296,0)-H296)&lt;0.01,H471,H471+H472*(ROUND(H296,0)-H296))))</f>
        <v>0.11091784249069359</v>
      </c>
      <c r="I470" s="11">
        <f ca="1">IF(Dashboard!$D6=0,0,IF(ABS(I471)&gt;(I81-2*I73/1000)/I296/2,0,IF(ABS(ROUND(I296,0)-I296)&lt;0.01,I471,I471+I472*(ROUND(I296,0)-I296))))</f>
        <v>4.688337049533544E-2</v>
      </c>
      <c r="J470" s="11">
        <f ca="1">IF(Dashboard!$D6=0,0,IF(ABS(J471)&gt;(J81-2*J73/1000)/J296/2,0,IF(ABS(ROUND(J296,0)-J296)&lt;0.01,J471,J471+J472*(ROUND(J296,0)-J296))))</f>
        <v>0.16471524911147775</v>
      </c>
      <c r="K470" s="11">
        <f ca="1">IF(Dashboard!$D6=0,0,IF(ABS(K471)&gt;(K81-2*K73/1000)/K296/2,0,IF(ABS(ROUND(K296,0)-K296)&lt;0.01,K471,K471+K472*(ROUND(K296,0)-K296))))</f>
        <v>-4.5104218041659691E-2</v>
      </c>
      <c r="L470" s="11">
        <f ca="1">IF(Dashboard!$D6=0,0,IF(ABS(L471)&gt;(L81-2*L73/1000)/L296/2,0,IF(ABS(ROUND(L296,0)-L296)&lt;0.01,L471,L471+L472*(ROUND(L296,0)-L296))))</f>
        <v>5.6724738105831569E-2</v>
      </c>
      <c r="M470" s="11">
        <f ca="1">IF(Dashboard!$D6=0,0,IF(ABS(M471)&gt;(M81-2*M73/1000)/M296/2,0,IF(ABS(ROUND(M296,0)-M296)&lt;0.01,M471,M471+M472*(ROUND(M296,0)-M296))))</f>
        <v>-1.5952708834386455E-2</v>
      </c>
      <c r="N470" s="120"/>
      <c r="O470" s="240"/>
      <c r="P470" s="240"/>
    </row>
    <row r="471" spans="1:22" ht="13" x14ac:dyDescent="0.3">
      <c r="A471" s="1380"/>
      <c r="B471" s="353" t="s">
        <v>631</v>
      </c>
      <c r="G471" s="101">
        <f t="shared" ref="G471:M471" ca="1" si="216">G470</f>
        <v>0.11091784249069359</v>
      </c>
      <c r="H471" s="101">
        <f t="shared" ca="1" si="216"/>
        <v>0.11091784249069359</v>
      </c>
      <c r="I471" s="101">
        <f t="shared" ca="1" si="216"/>
        <v>4.688337049533544E-2</v>
      </c>
      <c r="J471" s="101">
        <f t="shared" ca="1" si="216"/>
        <v>0.16471524911147775</v>
      </c>
      <c r="K471" s="101">
        <f t="shared" ca="1" si="216"/>
        <v>-4.5104218041659691E-2</v>
      </c>
      <c r="L471" s="101">
        <f t="shared" ca="1" si="216"/>
        <v>5.6724738105831569E-2</v>
      </c>
      <c r="M471" s="101">
        <f t="shared" ca="1" si="216"/>
        <v>-1.5952708834386455E-2</v>
      </c>
      <c r="N471" s="120"/>
      <c r="O471" s="213"/>
    </row>
    <row r="472" spans="1:22" ht="13" x14ac:dyDescent="0.3">
      <c r="A472" s="1380"/>
      <c r="B472" s="353" t="s">
        <v>632</v>
      </c>
      <c r="G472" s="102">
        <f t="shared" ref="G472:M472" si="217">0.1</f>
        <v>0.1</v>
      </c>
      <c r="H472" s="102">
        <f t="shared" si="217"/>
        <v>0.1</v>
      </c>
      <c r="I472" s="102">
        <f t="shared" si="217"/>
        <v>0.1</v>
      </c>
      <c r="J472" s="102">
        <f t="shared" si="217"/>
        <v>0.1</v>
      </c>
      <c r="K472" s="102">
        <f t="shared" si="217"/>
        <v>0.1</v>
      </c>
      <c r="L472" s="102">
        <f t="shared" si="217"/>
        <v>0.1</v>
      </c>
      <c r="M472" s="102">
        <f t="shared" si="217"/>
        <v>0.1</v>
      </c>
      <c r="N472" s="120"/>
      <c r="O472" s="213"/>
    </row>
    <row r="473" spans="1:22" ht="13.5" thickBot="1" x14ac:dyDescent="0.35">
      <c r="A473" s="1380"/>
      <c r="B473" s="122"/>
      <c r="G473" s="128"/>
      <c r="H473" s="128"/>
      <c r="I473" s="128"/>
      <c r="J473" s="128"/>
      <c r="K473" s="128"/>
      <c r="L473" s="128"/>
      <c r="M473" s="128"/>
      <c r="N473" s="120"/>
      <c r="O473" s="142"/>
    </row>
    <row r="474" spans="1:22" ht="20.5" thickBot="1" x14ac:dyDescent="0.45">
      <c r="A474" s="1380"/>
      <c r="B474" s="1453" t="s">
        <v>633</v>
      </c>
      <c r="C474" s="1454"/>
      <c r="D474" s="1454"/>
      <c r="E474" s="1454"/>
      <c r="F474" s="1454"/>
      <c r="G474" s="1454"/>
      <c r="H474" s="1454"/>
      <c r="I474" s="1454"/>
      <c r="J474" s="1454"/>
      <c r="K474" s="1454"/>
      <c r="L474" s="1454"/>
      <c r="M474" s="1455"/>
      <c r="N474" s="120"/>
      <c r="O474" s="142"/>
    </row>
    <row r="475" spans="1:22" ht="13" x14ac:dyDescent="0.3">
      <c r="A475" s="1380"/>
      <c r="B475" s="122"/>
      <c r="G475" s="128"/>
      <c r="H475" s="128"/>
      <c r="I475" s="128"/>
      <c r="J475" s="128"/>
      <c r="K475" s="128"/>
      <c r="L475" s="128"/>
      <c r="M475" s="128"/>
      <c r="N475" s="120"/>
      <c r="O475" s="142"/>
    </row>
    <row r="476" spans="1:22" ht="13" x14ac:dyDescent="0.3">
      <c r="A476" s="1380"/>
      <c r="B476" s="1050" t="s">
        <v>634</v>
      </c>
      <c r="C476" s="1050"/>
      <c r="D476" s="1050"/>
      <c r="E476" s="1050"/>
      <c r="F476" s="1050"/>
      <c r="G476" s="473">
        <f t="shared" ref="G476:M476" ca="1" si="218">G360</f>
        <v>480.27467992176258</v>
      </c>
      <c r="H476" s="473">
        <f t="shared" ca="1" si="218"/>
        <v>480.27467992176258</v>
      </c>
      <c r="I476" s="473">
        <f t="shared" ca="1" si="218"/>
        <v>525.15774318809815</v>
      </c>
      <c r="J476" s="473">
        <f t="shared" ca="1" si="218"/>
        <v>593.83376160044793</v>
      </c>
      <c r="K476" s="473">
        <f t="shared" ca="1" si="218"/>
        <v>700.21713621164781</v>
      </c>
      <c r="L476" s="473">
        <f t="shared" ca="1" si="218"/>
        <v>893.31582663602194</v>
      </c>
      <c r="M476" s="473">
        <f t="shared" ca="1" si="218"/>
        <v>1411.1752017052218</v>
      </c>
      <c r="N476" s="120"/>
      <c r="O476" s="214"/>
    </row>
    <row r="477" spans="1:22" ht="13" x14ac:dyDescent="0.3">
      <c r="A477" s="1380"/>
      <c r="B477" s="1050" t="s">
        <v>635</v>
      </c>
      <c r="C477" s="1050"/>
      <c r="D477" s="1050"/>
      <c r="E477" s="1050"/>
      <c r="F477" s="1050"/>
      <c r="G477" s="227">
        <f t="shared" ref="G477:M477" ca="1" si="219">G355</f>
        <v>99.999999999999972</v>
      </c>
      <c r="H477" s="227">
        <f t="shared" ca="1" si="219"/>
        <v>99.999999999999972</v>
      </c>
      <c r="I477" s="227">
        <f t="shared" ca="1" si="219"/>
        <v>99.999999999999957</v>
      </c>
      <c r="J477" s="227">
        <f t="shared" ca="1" si="219"/>
        <v>99.999999999999957</v>
      </c>
      <c r="K477" s="227">
        <f t="shared" ca="1" si="219"/>
        <v>99.999999999999957</v>
      </c>
      <c r="L477" s="227">
        <f t="shared" ca="1" si="219"/>
        <v>99.999999999999957</v>
      </c>
      <c r="M477" s="227">
        <f t="shared" ca="1" si="219"/>
        <v>100.00000000000048</v>
      </c>
      <c r="N477" s="53"/>
      <c r="O477" s="120"/>
    </row>
    <row r="478" spans="1:22" ht="13" x14ac:dyDescent="0.3">
      <c r="A478" s="1380"/>
      <c r="B478" s="1050" t="s">
        <v>636</v>
      </c>
      <c r="C478" s="1050"/>
      <c r="D478" s="1050"/>
      <c r="E478" s="1050"/>
      <c r="F478" s="1050"/>
      <c r="G478" s="227">
        <f t="shared" ref="G478:M478" ca="1" si="220">G476/G477</f>
        <v>4.8027467992176271</v>
      </c>
      <c r="H478" s="227">
        <f t="shared" ca="1" si="220"/>
        <v>4.8027467992176271</v>
      </c>
      <c r="I478" s="227">
        <f t="shared" ca="1" si="220"/>
        <v>5.2515774318809836</v>
      </c>
      <c r="J478" s="227">
        <f t="shared" ca="1" si="220"/>
        <v>5.9383376160044818</v>
      </c>
      <c r="K478" s="227">
        <f t="shared" ca="1" si="220"/>
        <v>7.0021713621164814</v>
      </c>
      <c r="L478" s="227">
        <f t="shared" ca="1" si="220"/>
        <v>8.9331582663602234</v>
      </c>
      <c r="M478" s="227">
        <f t="shared" ca="1" si="220"/>
        <v>14.111752017052149</v>
      </c>
      <c r="N478" s="120"/>
      <c r="O478" s="47"/>
      <c r="P478" s="62"/>
    </row>
    <row r="479" spans="1:22" ht="15.5" x14ac:dyDescent="0.4">
      <c r="A479" s="1380"/>
      <c r="B479" s="1050" t="s">
        <v>637</v>
      </c>
      <c r="C479" s="1050"/>
      <c r="D479" s="1050"/>
      <c r="E479" s="1050"/>
      <c r="F479" s="1050"/>
      <c r="G479" s="227">
        <f t="shared" ref="G479:M479" ca="1" si="221">G477*(G459/100)</f>
        <v>84.999999999999972</v>
      </c>
      <c r="H479" s="227">
        <f t="shared" ca="1" si="221"/>
        <v>84.999999999999972</v>
      </c>
      <c r="I479" s="227">
        <f t="shared" ca="1" si="221"/>
        <v>84.999999999999957</v>
      </c>
      <c r="J479" s="227">
        <f t="shared" ca="1" si="221"/>
        <v>84.999999999999957</v>
      </c>
      <c r="K479" s="227">
        <f t="shared" ca="1" si="221"/>
        <v>84.999999999999957</v>
      </c>
      <c r="L479" s="227">
        <f t="shared" ca="1" si="221"/>
        <v>84.999999999999957</v>
      </c>
      <c r="M479" s="227">
        <f t="shared" ca="1" si="221"/>
        <v>85.000000000000412</v>
      </c>
      <c r="N479" s="47"/>
      <c r="O479" s="47"/>
      <c r="P479" s="47"/>
      <c r="Q479" s="122"/>
    </row>
    <row r="480" spans="1:22" ht="13" x14ac:dyDescent="0.3">
      <c r="A480" s="1380"/>
      <c r="B480" s="1050" t="s">
        <v>638</v>
      </c>
      <c r="C480" s="1050"/>
      <c r="D480" s="1050"/>
      <c r="E480" s="1050"/>
      <c r="F480" s="1050"/>
      <c r="G480" s="473">
        <f t="shared" ref="G480:M480" ca="1" si="222">G448</f>
        <v>488.72637525178504</v>
      </c>
      <c r="H480" s="473">
        <f t="shared" ca="1" si="222"/>
        <v>488.72637525178504</v>
      </c>
      <c r="I480" s="473">
        <f t="shared" ca="1" si="222"/>
        <v>492.05962388653103</v>
      </c>
      <c r="J480" s="473">
        <f t="shared" ca="1" si="222"/>
        <v>498.55563481473871</v>
      </c>
      <c r="K480" s="473">
        <f t="shared" ca="1" si="222"/>
        <v>507.26079571431472</v>
      </c>
      <c r="L480" s="473">
        <f t="shared" ca="1" si="222"/>
        <v>527.48263801119629</v>
      </c>
      <c r="M480" s="473">
        <f t="shared" ca="1" si="222"/>
        <v>593.86964355372754</v>
      </c>
      <c r="N480" s="47"/>
      <c r="O480" s="213"/>
      <c r="P480" s="122"/>
    </row>
    <row r="481" spans="1:40" ht="13" x14ac:dyDescent="0.3">
      <c r="A481" s="1380"/>
      <c r="B481" s="1050" t="s">
        <v>639</v>
      </c>
      <c r="C481" s="1050"/>
      <c r="D481" s="1050"/>
      <c r="E481" s="1050"/>
      <c r="F481" s="1050"/>
      <c r="G481" s="227">
        <f t="shared" ref="G481:M481" ca="1" si="223">G77/1000</f>
        <v>0.74412404318622261</v>
      </c>
      <c r="H481" s="227">
        <f t="shared" ca="1" si="223"/>
        <v>0.74412404318622261</v>
      </c>
      <c r="I481" s="227">
        <f t="shared" ca="1" si="223"/>
        <v>0.75173532434814561</v>
      </c>
      <c r="J481" s="227">
        <f t="shared" ca="1" si="223"/>
        <v>0.76416940449658188</v>
      </c>
      <c r="K481" s="227">
        <f t="shared" ca="1" si="223"/>
        <v>0.78446214023554905</v>
      </c>
      <c r="L481" s="227">
        <f t="shared" ca="1" si="223"/>
        <v>0.82582956133947338</v>
      </c>
      <c r="M481" s="227">
        <f t="shared" ca="1" si="223"/>
        <v>0.96623717413132604</v>
      </c>
      <c r="N481" s="47"/>
      <c r="O481" s="214"/>
      <c r="P481" s="120"/>
    </row>
    <row r="482" spans="1:40" ht="13" x14ac:dyDescent="0.3">
      <c r="A482" s="1380"/>
      <c r="B482" s="1050" t="s">
        <v>214</v>
      </c>
      <c r="C482" s="1050"/>
      <c r="D482" s="1050"/>
      <c r="E482" s="1050"/>
      <c r="F482" s="1050"/>
      <c r="G482" s="473">
        <f t="shared" ref="G482:M482" ca="1" si="224">G481*G31</f>
        <v>297.64961727448906</v>
      </c>
      <c r="H482" s="473">
        <f t="shared" ca="1" si="224"/>
        <v>297.64961727448906</v>
      </c>
      <c r="I482" s="473">
        <f t="shared" ca="1" si="224"/>
        <v>300.69412973925824</v>
      </c>
      <c r="J482" s="473">
        <f t="shared" ca="1" si="224"/>
        <v>305.66776179863274</v>
      </c>
      <c r="K482" s="473">
        <f t="shared" ca="1" si="224"/>
        <v>313.78485609421961</v>
      </c>
      <c r="L482" s="473">
        <f t="shared" ca="1" si="224"/>
        <v>330.33182453578934</v>
      </c>
      <c r="M482" s="473">
        <f t="shared" ca="1" si="224"/>
        <v>386.49486965253044</v>
      </c>
      <c r="N482" s="47"/>
      <c r="O482" s="214"/>
      <c r="P482" s="120"/>
    </row>
    <row r="483" spans="1:40" ht="13" x14ac:dyDescent="0.3">
      <c r="A483" s="1380"/>
      <c r="B483" s="1050" t="s">
        <v>166</v>
      </c>
      <c r="C483" s="1050"/>
      <c r="D483" s="1050"/>
      <c r="E483" s="1050"/>
      <c r="F483" s="1050"/>
      <c r="G483" s="473">
        <f t="shared" ref="G483:M483" ca="1" si="225">G447 + G454</f>
        <v>296.9915155888695</v>
      </c>
      <c r="H483" s="473">
        <f t="shared" ca="1" si="225"/>
        <v>296.9915155888695</v>
      </c>
      <c r="I483" s="473">
        <f t="shared" ca="1" si="225"/>
        <v>298.14962825522099</v>
      </c>
      <c r="J483" s="473">
        <f t="shared" ca="1" si="225"/>
        <v>301.48839842243109</v>
      </c>
      <c r="K483" s="473">
        <f t="shared" ca="1" si="225"/>
        <v>304.35667460278182</v>
      </c>
      <c r="L483" s="473">
        <f t="shared" ca="1" si="225"/>
        <v>313.63989128626872</v>
      </c>
      <c r="M483" s="473">
        <f t="shared" ca="1" si="225"/>
        <v>342.31935059132724</v>
      </c>
      <c r="N483" s="120"/>
      <c r="O483" s="47"/>
      <c r="P483" s="120"/>
    </row>
    <row r="484" spans="1:40" ht="13" x14ac:dyDescent="0.3">
      <c r="A484" s="1380"/>
      <c r="B484" s="1050" t="s">
        <v>640</v>
      </c>
      <c r="C484" s="1050"/>
      <c r="D484" s="1050"/>
      <c r="E484" s="1050"/>
      <c r="F484" s="1050"/>
      <c r="G484" s="227">
        <f t="shared" ref="G484:M484" ca="1" si="226">G307/1000</f>
        <v>0.38665753916138867</v>
      </c>
      <c r="H484" s="227">
        <f t="shared" ca="1" si="226"/>
        <v>0.38665753916138867</v>
      </c>
      <c r="I484" s="227">
        <f t="shared" ca="1" si="226"/>
        <v>0.38906424632669606</v>
      </c>
      <c r="J484" s="227">
        <f t="shared" ca="1" si="226"/>
        <v>0.39435552648341804</v>
      </c>
      <c r="K484" s="227">
        <f t="shared" ca="1" si="226"/>
        <v>0.40061870986605758</v>
      </c>
      <c r="L484" s="227">
        <f t="shared" ca="1" si="226"/>
        <v>0.41664704320989582</v>
      </c>
      <c r="M484" s="227">
        <f t="shared" ca="1" si="226"/>
        <v>0.46878257754476188</v>
      </c>
      <c r="N484" s="47"/>
      <c r="O484" s="213"/>
      <c r="P484" s="120"/>
      <c r="R484" s="240"/>
      <c r="S484" s="240"/>
      <c r="T484" s="240"/>
      <c r="U484" s="240"/>
      <c r="V484" s="240"/>
    </row>
    <row r="485" spans="1:40" ht="13" x14ac:dyDescent="0.3">
      <c r="A485" s="1380"/>
      <c r="B485" s="1050" t="s">
        <v>212</v>
      </c>
      <c r="C485" s="1050"/>
      <c r="D485" s="1050"/>
      <c r="E485" s="1050"/>
      <c r="F485" s="1050"/>
      <c r="G485" s="473">
        <f t="shared" ref="G485:M485" ca="1" si="227">G484*G31</f>
        <v>154.66301566455547</v>
      </c>
      <c r="H485" s="473">
        <f t="shared" ca="1" si="227"/>
        <v>154.66301566455547</v>
      </c>
      <c r="I485" s="473">
        <f t="shared" ca="1" si="227"/>
        <v>155.62569853067842</v>
      </c>
      <c r="J485" s="473">
        <f t="shared" ca="1" si="227"/>
        <v>157.74221059336722</v>
      </c>
      <c r="K485" s="473">
        <f t="shared" ca="1" si="227"/>
        <v>160.24748394642302</v>
      </c>
      <c r="L485" s="473">
        <f t="shared" ca="1" si="227"/>
        <v>166.65881728395831</v>
      </c>
      <c r="M485" s="473">
        <f t="shared" ca="1" si="227"/>
        <v>187.51303101790475</v>
      </c>
      <c r="N485" s="47"/>
      <c r="O485" s="213"/>
      <c r="P485" s="120"/>
      <c r="R485" s="240"/>
      <c r="S485" s="240"/>
      <c r="T485" s="240"/>
      <c r="U485" s="240"/>
      <c r="V485" s="240"/>
    </row>
    <row r="486" spans="1:40" ht="13" x14ac:dyDescent="0.3">
      <c r="A486" s="1380"/>
      <c r="B486" s="1051" t="s">
        <v>217</v>
      </c>
      <c r="C486" s="1051"/>
      <c r="D486" s="1051"/>
      <c r="E486" s="1051"/>
      <c r="F486" s="1051"/>
      <c r="G486" s="474">
        <f t="shared" ref="G486:M486" ca="1" si="228">(G477*1000/G32)/G481</f>
        <v>335.9654916262873</v>
      </c>
      <c r="H486" s="474">
        <f t="shared" ca="1" si="228"/>
        <v>335.9654916262873</v>
      </c>
      <c r="I486" s="474">
        <f t="shared" ca="1" si="228"/>
        <v>332.56385845215283</v>
      </c>
      <c r="J486" s="474">
        <f t="shared" ca="1" si="228"/>
        <v>327.15259015727594</v>
      </c>
      <c r="K486" s="474">
        <f t="shared" ca="1" si="228"/>
        <v>318.68969473138986</v>
      </c>
      <c r="L486" s="474">
        <f t="shared" ca="1" si="228"/>
        <v>302.72590338677946</v>
      </c>
      <c r="M486" s="474">
        <f t="shared" ca="1" si="228"/>
        <v>258.73564658155294</v>
      </c>
      <c r="N486" s="120"/>
      <c r="O486" s="120"/>
      <c r="P486" s="120"/>
    </row>
    <row r="487" spans="1:40" ht="13" x14ac:dyDescent="0.3">
      <c r="A487" s="1380"/>
      <c r="B487" s="1051" t="s">
        <v>216</v>
      </c>
      <c r="C487" s="1051"/>
      <c r="D487" s="1051"/>
      <c r="E487" s="1051"/>
      <c r="F487" s="1051"/>
      <c r="G487" s="474">
        <f t="shared" ref="G487:M487" ca="1" si="229">(G477*1000/G32)/G484</f>
        <v>646.56698675064843</v>
      </c>
      <c r="H487" s="474">
        <f t="shared" ca="1" si="229"/>
        <v>646.56698675064843</v>
      </c>
      <c r="I487" s="474">
        <f t="shared" ca="1" si="229"/>
        <v>642.56739692825863</v>
      </c>
      <c r="J487" s="474">
        <f t="shared" ca="1" si="229"/>
        <v>633.94572463411885</v>
      </c>
      <c r="K487" s="474">
        <f t="shared" ca="1" si="229"/>
        <v>624.03475884484931</v>
      </c>
      <c r="L487" s="474">
        <f t="shared" ca="1" si="229"/>
        <v>600.02825910864908</v>
      </c>
      <c r="M487" s="474">
        <f t="shared" ca="1" si="229"/>
        <v>533.29626990271379</v>
      </c>
      <c r="N487" s="47"/>
      <c r="O487" s="61"/>
      <c r="P487" s="120"/>
      <c r="Q487" s="240"/>
    </row>
    <row r="488" spans="1:40" ht="13" x14ac:dyDescent="0.3">
      <c r="A488" s="1380"/>
      <c r="B488" s="1050" t="s">
        <v>172</v>
      </c>
      <c r="C488" s="1050"/>
      <c r="D488" s="1050"/>
      <c r="E488" s="1050"/>
      <c r="F488" s="1050"/>
      <c r="G488" s="474">
        <f t="shared" ref="G488:M488" ca="1" si="230">G477*1000/G480</f>
        <v>204.61347098052843</v>
      </c>
      <c r="H488" s="474">
        <f t="shared" ca="1" si="230"/>
        <v>204.61347098052843</v>
      </c>
      <c r="I488" s="474">
        <f t="shared" ca="1" si="230"/>
        <v>203.22740404943275</v>
      </c>
      <c r="J488" s="474">
        <f t="shared" ca="1" si="230"/>
        <v>200.57941986185665</v>
      </c>
      <c r="K488" s="474">
        <f t="shared" ca="1" si="230"/>
        <v>197.13725335146768</v>
      </c>
      <c r="L488" s="474">
        <f t="shared" ca="1" si="230"/>
        <v>189.57969948932683</v>
      </c>
      <c r="M488" s="474">
        <f t="shared" ca="1" si="230"/>
        <v>168.38712179595259</v>
      </c>
      <c r="N488" s="62"/>
      <c r="O488" s="240"/>
      <c r="P488" s="240"/>
    </row>
    <row r="489" spans="1:40" ht="13" x14ac:dyDescent="0.3">
      <c r="A489" s="1380"/>
      <c r="B489" s="1050" t="s">
        <v>171</v>
      </c>
      <c r="C489" s="1050"/>
      <c r="D489" s="1050"/>
      <c r="E489" s="1050"/>
      <c r="F489" s="1050"/>
      <c r="G489" s="474">
        <f t="shared" ref="G489:M489" ca="1" si="231">G477*1000/G483</f>
        <v>336.70995550738797</v>
      </c>
      <c r="H489" s="474">
        <f t="shared" ca="1" si="231"/>
        <v>336.70995550738797</v>
      </c>
      <c r="I489" s="474">
        <f t="shared" ca="1" si="231"/>
        <v>335.4020616601216</v>
      </c>
      <c r="J489" s="474">
        <f t="shared" ca="1" si="231"/>
        <v>331.68772172747009</v>
      </c>
      <c r="K489" s="474">
        <f t="shared" ca="1" si="231"/>
        <v>328.56187606370293</v>
      </c>
      <c r="L489" s="474">
        <f t="shared" ca="1" si="231"/>
        <v>318.83699356574158</v>
      </c>
      <c r="M489" s="474">
        <f t="shared" ca="1" si="231"/>
        <v>292.12488229852937</v>
      </c>
      <c r="N489" s="62"/>
      <c r="Q489" s="89"/>
    </row>
    <row r="490" spans="1:40" ht="13.5" thickBot="1" x14ac:dyDescent="0.35">
      <c r="A490" s="1380"/>
      <c r="B490" s="1050"/>
      <c r="C490" s="1050"/>
      <c r="D490" s="1050"/>
      <c r="E490" s="1050"/>
      <c r="F490" s="1050"/>
      <c r="G490" s="474"/>
      <c r="H490" s="474"/>
      <c r="I490" s="474"/>
      <c r="J490" s="474"/>
      <c r="K490" s="474"/>
      <c r="L490" s="474"/>
      <c r="M490" s="474"/>
      <c r="N490" s="62"/>
      <c r="Q490" s="89"/>
    </row>
    <row r="491" spans="1:40" ht="20.5" thickBot="1" x14ac:dyDescent="0.45">
      <c r="A491"/>
      <c r="B491" s="1453" t="s">
        <v>641</v>
      </c>
      <c r="C491" s="1454"/>
      <c r="D491" s="1454"/>
      <c r="E491" s="1454"/>
      <c r="F491" s="1454"/>
      <c r="G491" s="1454"/>
      <c r="H491" s="1454"/>
      <c r="I491" s="1454"/>
      <c r="J491" s="1454"/>
      <c r="K491" s="1454"/>
      <c r="L491" s="1454"/>
      <c r="M491" s="1455"/>
      <c r="N491"/>
      <c r="O491"/>
      <c r="P491" s="193"/>
      <c r="Q491" s="88"/>
      <c r="R491" s="146"/>
      <c r="S491" s="146"/>
      <c r="T491" s="146"/>
      <c r="U491" s="146"/>
      <c r="V491" s="146"/>
      <c r="W491" s="146"/>
      <c r="X491" s="146"/>
      <c r="Y491" s="90"/>
      <c r="Z491" s="235"/>
      <c r="AA491" s="235"/>
      <c r="AB491" s="235"/>
      <c r="AC491" s="235"/>
      <c r="AD491" s="235"/>
      <c r="AE491" s="235"/>
      <c r="AF491" s="235"/>
      <c r="AG491" s="90"/>
      <c r="AH491" s="147"/>
      <c r="AI491" s="147"/>
      <c r="AJ491" s="147"/>
      <c r="AK491" s="147"/>
      <c r="AL491" s="147"/>
      <c r="AM491" s="147"/>
      <c r="AN491" s="147"/>
    </row>
    <row r="492" spans="1:40" ht="18" x14ac:dyDescent="0.4">
      <c r="A492"/>
      <c r="N492"/>
      <c r="O492"/>
      <c r="P492" s="183"/>
      <c r="R492" s="192"/>
      <c r="S492" s="192"/>
      <c r="T492" s="192"/>
      <c r="U492" s="192"/>
      <c r="V492" s="192"/>
      <c r="W492" s="192"/>
      <c r="X492" s="90"/>
    </row>
    <row r="493" spans="1:40" ht="15.5" x14ac:dyDescent="0.35">
      <c r="B493" s="6" t="s">
        <v>642</v>
      </c>
      <c r="F493" s="6" t="s">
        <v>643</v>
      </c>
    </row>
    <row r="494" spans="1:40" x14ac:dyDescent="0.25">
      <c r="B494" s="353" t="s">
        <v>644</v>
      </c>
      <c r="F494" s="353">
        <v>1</v>
      </c>
      <c r="G494" s="1276" t="str">
        <f t="shared" ref="G494:M494" si="232">IF(MOD(G25, G26) = 0, "", $F494 &amp; ", ")</f>
        <v/>
      </c>
      <c r="H494" s="1276" t="str">
        <f t="shared" si="232"/>
        <v/>
      </c>
      <c r="I494" s="1276" t="str">
        <f t="shared" si="232"/>
        <v/>
      </c>
      <c r="J494" s="1276" t="str">
        <f t="shared" si="232"/>
        <v/>
      </c>
      <c r="K494" s="1276" t="str">
        <f t="shared" si="232"/>
        <v/>
      </c>
      <c r="L494" s="1276" t="str">
        <f t="shared" si="232"/>
        <v/>
      </c>
      <c r="M494" s="1276" t="str">
        <f t="shared" si="232"/>
        <v/>
      </c>
    </row>
    <row r="495" spans="1:40" x14ac:dyDescent="0.25">
      <c r="B495" s="353" t="s">
        <v>645</v>
      </c>
      <c r="F495" s="353">
        <f>F494+1</f>
        <v>2</v>
      </c>
      <c r="G495" s="1276" t="str">
        <f t="shared" ref="G495:M495" si="233">IF(MOD(G28, G30) = 0, "", $F495 &amp; ", ")</f>
        <v/>
      </c>
      <c r="H495" s="1276" t="str">
        <f t="shared" si="233"/>
        <v/>
      </c>
      <c r="I495" s="1276" t="str">
        <f t="shared" si="233"/>
        <v/>
      </c>
      <c r="J495" s="1276" t="str">
        <f t="shared" si="233"/>
        <v/>
      </c>
      <c r="K495" s="1276" t="str">
        <f t="shared" si="233"/>
        <v/>
      </c>
      <c r="L495" s="1276" t="str">
        <f t="shared" si="233"/>
        <v/>
      </c>
      <c r="M495" s="1276" t="str">
        <f t="shared" si="233"/>
        <v/>
      </c>
    </row>
    <row r="496" spans="1:40" x14ac:dyDescent="0.25">
      <c r="B496" s="353" t="s">
        <v>646</v>
      </c>
      <c r="F496" s="353">
        <f>F495+1</f>
        <v>3</v>
      </c>
      <c r="G496" s="1276" t="str">
        <f t="shared" ref="G496:M496" ca="1" si="234">IF(G140 &lt; G123, $F496 &amp; ", ", "")</f>
        <v/>
      </c>
      <c r="H496" s="1276" t="str">
        <f t="shared" ca="1" si="234"/>
        <v/>
      </c>
      <c r="I496" s="1276" t="str">
        <f t="shared" ca="1" si="234"/>
        <v/>
      </c>
      <c r="J496" s="1276" t="str">
        <f t="shared" ca="1" si="234"/>
        <v/>
      </c>
      <c r="K496" s="1276" t="str">
        <f t="shared" ca="1" si="234"/>
        <v/>
      </c>
      <c r="L496" s="1276" t="str">
        <f t="shared" ca="1" si="234"/>
        <v/>
      </c>
      <c r="M496" s="1276" t="str">
        <f t="shared" ca="1" si="234"/>
        <v/>
      </c>
    </row>
    <row r="497" spans="1:44" ht="14.15" customHeight="1" x14ac:dyDescent="0.25">
      <c r="B497" s="353" t="s">
        <v>647</v>
      </c>
      <c r="F497" s="353">
        <f>F496+1</f>
        <v>4</v>
      </c>
      <c r="G497" s="53" t="str">
        <f ca="1">IF(G276 &lt; Chem!$C$27, $F497 &amp; ", ", "")</f>
        <v/>
      </c>
      <c r="H497" s="53" t="str">
        <f ca="1">IF(H276 &lt; Chem!$C$27, $F497 &amp; ", ", "")</f>
        <v/>
      </c>
      <c r="I497" s="53" t="str">
        <f ca="1">IF(I276 &lt; Chem!$C$27, $F497 &amp; ", ", "")</f>
        <v/>
      </c>
      <c r="J497" s="53" t="str">
        <f ca="1">IF(J276 &lt; Chem!$C$27, $F497 &amp; ", ", "")</f>
        <v/>
      </c>
      <c r="K497" s="53" t="str">
        <f ca="1">IF(K276 &lt; Chem!$C$27, $F497 &amp; ", ", "")</f>
        <v/>
      </c>
      <c r="L497" s="53" t="str">
        <f ca="1">IF(L276 &lt; Chem!$C$27, $F497 &amp; ", ", "")</f>
        <v/>
      </c>
      <c r="M497" s="53" t="str">
        <f ca="1">IF(M276 &lt; Chem!$C$27, $F497 &amp; ", ", "")</f>
        <v/>
      </c>
    </row>
    <row r="498" spans="1:44" ht="14.15" customHeight="1" x14ac:dyDescent="0.25">
      <c r="G498" s="90"/>
      <c r="H498" s="90"/>
      <c r="I498" s="90"/>
      <c r="J498" s="90"/>
      <c r="K498" s="90"/>
      <c r="L498" s="90"/>
      <c r="M498" s="90"/>
    </row>
    <row r="499" spans="1:44" ht="15.5" x14ac:dyDescent="0.35">
      <c r="B499" s="6" t="s">
        <v>648</v>
      </c>
      <c r="F499" s="6"/>
      <c r="G499" s="90"/>
      <c r="H499" s="90"/>
      <c r="I499" s="90"/>
      <c r="J499" s="90"/>
      <c r="K499" s="90"/>
      <c r="L499" s="90"/>
      <c r="M499" s="90"/>
    </row>
    <row r="500" spans="1:44" x14ac:dyDescent="0.25">
      <c r="B500" s="353" t="s">
        <v>649</v>
      </c>
      <c r="F500" s="353">
        <f>F497+1</f>
        <v>5</v>
      </c>
      <c r="G500" s="175" t="str">
        <f t="shared" ref="G500:M500" si="235">IF(OR(G28 = 1, G28 = 2, G28 =4), "", $F500 &amp; ", ")</f>
        <v/>
      </c>
      <c r="H500" s="175" t="str">
        <f t="shared" si="235"/>
        <v/>
      </c>
      <c r="I500" s="175" t="str">
        <f t="shared" si="235"/>
        <v/>
      </c>
      <c r="J500" s="175" t="str">
        <f t="shared" si="235"/>
        <v/>
      </c>
      <c r="K500" s="175" t="str">
        <f t="shared" si="235"/>
        <v/>
      </c>
      <c r="L500" s="175" t="str">
        <f t="shared" si="235"/>
        <v/>
      </c>
      <c r="M500" s="175" t="str">
        <f t="shared" si="235"/>
        <v/>
      </c>
    </row>
    <row r="501" spans="1:44" x14ac:dyDescent="0.25">
      <c r="B501" s="353" t="s">
        <v>650</v>
      </c>
      <c r="F501" s="353">
        <f>F500+1</f>
        <v>6</v>
      </c>
      <c r="G501" s="175" t="str">
        <f t="shared" ref="G501:M501" si="236">IF(OR(G30 = 1, G30 = 2), "", $F501 &amp; ", ")</f>
        <v/>
      </c>
      <c r="H501" s="175" t="str">
        <f t="shared" si="236"/>
        <v/>
      </c>
      <c r="I501" s="175" t="str">
        <f t="shared" si="236"/>
        <v/>
      </c>
      <c r="J501" s="175" t="str">
        <f t="shared" si="236"/>
        <v/>
      </c>
      <c r="K501" s="175" t="str">
        <f t="shared" si="236"/>
        <v/>
      </c>
      <c r="L501" s="175" t="str">
        <f t="shared" si="236"/>
        <v/>
      </c>
      <c r="M501" s="175" t="str">
        <f t="shared" si="236"/>
        <v/>
      </c>
    </row>
    <row r="502" spans="1:44" x14ac:dyDescent="0.25">
      <c r="B502" s="353" t="s">
        <v>651</v>
      </c>
      <c r="F502" s="353">
        <f>F501+1</f>
        <v>7</v>
      </c>
      <c r="G502" s="175" t="str">
        <f ca="1">IF(G140 &lt; 'Vehicle Considerations'!$B$18 + G123, $F502 &amp; ", ", "")</f>
        <v/>
      </c>
      <c r="H502" s="175" t="str">
        <f ca="1">IF(H140 &lt; 'Vehicle Considerations'!$B$18 + H123, $F502 &amp; ", ", "")</f>
        <v/>
      </c>
      <c r="I502" s="175" t="str">
        <f ca="1">IF(I140 &lt; 'Vehicle Considerations'!$B$18 + I123, $F502 &amp; ", ", "")</f>
        <v/>
      </c>
      <c r="J502" s="175" t="str">
        <f ca="1">IF(J140 &lt; 'Vehicle Considerations'!$B$18 + J123, $F502 &amp; ", ", "")</f>
        <v/>
      </c>
      <c r="K502" s="175" t="str">
        <f ca="1">IF(K140 &lt; 'Vehicle Considerations'!$B$18 + K123, $F502 &amp; ", ", "")</f>
        <v/>
      </c>
      <c r="L502" s="175" t="str">
        <f ca="1">IF(L140 &lt; 'Vehicle Considerations'!$B$18 + L123, $F502 &amp; ", ", "")</f>
        <v/>
      </c>
      <c r="M502" s="175" t="str">
        <f ca="1">IF(M140 &lt; 'Vehicle Considerations'!$B$18 + M123, $F502 &amp; ", ", "")</f>
        <v/>
      </c>
    </row>
    <row r="503" spans="1:44" x14ac:dyDescent="0.25">
      <c r="B503" s="353" t="s">
        <v>652</v>
      </c>
      <c r="F503" s="353">
        <f t="shared" ref="F503:F507" si="237">F502+1</f>
        <v>8</v>
      </c>
      <c r="G503" s="189" t="str">
        <f>IF(AND('Vehicle Considerations'!$B$20 = "Energy", ISERROR(FIND("Energy", Dashboard!$D$13)), NOT(ISERROR(FIND("Power", Dashboard!$D$13))) ), $F503 &amp; ", ", "")</f>
        <v/>
      </c>
      <c r="H503" s="189" t="str">
        <f>IF(AND('Vehicle Considerations'!$B$20 = "Energy", ISERROR(FIND("Energy", Dashboard!$D$13)), NOT(ISERROR(FIND("Power", Dashboard!$D$13))) ), $F503 &amp; ", ", "")</f>
        <v/>
      </c>
      <c r="I503" s="189" t="str">
        <f>IF(AND('Vehicle Considerations'!$B$20 = "Energy", ISERROR(FIND("Energy", Dashboard!$D$13)), NOT(ISERROR(FIND("Power", Dashboard!$D$13))) ), $F503 &amp; ", ", "")</f>
        <v/>
      </c>
      <c r="J503" s="189" t="str">
        <f>IF(AND('Vehicle Considerations'!$B$20 = "Energy", ISERROR(FIND("Energy", Dashboard!$D$13)), NOT(ISERROR(FIND("Power", Dashboard!$D$13))) ), $F503 &amp; ", ", "")</f>
        <v/>
      </c>
      <c r="K503" s="189" t="str">
        <f>IF(AND('Vehicle Considerations'!$B$20 = "Energy", ISERROR(FIND("Energy", Dashboard!$D$13)), NOT(ISERROR(FIND("Power", Dashboard!$D$13))) ), $F503 &amp; ", ", "")</f>
        <v/>
      </c>
      <c r="L503" s="189" t="str">
        <f>IF(AND('Vehicle Considerations'!$B$20 = "Energy", ISERROR(FIND("Energy", Dashboard!$D$13)), NOT(ISERROR(FIND("Power", Dashboard!$D$13))) ), $F503 &amp; ", ", "")</f>
        <v/>
      </c>
      <c r="M503" s="189" t="str">
        <f>IF(AND('Vehicle Considerations'!$B$20 = "Energy", ISERROR(FIND("Energy", Dashboard!$D$13)), NOT(ISERROR(FIND("Power", Dashboard!$D$13))) ), $F503 &amp; ", ", "")</f>
        <v/>
      </c>
    </row>
    <row r="504" spans="1:44" x14ac:dyDescent="0.25">
      <c r="B504" s="353" t="s">
        <v>653</v>
      </c>
      <c r="F504" s="353">
        <f t="shared" si="237"/>
        <v>9</v>
      </c>
      <c r="G504" s="189" t="str">
        <f>IF(AND('Vehicle Considerations'!$B$20 = "Power", ISERROR(FIND("Power", Dashboard!$D$13)), NOT(ISERROR(FIND("Energy", Dashboard!$D$13)))), $F504 &amp; ", ", "")</f>
        <v/>
      </c>
      <c r="H504" s="189" t="str">
        <f>IF(AND('Vehicle Considerations'!$B$20 = "Power", ISERROR(FIND("Power", Dashboard!$D$13)), NOT(ISERROR(FIND("Energy", Dashboard!$D$13)))), $F504 &amp; ", ", "")</f>
        <v/>
      </c>
      <c r="I504" s="189" t="str">
        <f>IF(AND('Vehicle Considerations'!$B$20 = "Power", ISERROR(FIND("Power", Dashboard!$D$13)), NOT(ISERROR(FIND("Energy", Dashboard!$D$13)))), $F504 &amp; ", ", "")</f>
        <v/>
      </c>
      <c r="J504" s="189" t="str">
        <f>IF(AND('Vehicle Considerations'!$B$20 = "Power", ISERROR(FIND("Power", Dashboard!$D$13)), NOT(ISERROR(FIND("Energy", Dashboard!$D$13)))), $F504 &amp; ", ", "")</f>
        <v/>
      </c>
      <c r="K504" s="189" t="str">
        <f>IF(AND('Vehicle Considerations'!$B$20 = "Power", ISERROR(FIND("Power", Dashboard!$D$13)), NOT(ISERROR(FIND("Energy", Dashboard!$D$13)))), $F504 &amp; ", ", "")</f>
        <v/>
      </c>
      <c r="L504" s="189" t="str">
        <f>IF(AND('Vehicle Considerations'!$B$20 = "Power", ISERROR(FIND("Power", Dashboard!$D$13)), NOT(ISERROR(FIND("Energy", Dashboard!$D$13)))), $F504 &amp; ", ", "")</f>
        <v/>
      </c>
      <c r="M504" s="189" t="str">
        <f>IF(AND('Vehicle Considerations'!$B$20 = "Power", ISERROR(FIND("Power", Dashboard!$D$13)), NOT(ISERROR(FIND("Energy", Dashboard!$D$13)))), $F504 &amp; ", ", "")</f>
        <v/>
      </c>
    </row>
    <row r="505" spans="1:44" x14ac:dyDescent="0.25">
      <c r="B505" s="353" t="s">
        <v>654</v>
      </c>
      <c r="F505" s="353">
        <f t="shared" si="237"/>
        <v>10</v>
      </c>
      <c r="G505" s="189" t="str">
        <f t="shared" ref="G505:M505" ca="1" si="238">IF(AND(G406 &gt; 1524, G407 &gt; 1524), $F505 &amp;", ", "")</f>
        <v/>
      </c>
      <c r="H505" s="189" t="str">
        <f t="shared" ca="1" si="238"/>
        <v/>
      </c>
      <c r="I505" s="189" t="str">
        <f t="shared" ca="1" si="238"/>
        <v/>
      </c>
      <c r="J505" s="189" t="str">
        <f t="shared" ca="1" si="238"/>
        <v/>
      </c>
      <c r="K505" s="189" t="str">
        <f t="shared" ca="1" si="238"/>
        <v/>
      </c>
      <c r="L505" s="189" t="str">
        <f t="shared" ca="1" si="238"/>
        <v/>
      </c>
      <c r="M505" s="189" t="str">
        <f t="shared" ca="1" si="238"/>
        <v/>
      </c>
    </row>
    <row r="506" spans="1:44" x14ac:dyDescent="0.25">
      <c r="B506" s="353" t="s">
        <v>655</v>
      </c>
      <c r="F506" s="353">
        <f t="shared" si="237"/>
        <v>11</v>
      </c>
      <c r="G506" s="189" t="str">
        <f t="shared" ref="G506:M506" ca="1" si="239">IF(G16 &gt; 1000, $F506 &amp; ", ", "")</f>
        <v/>
      </c>
      <c r="H506" s="189" t="str">
        <f t="shared" ca="1" si="239"/>
        <v/>
      </c>
      <c r="I506" s="189" t="str">
        <f t="shared" ca="1" si="239"/>
        <v/>
      </c>
      <c r="J506" s="189" t="str">
        <f t="shared" ca="1" si="239"/>
        <v/>
      </c>
      <c r="K506" s="189" t="str">
        <f t="shared" ca="1" si="239"/>
        <v/>
      </c>
      <c r="L506" s="189" t="str">
        <f t="shared" ca="1" si="239"/>
        <v/>
      </c>
      <c r="M506" s="189" t="str">
        <f t="shared" ca="1" si="239"/>
        <v/>
      </c>
    </row>
    <row r="507" spans="1:44" ht="13" x14ac:dyDescent="0.3">
      <c r="B507" s="353" t="s">
        <v>656</v>
      </c>
      <c r="F507" s="353">
        <f t="shared" si="237"/>
        <v>12</v>
      </c>
      <c r="G507" s="189" t="str">
        <f ca="1">IF(AND(G241&gt;G240,Dashboard!$D$34="Yes"),$F507&amp;", ","")</f>
        <v/>
      </c>
      <c r="H507" s="189" t="str">
        <f ca="1">IF(AND(H241&gt;H240,Dashboard!$D$34="Yes"),$F507&amp;", ","")</f>
        <v/>
      </c>
      <c r="I507" s="189" t="str">
        <f ca="1">IF(AND(I241&gt;I240,Dashboard!$D$34="Yes"),$F507&amp;", ","")</f>
        <v/>
      </c>
      <c r="J507" s="189" t="str">
        <f ca="1">IF(AND(J241&gt;J240,Dashboard!$D$34="Yes"),$F507&amp;", ","")</f>
        <v/>
      </c>
      <c r="K507" s="189" t="str">
        <f ca="1">IF(AND(K241&gt;K240,Dashboard!$D$34="Yes"),$F507&amp;", ","")</f>
        <v/>
      </c>
      <c r="L507" s="189" t="str">
        <f ca="1">IF(AND(L241&gt;L240,Dashboard!$D$34="Yes"),$F507&amp;", ","")</f>
        <v xml:space="preserve">12, </v>
      </c>
      <c r="M507" s="189" t="str">
        <f ca="1">IF(AND(M241&gt;M240,Dashboard!$D$34="Yes"),$F507&amp;", ","")</f>
        <v xml:space="preserve">12, </v>
      </c>
      <c r="N507" s="737"/>
    </row>
    <row r="508" spans="1:44" ht="13" x14ac:dyDescent="0.3">
      <c r="G508" s="189"/>
      <c r="H508" s="189"/>
      <c r="I508" s="189"/>
      <c r="J508" s="189"/>
      <c r="K508" s="189"/>
      <c r="L508" s="189"/>
      <c r="M508" s="189"/>
      <c r="N508" s="737"/>
    </row>
    <row r="509" spans="1:44" x14ac:dyDescent="0.25">
      <c r="G509" s="189"/>
      <c r="H509" s="189"/>
      <c r="I509" s="189"/>
      <c r="J509" s="189"/>
      <c r="K509" s="189"/>
      <c r="L509" s="189"/>
      <c r="M509" s="189"/>
    </row>
    <row r="510" spans="1:44" ht="15.5" x14ac:dyDescent="0.35">
      <c r="B510" s="6" t="s">
        <v>657</v>
      </c>
      <c r="G510" s="189"/>
      <c r="H510" s="189"/>
      <c r="I510" s="189"/>
      <c r="J510" s="189"/>
      <c r="K510" s="189"/>
      <c r="L510" s="189"/>
      <c r="M510" s="189"/>
    </row>
    <row r="511" spans="1:44" x14ac:dyDescent="0.25">
      <c r="A511"/>
      <c r="B511" s="353" t="s">
        <v>658</v>
      </c>
      <c r="G511" s="175" t="str">
        <f t="shared" ref="G511:M511" ca="1" si="240">G494 &amp; G495 &amp; G496 &amp; G497</f>
        <v/>
      </c>
      <c r="H511" s="175" t="str">
        <f t="shared" ca="1" si="240"/>
        <v/>
      </c>
      <c r="I511" s="175" t="str">
        <f t="shared" ca="1" si="240"/>
        <v/>
      </c>
      <c r="J511" s="175" t="str">
        <f t="shared" ca="1" si="240"/>
        <v/>
      </c>
      <c r="K511" s="175" t="str">
        <f t="shared" ca="1" si="240"/>
        <v/>
      </c>
      <c r="L511" s="175" t="str">
        <f t="shared" ca="1" si="240"/>
        <v/>
      </c>
      <c r="M511" s="175" t="str">
        <f t="shared" ca="1" si="240"/>
        <v/>
      </c>
      <c r="N511"/>
      <c r="O511"/>
      <c r="P511" s="120"/>
      <c r="Q511" s="84"/>
      <c r="AO511" s="190"/>
      <c r="AP511" s="190"/>
      <c r="AQ511" s="190"/>
      <c r="AR511" s="190"/>
    </row>
    <row r="512" spans="1:44" x14ac:dyDescent="0.25">
      <c r="A512"/>
      <c r="B512" s="353" t="s">
        <v>659</v>
      </c>
      <c r="G512" s="175" t="str">
        <f t="shared" ref="G512:M512" ca="1" si="241">IF(G511="","None",LEFT(G511,LEN(G511)-2))</f>
        <v>None</v>
      </c>
      <c r="H512" s="175" t="str">
        <f t="shared" ca="1" si="241"/>
        <v>None</v>
      </c>
      <c r="I512" s="175" t="str">
        <f t="shared" ca="1" si="241"/>
        <v>None</v>
      </c>
      <c r="J512" s="175" t="str">
        <f t="shared" ca="1" si="241"/>
        <v>None</v>
      </c>
      <c r="K512" s="175" t="str">
        <f t="shared" ca="1" si="241"/>
        <v>None</v>
      </c>
      <c r="L512" s="175" t="str">
        <f t="shared" ca="1" si="241"/>
        <v>None</v>
      </c>
      <c r="M512" s="175" t="str">
        <f t="shared" ca="1" si="241"/>
        <v>None</v>
      </c>
      <c r="N512"/>
      <c r="O512"/>
      <c r="P512" s="84"/>
      <c r="Q512" s="93"/>
    </row>
    <row r="513" spans="1:44" x14ac:dyDescent="0.25">
      <c r="A513"/>
      <c r="G513" s="175"/>
      <c r="H513" s="175"/>
      <c r="I513" s="175"/>
      <c r="J513" s="175"/>
      <c r="K513" s="175"/>
      <c r="L513" s="175"/>
      <c r="M513" s="175"/>
      <c r="N513"/>
      <c r="O513"/>
      <c r="P513" s="93"/>
      <c r="Q513" s="84"/>
      <c r="Y513" s="190"/>
      <c r="Z513" s="190"/>
      <c r="AA513" s="190"/>
      <c r="AB513" s="190"/>
      <c r="AC513" s="9"/>
      <c r="AD513" s="190"/>
      <c r="AE513" s="190"/>
      <c r="AF513" s="190"/>
      <c r="AG513" s="190"/>
      <c r="AH513" s="190"/>
      <c r="AI513" s="190"/>
      <c r="AJ513" s="190"/>
      <c r="AK513" s="9"/>
      <c r="AL513" s="190"/>
      <c r="AM513" s="190"/>
      <c r="AN513" s="190"/>
      <c r="AO513" s="117"/>
      <c r="AP513" s="117"/>
      <c r="AQ513" s="117"/>
      <c r="AR513" s="117"/>
    </row>
    <row r="514" spans="1:44" ht="12.75" customHeight="1" x14ac:dyDescent="0.25">
      <c r="A514"/>
      <c r="B514" s="353" t="s">
        <v>660</v>
      </c>
      <c r="G514" s="175" t="str">
        <f t="shared" ref="G514:M514" ca="1" si="242">G500&amp;G501 &amp;G502&amp;G503&amp;G504&amp;G505&amp;G506&amp;G507</f>
        <v/>
      </c>
      <c r="H514" s="175" t="str">
        <f t="shared" ca="1" si="242"/>
        <v/>
      </c>
      <c r="I514" s="175" t="str">
        <f t="shared" ca="1" si="242"/>
        <v/>
      </c>
      <c r="J514" s="175" t="str">
        <f t="shared" ca="1" si="242"/>
        <v/>
      </c>
      <c r="K514" s="175" t="str">
        <f t="shared" ca="1" si="242"/>
        <v/>
      </c>
      <c r="L514" s="175" t="str">
        <f t="shared" ca="1" si="242"/>
        <v xml:space="preserve">12, </v>
      </c>
      <c r="M514" s="175" t="str">
        <f t="shared" ca="1" si="242"/>
        <v xml:space="preserve">12, </v>
      </c>
      <c r="N514"/>
      <c r="O514"/>
      <c r="P514" s="84"/>
      <c r="Q514" s="84"/>
      <c r="Y514" s="9"/>
      <c r="Z514" s="9"/>
      <c r="AA514" s="9"/>
      <c r="AB514" s="9"/>
      <c r="AC514" s="9"/>
      <c r="AD514" s="9"/>
      <c r="AE514" s="9"/>
      <c r="AF514" s="9"/>
      <c r="AG514" s="9"/>
      <c r="AH514" s="9"/>
      <c r="AI514" s="9"/>
      <c r="AJ514" s="9"/>
      <c r="AK514" s="9"/>
      <c r="AL514" s="9"/>
      <c r="AM514" s="9"/>
      <c r="AN514" s="9"/>
      <c r="AO514" s="16"/>
      <c r="AP514" s="16"/>
      <c r="AQ514" s="16"/>
      <c r="AR514" s="16"/>
    </row>
    <row r="515" spans="1:44" x14ac:dyDescent="0.25">
      <c r="A515"/>
      <c r="B515" s="353" t="s">
        <v>661</v>
      </c>
      <c r="G515" s="175" t="str">
        <f t="shared" ref="G515:M515" ca="1" si="243">IF(G514="","None",LEFT(G514,LEN(G514)-2))</f>
        <v>None</v>
      </c>
      <c r="H515" s="175" t="str">
        <f t="shared" ca="1" si="243"/>
        <v>None</v>
      </c>
      <c r="I515" s="175" t="str">
        <f t="shared" ca="1" si="243"/>
        <v>None</v>
      </c>
      <c r="J515" s="175" t="str">
        <f t="shared" ca="1" si="243"/>
        <v>None</v>
      </c>
      <c r="K515" s="175" t="str">
        <f t="shared" ca="1" si="243"/>
        <v>None</v>
      </c>
      <c r="L515" s="175" t="str">
        <f t="shared" ca="1" si="243"/>
        <v>12</v>
      </c>
      <c r="M515" s="175" t="str">
        <f t="shared" ca="1" si="243"/>
        <v>12</v>
      </c>
      <c r="N515"/>
      <c r="O515"/>
      <c r="P515" s="84"/>
      <c r="R515" s="9"/>
      <c r="S515" s="9"/>
      <c r="T515" s="9"/>
      <c r="U515" s="9"/>
      <c r="V515" s="9"/>
      <c r="W515" s="9"/>
      <c r="X515" s="9"/>
      <c r="Y515" s="117"/>
      <c r="Z515" s="117"/>
      <c r="AA515" s="117"/>
      <c r="AB515" s="117"/>
      <c r="AC515" s="9"/>
      <c r="AD515" s="117"/>
      <c r="AE515" s="117"/>
      <c r="AF515" s="117"/>
      <c r="AG515" s="117"/>
      <c r="AH515" s="117"/>
      <c r="AI515" s="117"/>
      <c r="AJ515" s="117"/>
      <c r="AK515" s="9"/>
      <c r="AL515" s="117"/>
      <c r="AM515" s="117"/>
      <c r="AN515" s="117"/>
      <c r="AO515" s="117"/>
      <c r="AP515" s="117"/>
      <c r="AQ515" s="117"/>
      <c r="AR515" s="117"/>
    </row>
    <row r="516" spans="1:44" ht="13" x14ac:dyDescent="0.3">
      <c r="A516"/>
      <c r="G516" s="455"/>
      <c r="H516" s="455"/>
      <c r="I516" s="455"/>
      <c r="J516" s="455"/>
      <c r="K516" s="455"/>
      <c r="L516" s="455"/>
      <c r="M516" s="455"/>
      <c r="N516"/>
      <c r="O516"/>
      <c r="Q516" s="87"/>
      <c r="R516" s="117"/>
      <c r="S516" s="117"/>
      <c r="T516" s="117"/>
      <c r="U516" s="117"/>
      <c r="V516" s="9"/>
      <c r="W516" s="9"/>
      <c r="X516" s="9"/>
      <c r="Y516" s="1381"/>
      <c r="Z516" s="16"/>
      <c r="AA516" s="1465"/>
      <c r="AB516" s="1465"/>
      <c r="AC516" s="1465"/>
      <c r="AD516" s="1465"/>
      <c r="AE516" s="1465"/>
      <c r="AF516" s="16"/>
      <c r="AG516" s="16"/>
      <c r="AH516" s="16"/>
      <c r="AI516" s="16"/>
      <c r="AJ516" s="16"/>
      <c r="AK516" s="9"/>
      <c r="AL516" s="16"/>
      <c r="AM516" s="16"/>
      <c r="AN516" s="16"/>
      <c r="AO516" s="117"/>
      <c r="AP516" s="117"/>
      <c r="AQ516" s="117"/>
      <c r="AR516" s="117"/>
    </row>
    <row r="517" spans="1:44" x14ac:dyDescent="0.25">
      <c r="A517"/>
      <c r="N517"/>
      <c r="O517"/>
      <c r="P517" s="120"/>
      <c r="Q517" s="190"/>
    </row>
    <row r="518" spans="1:44" x14ac:dyDescent="0.25">
      <c r="A518"/>
      <c r="N518"/>
      <c r="O518"/>
      <c r="P518" s="47"/>
      <c r="Q518" s="9"/>
    </row>
    <row r="525" spans="1:44" ht="13" x14ac:dyDescent="0.3">
      <c r="A525"/>
      <c r="N525"/>
      <c r="O525"/>
      <c r="P525" s="87"/>
      <c r="Q525" s="12"/>
      <c r="R525" s="1381"/>
      <c r="S525" s="1381"/>
      <c r="T525" s="16"/>
      <c r="U525" s="1381"/>
      <c r="V525" s="1381"/>
      <c r="W525" s="1381"/>
      <c r="X525" s="1381"/>
      <c r="Y525" s="1381"/>
      <c r="Z525"/>
      <c r="AA525"/>
      <c r="AB525"/>
      <c r="AC525"/>
      <c r="AD525"/>
      <c r="AE525"/>
      <c r="AF525"/>
      <c r="AG525"/>
      <c r="AH525" s="16"/>
      <c r="AI525" s="16"/>
      <c r="AJ525" s="16"/>
      <c r="AK525" s="9"/>
      <c r="AL525" s="16"/>
      <c r="AM525" s="16"/>
      <c r="AN525" s="16"/>
      <c r="AO525" s="117"/>
      <c r="AP525" s="117"/>
      <c r="AQ525" s="117"/>
      <c r="AR525" s="117"/>
    </row>
    <row r="526" spans="1:44" ht="13" x14ac:dyDescent="0.3">
      <c r="D526" s="9"/>
      <c r="E526" s="205"/>
      <c r="F526" s="205"/>
      <c r="G526" s="9"/>
      <c r="H526" s="9"/>
      <c r="I526" s="9"/>
      <c r="J526" s="9"/>
      <c r="K526" s="9"/>
      <c r="L526" s="9"/>
      <c r="M526" s="9"/>
      <c r="N526" s="62"/>
      <c r="O526" s="125"/>
      <c r="P526" s="120"/>
      <c r="Q526" s="9"/>
      <c r="R526" s="9"/>
      <c r="S526" s="9"/>
      <c r="T526" s="9"/>
      <c r="U526" s="9"/>
      <c r="V526" s="9"/>
      <c r="W526" s="9"/>
      <c r="X526" s="9"/>
      <c r="Y526" s="9"/>
      <c r="Z526"/>
      <c r="AA526"/>
      <c r="AB526"/>
      <c r="AC526"/>
      <c r="AD526"/>
      <c r="AE526"/>
      <c r="AF526"/>
      <c r="AG526"/>
    </row>
    <row r="527" spans="1:44" x14ac:dyDescent="0.25">
      <c r="D527" s="9"/>
      <c r="E527" s="9"/>
      <c r="F527" s="9"/>
      <c r="G527" s="9"/>
      <c r="H527" s="9"/>
      <c r="I527" s="9"/>
      <c r="J527" s="9"/>
      <c r="K527" s="9"/>
      <c r="L527" s="9"/>
      <c r="M527" s="9"/>
      <c r="N527" s="62"/>
      <c r="O527" s="62"/>
      <c r="P527" s="9"/>
      <c r="Q527" s="9"/>
      <c r="R527" s="9"/>
      <c r="S527" s="9"/>
      <c r="T527" s="9"/>
      <c r="U527" s="9"/>
      <c r="V527" s="9"/>
      <c r="W527" s="9"/>
      <c r="X527" s="9"/>
      <c r="Y527" s="9"/>
      <c r="Z527"/>
      <c r="AA527"/>
      <c r="AB527"/>
      <c r="AC527"/>
      <c r="AD527"/>
      <c r="AE527"/>
      <c r="AF527"/>
      <c r="AG527"/>
    </row>
    <row r="528" spans="1:44" x14ac:dyDescent="0.25">
      <c r="D528" s="9"/>
      <c r="E528" s="9"/>
      <c r="F528" s="9"/>
      <c r="G528" s="9"/>
      <c r="H528" s="9"/>
      <c r="I528" s="9"/>
      <c r="J528" s="9"/>
      <c r="K528" s="9"/>
      <c r="L528" s="9"/>
      <c r="M528" s="9"/>
      <c r="N528" s="62"/>
      <c r="O528" s="62"/>
      <c r="P528" s="9"/>
      <c r="Q528" s="9"/>
      <c r="R528" s="9"/>
      <c r="S528" s="9"/>
      <c r="T528" s="9"/>
      <c r="U528" s="9"/>
      <c r="V528" s="9"/>
      <c r="W528" s="9"/>
      <c r="X528" s="9"/>
      <c r="Z528"/>
      <c r="AA528"/>
      <c r="AB528"/>
      <c r="AC528"/>
      <c r="AD528"/>
      <c r="AE528"/>
      <c r="AF528"/>
      <c r="AG528"/>
    </row>
    <row r="529" spans="4:33" x14ac:dyDescent="0.25">
      <c r="D529" s="9"/>
      <c r="E529" s="9"/>
      <c r="F529" s="9"/>
      <c r="G529" s="9"/>
      <c r="H529" s="9"/>
      <c r="I529" s="9"/>
      <c r="J529" s="9"/>
      <c r="K529" s="9"/>
      <c r="L529" s="9"/>
      <c r="M529" s="9"/>
      <c r="N529" s="62"/>
      <c r="O529" s="62"/>
      <c r="P529" s="9"/>
      <c r="Q529" s="9"/>
      <c r="R529" s="9"/>
      <c r="S529" s="9"/>
      <c r="T529" s="9"/>
      <c r="U529" s="9"/>
      <c r="V529" s="9"/>
      <c r="W529" s="9"/>
      <c r="Z529"/>
      <c r="AA529"/>
      <c r="AB529"/>
      <c r="AC529"/>
      <c r="AD529"/>
      <c r="AE529"/>
      <c r="AF529"/>
      <c r="AG529"/>
    </row>
    <row r="530" spans="4:33" x14ac:dyDescent="0.25">
      <c r="D530" s="9"/>
      <c r="E530" s="9"/>
      <c r="F530" s="9"/>
      <c r="G530" s="9"/>
      <c r="H530" s="9"/>
      <c r="I530" s="9"/>
      <c r="J530" s="9"/>
      <c r="K530" s="9"/>
      <c r="L530" s="9"/>
      <c r="M530" s="9"/>
      <c r="N530" s="61"/>
      <c r="O530" s="62"/>
      <c r="P530" s="9"/>
      <c r="Q530" s="9"/>
      <c r="R530" s="9"/>
      <c r="S530" s="9"/>
      <c r="T530" s="9"/>
      <c r="U530" s="9"/>
      <c r="V530" s="9"/>
      <c r="W530" s="9"/>
      <c r="Z530"/>
      <c r="AA530"/>
      <c r="AB530"/>
      <c r="AC530"/>
      <c r="AD530"/>
      <c r="AE530"/>
      <c r="AF530"/>
      <c r="AG530"/>
    </row>
    <row r="531" spans="4:33" x14ac:dyDescent="0.25">
      <c r="D531" s="9"/>
      <c r="E531" s="9"/>
      <c r="F531" s="9"/>
      <c r="G531" s="9"/>
      <c r="H531" s="9"/>
      <c r="I531" s="9"/>
      <c r="J531" s="9"/>
      <c r="K531" s="9"/>
      <c r="L531" s="9"/>
      <c r="M531" s="9"/>
      <c r="N531" s="61"/>
      <c r="O531" s="62"/>
      <c r="P531" s="9"/>
      <c r="Q531" s="9"/>
      <c r="R531" s="9"/>
      <c r="S531" s="9"/>
      <c r="T531" s="9"/>
      <c r="U531" s="9"/>
      <c r="V531" s="9"/>
      <c r="W531" s="9"/>
      <c r="Z531"/>
      <c r="AA531"/>
      <c r="AB531"/>
      <c r="AC531"/>
      <c r="AD531"/>
      <c r="AE531"/>
      <c r="AF531"/>
      <c r="AG531"/>
    </row>
    <row r="532" spans="4:33" x14ac:dyDescent="0.25">
      <c r="D532" s="9"/>
      <c r="E532" s="9"/>
      <c r="F532" s="9"/>
      <c r="G532" s="9"/>
      <c r="H532" s="9"/>
      <c r="I532" s="9"/>
      <c r="J532" s="9"/>
      <c r="K532" s="9"/>
      <c r="L532" s="9"/>
      <c r="M532" s="9"/>
      <c r="N532" s="61"/>
      <c r="O532" s="61"/>
      <c r="P532" s="9"/>
      <c r="Q532" s="9"/>
      <c r="R532" s="9"/>
      <c r="S532" s="9"/>
      <c r="T532" s="9"/>
      <c r="U532" s="9"/>
      <c r="V532" s="9"/>
      <c r="W532" s="9"/>
      <c r="Z532"/>
      <c r="AA532"/>
      <c r="AB532"/>
      <c r="AC532"/>
      <c r="AD532"/>
      <c r="AE532"/>
      <c r="AF532"/>
      <c r="AG532"/>
    </row>
    <row r="533" spans="4:33" x14ac:dyDescent="0.25">
      <c r="D533" s="9"/>
      <c r="E533" s="9"/>
      <c r="F533" s="9"/>
      <c r="G533" s="9"/>
      <c r="H533" s="9"/>
      <c r="I533" s="9"/>
      <c r="J533" s="9"/>
      <c r="K533" s="9"/>
      <c r="L533" s="9"/>
      <c r="M533" s="9"/>
      <c r="N533" s="61"/>
      <c r="O533" s="61"/>
      <c r="P533" s="9"/>
      <c r="Q533" s="9"/>
      <c r="R533" s="9"/>
      <c r="S533" s="9"/>
      <c r="T533" s="9"/>
      <c r="U533" s="9"/>
      <c r="V533" s="9"/>
      <c r="W533" s="9"/>
      <c r="Z533"/>
      <c r="AA533"/>
      <c r="AB533"/>
      <c r="AC533"/>
      <c r="AD533"/>
      <c r="AE533"/>
      <c r="AF533"/>
      <c r="AG533"/>
    </row>
    <row r="534" spans="4:33" x14ac:dyDescent="0.25">
      <c r="D534" s="9"/>
      <c r="E534" s="9"/>
      <c r="F534" s="9"/>
      <c r="G534" s="9"/>
      <c r="H534" s="9"/>
      <c r="I534" s="9"/>
      <c r="J534" s="9"/>
      <c r="K534" s="9"/>
      <c r="L534" s="9"/>
      <c r="M534" s="9"/>
      <c r="N534" s="61"/>
      <c r="O534" s="61"/>
      <c r="P534" s="9"/>
      <c r="Q534" s="9"/>
      <c r="R534" s="9"/>
      <c r="S534" s="9"/>
      <c r="T534" s="9"/>
      <c r="U534" s="9"/>
      <c r="V534" s="9"/>
      <c r="W534" s="9"/>
    </row>
    <row r="535" spans="4:33" x14ac:dyDescent="0.25">
      <c r="D535" s="9"/>
      <c r="E535" s="9"/>
      <c r="F535" s="9"/>
      <c r="G535" s="9"/>
      <c r="H535" s="9"/>
      <c r="I535" s="9"/>
      <c r="J535" s="9"/>
      <c r="K535" s="9"/>
      <c r="L535" s="9"/>
      <c r="M535" s="9"/>
      <c r="N535" s="61"/>
      <c r="O535" s="61"/>
      <c r="P535" s="9"/>
      <c r="Q535" s="9"/>
      <c r="R535" s="476"/>
      <c r="S535" s="476"/>
      <c r="T535" s="476"/>
      <c r="U535" s="476"/>
      <c r="V535" s="476"/>
      <c r="W535" s="476"/>
    </row>
    <row r="536" spans="4:33" x14ac:dyDescent="0.25">
      <c r="D536" s="9"/>
      <c r="E536" s="9"/>
      <c r="F536" s="9"/>
      <c r="G536" s="9"/>
      <c r="H536" s="9"/>
      <c r="I536" s="9"/>
      <c r="J536" s="9"/>
      <c r="K536" s="9"/>
      <c r="L536" s="9"/>
      <c r="M536" s="9"/>
      <c r="N536" s="120"/>
      <c r="O536" s="61"/>
      <c r="P536" s="9"/>
      <c r="Q536" s="9"/>
      <c r="R536" s="476"/>
      <c r="S536" s="476"/>
      <c r="T536" s="476"/>
      <c r="U536" s="476"/>
      <c r="V536" s="476"/>
      <c r="W536" s="476"/>
    </row>
    <row r="537" spans="4:33" x14ac:dyDescent="0.25">
      <c r="D537" s="9"/>
      <c r="E537" s="9"/>
      <c r="F537" s="9"/>
      <c r="G537" s="9"/>
      <c r="H537" s="9"/>
      <c r="I537" s="9"/>
      <c r="J537" s="9"/>
      <c r="K537" s="9"/>
      <c r="L537" s="9"/>
      <c r="M537" s="9"/>
      <c r="N537" s="120"/>
      <c r="O537" s="61"/>
      <c r="P537" s="9"/>
      <c r="Q537" s="476"/>
      <c r="R537" s="476"/>
      <c r="S537" s="476"/>
      <c r="T537" s="476"/>
      <c r="U537" s="476"/>
      <c r="V537" s="476"/>
      <c r="W537" s="476"/>
    </row>
    <row r="538" spans="4:33" x14ac:dyDescent="0.25">
      <c r="D538" s="9"/>
      <c r="E538" s="9"/>
      <c r="F538" s="9"/>
      <c r="G538" s="9"/>
      <c r="H538" s="9"/>
      <c r="I538" s="9"/>
      <c r="J538" s="9"/>
      <c r="K538" s="9"/>
      <c r="L538" s="9"/>
      <c r="M538" s="9"/>
      <c r="N538" s="185"/>
      <c r="O538" s="120"/>
      <c r="P538" s="185"/>
      <c r="Q538" s="476"/>
      <c r="R538" s="476"/>
      <c r="S538" s="476"/>
      <c r="T538" s="476"/>
      <c r="U538" s="476"/>
      <c r="V538" s="476"/>
      <c r="W538" s="476"/>
    </row>
    <row r="539" spans="4:33" x14ac:dyDescent="0.25">
      <c r="D539" s="9"/>
      <c r="E539" s="9"/>
      <c r="F539" s="9"/>
      <c r="G539" s="9"/>
      <c r="H539" s="9"/>
      <c r="I539" s="9"/>
      <c r="J539" s="9"/>
      <c r="K539" s="9"/>
      <c r="L539" s="9"/>
      <c r="M539" s="9"/>
      <c r="N539" s="185"/>
      <c r="O539" s="120"/>
      <c r="P539" s="185"/>
      <c r="Q539" s="476"/>
      <c r="R539" s="476"/>
      <c r="S539" s="476"/>
      <c r="T539" s="476"/>
      <c r="U539" s="476"/>
      <c r="V539" s="476"/>
      <c r="W539" s="476"/>
    </row>
    <row r="540" spans="4:33" x14ac:dyDescent="0.25">
      <c r="D540" s="9"/>
      <c r="E540" s="9"/>
      <c r="F540" s="9"/>
      <c r="G540" s="9"/>
      <c r="H540" s="9"/>
      <c r="I540" s="9"/>
      <c r="J540" s="9"/>
      <c r="K540" s="9"/>
      <c r="L540" s="9"/>
      <c r="M540" s="9"/>
      <c r="N540" s="185"/>
      <c r="O540" s="62"/>
      <c r="P540" s="185"/>
      <c r="Q540" s="476"/>
      <c r="R540" s="476"/>
      <c r="S540" s="476"/>
      <c r="T540" s="476"/>
      <c r="U540" s="476"/>
      <c r="V540" s="476"/>
      <c r="W540" s="476"/>
    </row>
    <row r="541" spans="4:33" x14ac:dyDescent="0.25">
      <c r="D541" s="9"/>
      <c r="E541" s="9"/>
      <c r="F541" s="9"/>
      <c r="G541" s="9"/>
      <c r="H541" s="9"/>
      <c r="I541" s="9"/>
      <c r="J541" s="9"/>
      <c r="K541" s="9"/>
      <c r="L541" s="9"/>
      <c r="M541" s="9"/>
      <c r="N541" s="185"/>
      <c r="O541" s="62"/>
      <c r="P541" s="185"/>
      <c r="Q541" s="476"/>
      <c r="R541" s="476"/>
      <c r="S541" s="476"/>
      <c r="T541" s="476"/>
      <c r="U541" s="476"/>
      <c r="V541" s="476"/>
      <c r="W541" s="476"/>
    </row>
    <row r="542" spans="4:33" x14ac:dyDescent="0.25">
      <c r="D542" s="9"/>
      <c r="E542" s="9"/>
      <c r="F542" s="9"/>
      <c r="G542" s="9"/>
      <c r="H542" s="9"/>
      <c r="I542" s="9"/>
      <c r="J542" s="9"/>
      <c r="K542" s="9"/>
      <c r="L542" s="9"/>
      <c r="M542" s="9"/>
      <c r="N542" s="185"/>
      <c r="O542" s="62"/>
      <c r="P542" s="185"/>
      <c r="Q542" s="476"/>
      <c r="R542" s="476"/>
      <c r="S542" s="476"/>
      <c r="T542" s="476"/>
      <c r="U542" s="476"/>
      <c r="V542" s="476"/>
      <c r="W542" s="476"/>
    </row>
    <row r="543" spans="4:33" x14ac:dyDescent="0.25">
      <c r="D543" s="9"/>
      <c r="E543" s="9"/>
      <c r="F543" s="9"/>
      <c r="G543" s="9"/>
      <c r="H543" s="9"/>
      <c r="I543" s="9"/>
      <c r="N543" s="185"/>
      <c r="O543" s="62"/>
      <c r="P543" s="185"/>
      <c r="Q543" s="476"/>
      <c r="R543" s="476"/>
      <c r="S543" s="476"/>
      <c r="T543" s="476"/>
      <c r="U543" s="476"/>
      <c r="V543" s="476"/>
      <c r="W543" s="476"/>
    </row>
    <row r="544" spans="4:33" x14ac:dyDescent="0.25">
      <c r="D544" s="9"/>
      <c r="E544" s="9"/>
      <c r="F544" s="9"/>
      <c r="G544" s="9"/>
      <c r="H544" s="9"/>
      <c r="I544" s="9"/>
      <c r="N544" s="185"/>
      <c r="O544" s="62"/>
      <c r="P544" s="185"/>
      <c r="Q544" s="476"/>
      <c r="R544" s="476"/>
      <c r="S544" s="476"/>
      <c r="T544" s="476"/>
      <c r="U544" s="476"/>
      <c r="V544" s="476"/>
      <c r="W544" s="476"/>
    </row>
    <row r="545" spans="4:24" x14ac:dyDescent="0.25">
      <c r="D545" s="9"/>
      <c r="E545" s="9"/>
      <c r="F545" s="9"/>
      <c r="G545" s="9"/>
      <c r="H545" s="9"/>
      <c r="I545" s="9"/>
      <c r="N545" s="185"/>
      <c r="O545" s="62"/>
      <c r="P545" s="185"/>
      <c r="Q545" s="476"/>
      <c r="R545" s="476"/>
      <c r="S545" s="476"/>
      <c r="T545" s="476"/>
      <c r="U545" s="476"/>
      <c r="V545" s="476"/>
      <c r="W545" s="476"/>
    </row>
    <row r="546" spans="4:24" x14ac:dyDescent="0.25">
      <c r="N546" s="185"/>
      <c r="O546" s="62"/>
      <c r="P546" s="185"/>
      <c r="Q546" s="476"/>
      <c r="R546" s="62"/>
      <c r="S546" s="62"/>
      <c r="T546" s="62"/>
      <c r="U546" s="62"/>
      <c r="V546" s="9"/>
      <c r="W546" s="9"/>
    </row>
    <row r="547" spans="4:24" x14ac:dyDescent="0.25">
      <c r="N547" s="185"/>
      <c r="O547" s="62"/>
      <c r="P547" s="185"/>
      <c r="Q547" s="476"/>
      <c r="R547" s="476"/>
      <c r="S547" s="476"/>
      <c r="T547" s="476"/>
      <c r="U547" s="476"/>
      <c r="V547" s="476"/>
      <c r="W547" s="476"/>
    </row>
    <row r="548" spans="4:24" x14ac:dyDescent="0.25">
      <c r="N548" s="205"/>
      <c r="O548" s="62"/>
      <c r="P548" s="185"/>
      <c r="Q548" s="62"/>
      <c r="R548" s="476"/>
      <c r="S548" s="476"/>
      <c r="T548" s="476"/>
      <c r="U548" s="476"/>
      <c r="V548" s="476"/>
      <c r="W548" s="476"/>
    </row>
    <row r="549" spans="4:24" x14ac:dyDescent="0.25">
      <c r="N549" s="205"/>
      <c r="O549" s="62"/>
      <c r="P549" s="185"/>
      <c r="Q549" s="476"/>
      <c r="R549" s="476"/>
      <c r="S549" s="476"/>
      <c r="T549" s="476"/>
      <c r="U549" s="476"/>
      <c r="V549" s="476"/>
      <c r="W549" s="476"/>
    </row>
    <row r="550" spans="4:24" ht="13" x14ac:dyDescent="0.3">
      <c r="N550" s="185"/>
      <c r="O550" s="62"/>
      <c r="P550" s="185"/>
      <c r="Q550" s="476"/>
      <c r="R550" s="476"/>
      <c r="S550" s="476"/>
      <c r="T550" s="476"/>
      <c r="U550" s="476"/>
      <c r="V550" s="476"/>
      <c r="W550" s="476"/>
      <c r="X550" s="1380"/>
    </row>
    <row r="551" spans="4:24" ht="13" x14ac:dyDescent="0.3">
      <c r="N551" s="185"/>
      <c r="O551" s="62"/>
      <c r="P551" s="185"/>
      <c r="Q551" s="476"/>
      <c r="R551" s="476"/>
      <c r="S551" s="476"/>
      <c r="T551" s="476"/>
      <c r="U551" s="476"/>
      <c r="V551" s="476"/>
      <c r="W551" s="476"/>
      <c r="X551" s="1380"/>
    </row>
    <row r="552" spans="4:24" ht="13" x14ac:dyDescent="0.3">
      <c r="N552" s="185"/>
      <c r="O552" s="62"/>
      <c r="P552" s="185"/>
      <c r="Q552" s="476"/>
      <c r="R552" s="476"/>
      <c r="S552" s="476"/>
      <c r="T552" s="476"/>
      <c r="U552" s="476"/>
      <c r="V552" s="476"/>
      <c r="W552" s="476"/>
      <c r="X552" s="1380"/>
    </row>
    <row r="553" spans="4:24" x14ac:dyDescent="0.25">
      <c r="N553" s="185"/>
      <c r="O553" s="62"/>
      <c r="P553" s="185"/>
      <c r="Q553" s="476"/>
      <c r="R553" s="476"/>
      <c r="S553" s="476"/>
      <c r="T553" s="476"/>
      <c r="U553" s="476"/>
      <c r="V553" s="476"/>
      <c r="W553" s="476"/>
    </row>
    <row r="554" spans="4:24" x14ac:dyDescent="0.25">
      <c r="N554" s="185"/>
      <c r="O554" s="62"/>
      <c r="P554" s="185"/>
      <c r="Q554" s="476"/>
      <c r="R554" s="476"/>
      <c r="S554" s="476"/>
      <c r="T554" s="476"/>
      <c r="U554" s="476"/>
      <c r="V554" s="476"/>
      <c r="W554" s="476"/>
    </row>
    <row r="555" spans="4:24" x14ac:dyDescent="0.25">
      <c r="N555" s="185"/>
      <c r="O555" s="62"/>
      <c r="P555" s="185"/>
      <c r="Q555" s="476"/>
      <c r="R555" s="476"/>
      <c r="S555" s="476"/>
      <c r="T555" s="476"/>
      <c r="U555" s="476"/>
      <c r="V555" s="476"/>
      <c r="W555" s="476"/>
    </row>
    <row r="556" spans="4:24" x14ac:dyDescent="0.25">
      <c r="N556" s="185"/>
      <c r="O556" s="62"/>
      <c r="P556" s="185"/>
      <c r="Q556" s="476"/>
      <c r="R556" s="476"/>
      <c r="S556" s="476"/>
      <c r="T556" s="476"/>
      <c r="U556" s="476"/>
      <c r="V556" s="476"/>
      <c r="W556" s="476"/>
    </row>
    <row r="557" spans="4:24" x14ac:dyDescent="0.25">
      <c r="N557" s="185"/>
      <c r="O557" s="62"/>
      <c r="P557" s="185"/>
      <c r="Q557" s="476"/>
      <c r="R557" s="476"/>
      <c r="S557" s="476"/>
      <c r="T557" s="476"/>
      <c r="U557" s="476"/>
      <c r="V557" s="476"/>
      <c r="W557" s="476"/>
    </row>
    <row r="558" spans="4:24" x14ac:dyDescent="0.25">
      <c r="N558" s="185"/>
      <c r="O558" s="62"/>
      <c r="P558" s="185"/>
      <c r="Q558" s="476"/>
      <c r="R558" s="9"/>
      <c r="S558" s="9"/>
      <c r="T558" s="9"/>
      <c r="U558" s="9"/>
      <c r="V558" s="9"/>
      <c r="W558" s="9"/>
    </row>
    <row r="559" spans="4:24" x14ac:dyDescent="0.25">
      <c r="N559" s="205"/>
      <c r="O559" s="62"/>
      <c r="P559" s="185"/>
      <c r="Q559" s="476"/>
      <c r="R559" s="9"/>
      <c r="S559" s="9"/>
      <c r="T559" s="9"/>
      <c r="U559" s="9"/>
      <c r="V559" s="9"/>
      <c r="W559" s="9"/>
    </row>
    <row r="560" spans="4:24" x14ac:dyDescent="0.25">
      <c r="N560" s="61"/>
      <c r="O560" s="62"/>
      <c r="P560" s="185"/>
      <c r="Q560" s="9"/>
      <c r="R560" s="477"/>
      <c r="S560" s="9"/>
      <c r="T560" s="9"/>
      <c r="U560" s="9"/>
      <c r="V560" s="477"/>
      <c r="W560" s="477"/>
    </row>
    <row r="561" spans="14:23" x14ac:dyDescent="0.25">
      <c r="N561" s="61"/>
      <c r="O561" s="62"/>
      <c r="P561" s="9"/>
      <c r="Q561" s="9"/>
      <c r="R561" s="9"/>
      <c r="S561" s="9"/>
      <c r="T561" s="9"/>
      <c r="U561" s="9"/>
      <c r="V561" s="9"/>
      <c r="W561" s="9"/>
    </row>
    <row r="562" spans="14:23" x14ac:dyDescent="0.25">
      <c r="N562" s="61"/>
      <c r="O562" s="61"/>
      <c r="P562" s="9"/>
      <c r="Q562" s="9"/>
      <c r="R562" s="9"/>
      <c r="S562" s="9"/>
      <c r="T562" s="9"/>
      <c r="U562" s="9"/>
      <c r="V562" s="9"/>
      <c r="W562" s="9"/>
    </row>
    <row r="563" spans="14:23" x14ac:dyDescent="0.25">
      <c r="N563" s="61"/>
      <c r="O563" s="61"/>
      <c r="P563" s="9"/>
      <c r="Q563" s="9"/>
      <c r="R563" s="9"/>
      <c r="S563" s="9"/>
      <c r="T563" s="9"/>
      <c r="U563" s="9"/>
      <c r="V563" s="9"/>
      <c r="W563" s="9"/>
    </row>
    <row r="564" spans="14:23" x14ac:dyDescent="0.25">
      <c r="N564" s="61"/>
      <c r="O564" s="61"/>
      <c r="P564" s="9"/>
      <c r="Q564" s="9"/>
      <c r="R564" s="9"/>
      <c r="S564" s="9"/>
      <c r="T564" s="9"/>
      <c r="U564" s="9"/>
      <c r="V564" s="9"/>
      <c r="W564" s="9"/>
    </row>
    <row r="565" spans="14:23" x14ac:dyDescent="0.25">
      <c r="N565" s="61"/>
      <c r="O565" s="61"/>
      <c r="P565" s="9"/>
      <c r="Q565" s="9"/>
      <c r="R565" s="9"/>
      <c r="S565" s="9"/>
      <c r="T565" s="9"/>
      <c r="U565" s="9"/>
      <c r="V565" s="9"/>
      <c r="W565" s="9"/>
    </row>
    <row r="566" spans="14:23" x14ac:dyDescent="0.25">
      <c r="N566" s="61"/>
      <c r="O566" s="61"/>
      <c r="P566" s="9"/>
      <c r="Q566" s="9"/>
      <c r="R566" s="9"/>
      <c r="S566" s="9"/>
      <c r="T566" s="9"/>
      <c r="U566" s="9"/>
      <c r="V566" s="9"/>
      <c r="W566" s="9"/>
    </row>
    <row r="567" spans="14:23" x14ac:dyDescent="0.25">
      <c r="N567" s="61"/>
      <c r="O567" s="61"/>
      <c r="P567" s="9"/>
      <c r="Q567" s="9"/>
      <c r="R567" s="9"/>
      <c r="S567" s="9"/>
      <c r="T567" s="9"/>
      <c r="U567" s="9"/>
      <c r="V567" s="9"/>
      <c r="W567" s="9"/>
    </row>
    <row r="568" spans="14:23" x14ac:dyDescent="0.25">
      <c r="N568" s="61"/>
      <c r="O568" s="61"/>
      <c r="P568" s="9"/>
      <c r="Q568" s="9"/>
      <c r="R568" s="9"/>
      <c r="S568" s="9"/>
      <c r="T568" s="9"/>
      <c r="U568" s="9"/>
      <c r="V568" s="9"/>
      <c r="W568" s="9"/>
    </row>
    <row r="569" spans="14:23" x14ac:dyDescent="0.25">
      <c r="N569" s="61"/>
      <c r="O569" s="61"/>
      <c r="P569" s="9"/>
      <c r="Q569" s="9"/>
      <c r="R569" s="9"/>
      <c r="S569" s="9"/>
      <c r="T569" s="9"/>
      <c r="U569" s="9"/>
      <c r="V569" s="9"/>
      <c r="W569" s="9"/>
    </row>
    <row r="570" spans="14:23" x14ac:dyDescent="0.25">
      <c r="N570" s="61"/>
      <c r="O570" s="61"/>
      <c r="P570" s="9"/>
      <c r="Q570" s="9"/>
      <c r="R570" s="9"/>
      <c r="S570" s="9"/>
      <c r="T570" s="9"/>
      <c r="U570" s="9"/>
      <c r="V570" s="9"/>
      <c r="W570" s="9"/>
    </row>
    <row r="571" spans="14:23" x14ac:dyDescent="0.25">
      <c r="N571" s="61"/>
      <c r="O571" s="61"/>
      <c r="P571" s="9"/>
      <c r="Q571" s="9"/>
      <c r="R571" s="9"/>
      <c r="S571" s="9"/>
      <c r="T571" s="9"/>
      <c r="U571" s="9"/>
      <c r="V571" s="9"/>
      <c r="W571" s="9"/>
    </row>
    <row r="572" spans="14:23" x14ac:dyDescent="0.25">
      <c r="N572" s="61"/>
      <c r="O572" s="61"/>
      <c r="P572" s="9"/>
      <c r="Q572" s="9"/>
      <c r="R572" s="9"/>
      <c r="S572" s="9"/>
      <c r="T572" s="9"/>
      <c r="U572" s="9"/>
      <c r="V572" s="9"/>
      <c r="W572" s="9"/>
    </row>
    <row r="573" spans="14:23" x14ac:dyDescent="0.25">
      <c r="N573" s="61"/>
      <c r="O573" s="61"/>
      <c r="P573" s="9"/>
      <c r="Q573" s="9"/>
      <c r="R573" s="9"/>
      <c r="S573" s="9"/>
      <c r="T573" s="9"/>
      <c r="U573" s="9"/>
      <c r="V573" s="9"/>
      <c r="W573" s="9"/>
    </row>
    <row r="574" spans="14:23" x14ac:dyDescent="0.25">
      <c r="N574" s="61"/>
      <c r="O574" s="61"/>
      <c r="P574" s="9"/>
      <c r="Q574" s="9"/>
      <c r="R574" s="9"/>
      <c r="S574" s="9"/>
      <c r="T574" s="9"/>
      <c r="U574" s="9"/>
      <c r="V574" s="9"/>
      <c r="W574" s="9"/>
    </row>
    <row r="575" spans="14:23" x14ac:dyDescent="0.25">
      <c r="N575" s="61"/>
      <c r="O575" s="61"/>
      <c r="P575" s="9"/>
      <c r="Q575" s="9"/>
      <c r="R575" s="9"/>
      <c r="S575" s="9"/>
      <c r="T575" s="9"/>
      <c r="U575" s="9"/>
      <c r="V575" s="9"/>
      <c r="W575" s="9"/>
    </row>
    <row r="576" spans="14:23" x14ac:dyDescent="0.25">
      <c r="N576" s="61"/>
      <c r="O576" s="61"/>
      <c r="P576" s="9"/>
      <c r="Q576" s="9"/>
      <c r="R576" s="9"/>
      <c r="S576" s="9"/>
      <c r="T576" s="9"/>
      <c r="U576" s="9"/>
      <c r="V576" s="9"/>
      <c r="W576" s="9"/>
    </row>
    <row r="577" spans="14:23" x14ac:dyDescent="0.25">
      <c r="N577" s="61"/>
      <c r="O577" s="61"/>
      <c r="P577" s="9"/>
      <c r="Q577" s="9"/>
      <c r="R577" s="9"/>
      <c r="S577" s="9"/>
      <c r="T577" s="9"/>
      <c r="U577" s="9"/>
      <c r="V577" s="9"/>
      <c r="W577" s="9"/>
    </row>
    <row r="578" spans="14:23" x14ac:dyDescent="0.25">
      <c r="N578" s="61"/>
      <c r="O578" s="61"/>
      <c r="P578" s="9"/>
      <c r="Q578" s="9"/>
      <c r="R578" s="9"/>
      <c r="S578" s="9"/>
      <c r="T578" s="9"/>
      <c r="U578" s="9"/>
      <c r="V578" s="9"/>
      <c r="W578" s="9"/>
    </row>
    <row r="579" spans="14:23" x14ac:dyDescent="0.25">
      <c r="N579" s="61"/>
      <c r="O579" s="61"/>
      <c r="P579" s="9"/>
      <c r="Q579" s="9"/>
    </row>
    <row r="580" spans="14:23" x14ac:dyDescent="0.25">
      <c r="O580" s="61"/>
      <c r="P580" s="9"/>
      <c r="Q580" s="9"/>
    </row>
    <row r="581" spans="14:23" x14ac:dyDescent="0.25">
      <c r="O581" s="61"/>
      <c r="P581" s="9"/>
    </row>
  </sheetData>
  <mergeCells count="26">
    <mergeCell ref="T459:U459"/>
    <mergeCell ref="AA516:AE516"/>
    <mergeCell ref="B491:M491"/>
    <mergeCell ref="V459:W459"/>
    <mergeCell ref="B3:M3"/>
    <mergeCell ref="B4:E4"/>
    <mergeCell ref="B5:E5"/>
    <mergeCell ref="G4:M4"/>
    <mergeCell ref="G5:M5"/>
    <mergeCell ref="B8:M8"/>
    <mergeCell ref="B9:M9"/>
    <mergeCell ref="B40:M40"/>
    <mergeCell ref="B41:M41"/>
    <mergeCell ref="B474:M474"/>
    <mergeCell ref="B105:M105"/>
    <mergeCell ref="B106:M106"/>
    <mergeCell ref="B292:M292"/>
    <mergeCell ref="B235:M235"/>
    <mergeCell ref="B211:M211"/>
    <mergeCell ref="B154:M154"/>
    <mergeCell ref="B291:M291"/>
    <mergeCell ref="B108:M108"/>
    <mergeCell ref="B263:M263"/>
    <mergeCell ref="B1:M1"/>
    <mergeCell ref="B2:M2"/>
    <mergeCell ref="N1:O1"/>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96" min="1" max="6" man="1"/>
    <brk id="179" min="1" max="6" man="1"/>
    <brk id="280" min="1" max="6" man="1"/>
    <brk id="340" min="1" max="6" man="1"/>
    <brk id="387" min="1" max="6" man="1"/>
    <brk id="435" min="1" max="6"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xr:uid="{00000000-0002-0000-0400-000000000000}">
          <x14:formula1>
            <xm:f>Lists!$BA$25:$BA$27</xm:f>
          </x14:formula1>
          <xm:sqref>G13:M13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Y257"/>
  <sheetViews>
    <sheetView workbookViewId="0">
      <pane ySplit="4" topLeftCell="A5" activePane="bottomLeft" state="frozen"/>
      <selection pane="bottomLeft" activeCell="D91" sqref="D91"/>
    </sheetView>
  </sheetViews>
  <sheetFormatPr defaultColWidth="9.453125" defaultRowHeight="14" x14ac:dyDescent="0.3"/>
  <cols>
    <col min="1" max="1" width="26.453125" style="365" customWidth="1"/>
    <col min="2" max="2" width="63.54296875" style="365" customWidth="1"/>
    <col min="3" max="3" width="27.453125" style="365" customWidth="1"/>
    <col min="4" max="4" width="20.453125" style="365" bestFit="1" customWidth="1"/>
    <col min="5" max="6" width="16.453125" style="365" customWidth="1"/>
    <col min="7" max="7" width="32.453125" style="365" customWidth="1"/>
    <col min="8" max="10" width="16.453125" style="365" customWidth="1"/>
    <col min="11" max="11" width="15.453125" style="365" customWidth="1"/>
    <col min="12" max="12" width="44.453125" style="365" bestFit="1" customWidth="1"/>
    <col min="13" max="13" width="18.453125" style="365" customWidth="1"/>
    <col min="14" max="14" width="12" style="365" customWidth="1"/>
    <col min="15" max="15" width="8.453125" style="365" customWidth="1"/>
    <col min="16" max="16" width="14.54296875" style="384" customWidth="1"/>
    <col min="17" max="17" width="44.453125" style="365" bestFit="1" customWidth="1"/>
    <col min="18" max="18" width="19.54296875" style="365" customWidth="1"/>
    <col min="19" max="19" width="10.54296875" style="365" customWidth="1"/>
    <col min="20" max="20" width="9.453125" style="365" customWidth="1"/>
    <col min="21" max="21" width="16.453125" style="365" customWidth="1"/>
    <col min="22" max="22" width="44.453125" style="366" bestFit="1" customWidth="1"/>
    <col min="23" max="23" width="18.453125" style="366" customWidth="1"/>
    <col min="24" max="25" width="9.54296875" style="366" customWidth="1"/>
    <col min="26" max="26" width="16.453125" style="365" customWidth="1"/>
    <col min="27" max="27" width="44.453125" style="366" bestFit="1" customWidth="1"/>
    <col min="28" max="28" width="21.453125" style="366" customWidth="1"/>
    <col min="29" max="29" width="9.54296875" style="366" customWidth="1"/>
    <col min="30" max="30" width="10" style="366" customWidth="1"/>
    <col min="31" max="31" width="14.54296875" style="366" customWidth="1"/>
    <col min="32" max="32" width="44.453125" style="366" bestFit="1" customWidth="1"/>
    <col min="33" max="33" width="20" style="366" customWidth="1"/>
    <col min="34" max="34" width="9.54296875" style="366" customWidth="1"/>
    <col min="35" max="35" width="10.453125" style="366" customWidth="1"/>
    <col min="36" max="36" width="11.54296875" style="366" customWidth="1"/>
    <col min="37" max="37" width="44.453125" style="366" bestFit="1" customWidth="1"/>
    <col min="38" max="38" width="20" style="366" customWidth="1"/>
    <col min="39" max="39" width="8.54296875" style="366" customWidth="1"/>
    <col min="40" max="40" width="10.453125" style="366" customWidth="1"/>
    <col min="41" max="41" width="11.54296875" style="366" customWidth="1"/>
    <col min="42" max="42" width="44.453125" style="366" bestFit="1" customWidth="1"/>
    <col min="43" max="43" width="19.453125" style="366" customWidth="1"/>
    <col min="44" max="44" width="9.54296875" style="366" customWidth="1"/>
    <col min="45" max="45" width="11" style="366" customWidth="1"/>
    <col min="46" max="46" width="9.453125" style="366" customWidth="1"/>
    <col min="47" max="47" width="44.453125" style="366" bestFit="1" customWidth="1"/>
    <col min="48" max="48" width="21" style="366" customWidth="1"/>
    <col min="49" max="49" width="10.453125" style="366" customWidth="1"/>
    <col min="50" max="50" width="10" style="366" customWidth="1"/>
    <col min="51" max="51" width="9.453125" style="366" customWidth="1"/>
    <col min="52" max="52" width="44.453125" style="366" bestFit="1" customWidth="1"/>
    <col min="53" max="53" width="16.453125" style="366" customWidth="1"/>
    <col min="54" max="54" width="11" style="366" customWidth="1"/>
    <col min="55" max="55" width="11.54296875" style="366" customWidth="1"/>
    <col min="56" max="56" width="9.453125" style="366" customWidth="1"/>
    <col min="57" max="57" width="44.453125" style="366" bestFit="1" customWidth="1"/>
    <col min="58" max="58" width="17.453125" style="366" customWidth="1"/>
    <col min="59" max="59" width="9.453125" style="366" customWidth="1"/>
    <col min="60" max="60" width="12.453125" style="366" customWidth="1"/>
    <col min="61" max="61" width="9.453125" style="366" customWidth="1"/>
    <col min="62" max="62" width="44.453125" style="366" bestFit="1" customWidth="1"/>
    <col min="63" max="63" width="15.453125" style="366" customWidth="1"/>
    <col min="64" max="64" width="13.54296875" style="366" customWidth="1"/>
    <col min="65" max="65" width="14.54296875" style="366" customWidth="1"/>
    <col min="66" max="66" width="16.54296875" style="366" customWidth="1"/>
    <col min="67" max="67" width="44.453125" style="366" bestFit="1" customWidth="1"/>
    <col min="68" max="68" width="15.453125" style="366" customWidth="1"/>
    <col min="69" max="69" width="13.54296875" style="366" customWidth="1"/>
    <col min="70" max="70" width="14.54296875" style="366" customWidth="1"/>
    <col min="71" max="71" width="16.54296875" style="366" customWidth="1"/>
    <col min="72" max="72" width="47" style="366" customWidth="1"/>
    <col min="73" max="73" width="16.453125" style="366" customWidth="1"/>
    <col min="74" max="74" width="11.54296875" style="366" customWidth="1"/>
    <col min="75" max="75" width="12.453125" style="366" customWidth="1"/>
    <col min="76" max="76" width="19.453125" style="366" customWidth="1"/>
    <col min="77" max="77" width="47" style="366" customWidth="1"/>
    <col min="78" max="78" width="16.453125" style="366" customWidth="1"/>
    <col min="79" max="79" width="11.54296875" style="366" customWidth="1"/>
    <col min="80" max="80" width="12.453125" style="366" customWidth="1"/>
    <col min="81" max="81" width="19.453125" style="366" customWidth="1"/>
    <col min="82" max="82" width="47" style="366" customWidth="1"/>
    <col min="83" max="83" width="19.453125" style="366" customWidth="1"/>
    <col min="84" max="84" width="13.54296875" style="366" customWidth="1"/>
    <col min="85" max="85" width="14.54296875" style="366" customWidth="1"/>
    <col min="86" max="86" width="9.453125" style="354"/>
    <col min="87" max="87" width="47" style="366" customWidth="1"/>
    <col min="88" max="88" width="19.453125" style="366" customWidth="1"/>
    <col min="89" max="89" width="13.54296875" style="366" customWidth="1"/>
    <col min="90" max="90" width="14.54296875" style="366" customWidth="1"/>
    <col min="91" max="91" width="9.453125" style="354"/>
    <col min="92" max="92" width="47" style="366" customWidth="1"/>
    <col min="93" max="93" width="33.54296875" style="366" customWidth="1"/>
    <col min="94" max="94" width="29" style="366" customWidth="1"/>
    <col min="95" max="95" width="18.54296875" style="366" bestFit="1" customWidth="1"/>
    <col min="96" max="96" width="14.54296875" style="366" customWidth="1"/>
    <col min="97" max="97" width="9.453125" style="366"/>
    <col min="98" max="98" width="14.54296875" style="366" customWidth="1"/>
    <col min="99" max="128" width="9.453125" style="354"/>
    <col min="129" max="129" width="9.453125" style="96"/>
    <col min="130" max="16384" width="9.453125" style="365"/>
  </cols>
  <sheetData>
    <row r="1" spans="1:98" ht="35.9" customHeight="1" thickBot="1" x14ac:dyDescent="0.35">
      <c r="A1" s="1265" t="s">
        <v>9</v>
      </c>
      <c r="B1" s="592" t="s">
        <v>662</v>
      </c>
      <c r="C1" s="593"/>
      <c r="D1" s="593"/>
      <c r="E1" s="593"/>
      <c r="F1" s="594"/>
      <c r="G1" s="1419" t="s">
        <v>6</v>
      </c>
      <c r="H1" s="1420"/>
      <c r="L1" s="378" t="s">
        <v>25</v>
      </c>
      <c r="M1" s="368" t="s">
        <v>663</v>
      </c>
      <c r="N1" s="920" t="s">
        <v>664</v>
      </c>
      <c r="O1" s="370">
        <f t="array" ref="O1">SUM(IF($A$1:N1 ="Chemistry", 1, 0))</f>
        <v>1</v>
      </c>
      <c r="P1" s="921"/>
      <c r="Q1" s="378" t="s">
        <v>25</v>
      </c>
      <c r="R1" s="368" t="s">
        <v>665</v>
      </c>
      <c r="S1" s="920" t="s">
        <v>664</v>
      </c>
      <c r="T1" s="370">
        <f t="array" ref="T1">SUM(IF($A$1:S1 ="Chemistry", 1, 0))</f>
        <v>2</v>
      </c>
      <c r="U1" s="922"/>
      <c r="V1" s="378" t="s">
        <v>25</v>
      </c>
      <c r="W1" s="368" t="s">
        <v>666</v>
      </c>
      <c r="X1" s="920" t="s">
        <v>664</v>
      </c>
      <c r="Y1" s="370">
        <f t="array" ref="Y1">SUM(IF($A$1:X1 ="Chemistry", 1, 0))</f>
        <v>3</v>
      </c>
      <c r="Z1" s="922"/>
      <c r="AA1" s="378" t="s">
        <v>25</v>
      </c>
      <c r="AB1" s="368" t="s">
        <v>667</v>
      </c>
      <c r="AC1" s="920" t="s">
        <v>664</v>
      </c>
      <c r="AD1" s="370">
        <f t="array" ref="AD1">SUM(IF($A$1:AC1 ="Chemistry", 1, 0))</f>
        <v>4</v>
      </c>
      <c r="AE1" s="91"/>
      <c r="AF1" s="378" t="s">
        <v>25</v>
      </c>
      <c r="AG1" s="368" t="s">
        <v>668</v>
      </c>
      <c r="AH1" s="920" t="s">
        <v>664</v>
      </c>
      <c r="AI1" s="370">
        <f t="array" ref="AI1">SUM(IF($A$1:AH1 ="Chemistry", 1, 0))</f>
        <v>5</v>
      </c>
      <c r="AJ1" s="923"/>
      <c r="AK1" s="378" t="s">
        <v>25</v>
      </c>
      <c r="AL1" s="368" t="s">
        <v>669</v>
      </c>
      <c r="AM1" s="920" t="s">
        <v>664</v>
      </c>
      <c r="AN1" s="370">
        <f t="array" ref="AN1">SUM(IF($A$1:AM1 ="Chemistry", 1, 0))</f>
        <v>6</v>
      </c>
      <c r="AO1" s="923"/>
      <c r="AP1" s="378" t="s">
        <v>25</v>
      </c>
      <c r="AQ1" s="368" t="s">
        <v>670</v>
      </c>
      <c r="AR1" s="920" t="s">
        <v>664</v>
      </c>
      <c r="AS1" s="370">
        <f t="array" ref="AS1">SUM(IF($A$1:AR1 ="Chemistry", 1, 0))</f>
        <v>7</v>
      </c>
      <c r="AT1" s="923"/>
      <c r="AU1" s="378" t="s">
        <v>25</v>
      </c>
      <c r="AV1" s="368" t="s">
        <v>29</v>
      </c>
      <c r="AW1" s="920" t="s">
        <v>664</v>
      </c>
      <c r="AX1" s="370">
        <f t="array" ref="AX1">SUM(IF($A$1:AW1 ="Chemistry", 1, 0))</f>
        <v>8</v>
      </c>
      <c r="AY1" s="923"/>
      <c r="AZ1" s="378" t="s">
        <v>25</v>
      </c>
      <c r="BA1" s="368" t="s">
        <v>671</v>
      </c>
      <c r="BB1" s="920" t="s">
        <v>664</v>
      </c>
      <c r="BC1" s="370">
        <f t="array" ref="BC1">SUM(IF($A$1:BB1 ="Chemistry", 1, 0))</f>
        <v>9</v>
      </c>
      <c r="BD1" s="923"/>
      <c r="BE1" s="378" t="s">
        <v>25</v>
      </c>
      <c r="BF1" s="368" t="s">
        <v>672</v>
      </c>
      <c r="BG1" s="920" t="s">
        <v>664</v>
      </c>
      <c r="BH1" s="370">
        <f t="array" ref="BH1">SUM(IF($A$1:BG1 ="Chemistry", 1, 0))</f>
        <v>10</v>
      </c>
      <c r="BI1" s="923"/>
      <c r="BJ1" s="378" t="s">
        <v>25</v>
      </c>
      <c r="BK1" s="368" t="s">
        <v>673</v>
      </c>
      <c r="BL1" s="920" t="s">
        <v>664</v>
      </c>
      <c r="BM1" s="370">
        <f t="array" ref="BM1">SUM(IF($A$1:BL1 ="Chemistry", 1, 0))</f>
        <v>11</v>
      </c>
      <c r="BN1" s="923"/>
      <c r="BO1" s="378" t="s">
        <v>25</v>
      </c>
      <c r="BP1" s="368" t="s">
        <v>674</v>
      </c>
      <c r="BQ1" s="920" t="s">
        <v>664</v>
      </c>
      <c r="BR1" s="370">
        <f t="array" ref="BR1">SUM(IF($A$1:BQ1 ="Chemistry", 1, 0))</f>
        <v>12</v>
      </c>
      <c r="BS1" s="923"/>
      <c r="BT1" s="378" t="s">
        <v>25</v>
      </c>
      <c r="BU1" s="368" t="s">
        <v>675</v>
      </c>
      <c r="BV1" s="920" t="s">
        <v>664</v>
      </c>
      <c r="BW1" s="370">
        <f t="array" ref="BW1">SUM(IF($A$1:BV1 ="Chemistry", 1, 0))</f>
        <v>13</v>
      </c>
      <c r="BY1" s="378" t="s">
        <v>25</v>
      </c>
      <c r="BZ1" s="368" t="s">
        <v>676</v>
      </c>
      <c r="CA1" s="920" t="s">
        <v>664</v>
      </c>
      <c r="CB1" s="370">
        <f t="array" ref="CB1">SUM(IF($A$1:CA1 ="Chemistry", 1, 0))</f>
        <v>14</v>
      </c>
      <c r="CD1" s="378" t="s">
        <v>25</v>
      </c>
      <c r="CE1" s="368" t="s">
        <v>677</v>
      </c>
      <c r="CF1" s="920" t="s">
        <v>664</v>
      </c>
      <c r="CG1" s="370">
        <f t="array" ref="CG1">SUM(IF($A$1:CF1 ="Chemistry", 1, 0))</f>
        <v>15</v>
      </c>
      <c r="CI1" s="378" t="s">
        <v>25</v>
      </c>
      <c r="CJ1" s="368" t="s">
        <v>678</v>
      </c>
      <c r="CK1" s="920" t="s">
        <v>664</v>
      </c>
      <c r="CL1" s="370">
        <f t="array" ref="CL1">SUM(IF($A$1:CK1 ="Chemistry", 1, 0))</f>
        <v>16</v>
      </c>
      <c r="CN1" s="367" t="s">
        <v>25</v>
      </c>
      <c r="CO1" s="368" t="str">
        <f>100*CQ8 &amp; "%/" &amp; (1-CQ8)*100 &amp; "% " &amp; LEFT(CQ7,FIND("-",CQ7)-1)&amp;"/" &amp; LEFT(CQ9,FIND("-",CQ9)-1) &amp; " - G"</f>
        <v>50%/50% NMC532/LMO - G</v>
      </c>
      <c r="CP1" s="369" t="s">
        <v>664</v>
      </c>
      <c r="CQ1" s="370">
        <f t="array" ref="CQ1">SUM(IF($A$1:CP1 ="Chemistry", 1, 0))</f>
        <v>17</v>
      </c>
      <c r="CT1"/>
    </row>
    <row r="2" spans="1:98" ht="27.65" customHeight="1" thickBot="1" x14ac:dyDescent="0.35">
      <c r="A2" s="1266" t="s">
        <v>11</v>
      </c>
      <c r="B2" s="595" t="s">
        <v>679</v>
      </c>
      <c r="C2" s="596" t="str">
        <f>Dashboard!D13</f>
        <v>NMC811-G (Energy)</v>
      </c>
      <c r="D2" s="597" t="s">
        <v>680</v>
      </c>
      <c r="E2" s="598">
        <f>MATCH(C2, 1:1, 0)</f>
        <v>48</v>
      </c>
      <c r="F2" s="599"/>
      <c r="G2" s="1241" t="s">
        <v>5</v>
      </c>
      <c r="H2" s="1242" t="s">
        <v>7</v>
      </c>
      <c r="L2" s="372" t="s">
        <v>681</v>
      </c>
      <c r="M2" s="373" t="s">
        <v>682</v>
      </c>
      <c r="N2" s="374"/>
      <c r="O2" s="375"/>
      <c r="P2" s="376"/>
      <c r="Q2" s="372" t="s">
        <v>681</v>
      </c>
      <c r="R2" s="373" t="s">
        <v>682</v>
      </c>
      <c r="S2" s="374"/>
      <c r="T2" s="375"/>
      <c r="V2" s="372" t="s">
        <v>681</v>
      </c>
      <c r="W2" s="373" t="s">
        <v>683</v>
      </c>
      <c r="X2" s="374"/>
      <c r="Y2" s="375"/>
      <c r="AA2" s="372" t="s">
        <v>681</v>
      </c>
      <c r="AB2" s="373" t="s">
        <v>683</v>
      </c>
      <c r="AC2" s="374"/>
      <c r="AD2" s="375"/>
      <c r="AE2"/>
      <c r="AF2" s="372" t="s">
        <v>681</v>
      </c>
      <c r="AG2" s="373" t="s">
        <v>683</v>
      </c>
      <c r="AH2" s="374"/>
      <c r="AI2" s="375"/>
      <c r="AK2" s="372" t="s">
        <v>681</v>
      </c>
      <c r="AL2" s="373" t="s">
        <v>683</v>
      </c>
      <c r="AM2" s="374"/>
      <c r="AN2" s="375"/>
      <c r="AP2" s="372" t="s">
        <v>681</v>
      </c>
      <c r="AQ2" s="373" t="s">
        <v>683</v>
      </c>
      <c r="AR2" s="374"/>
      <c r="AS2" s="375"/>
      <c r="AU2" s="372" t="s">
        <v>681</v>
      </c>
      <c r="AV2" s="373" t="s">
        <v>683</v>
      </c>
      <c r="AW2" s="374"/>
      <c r="AX2" s="375"/>
      <c r="AZ2" s="372" t="s">
        <v>681</v>
      </c>
      <c r="BA2" s="373" t="s">
        <v>682</v>
      </c>
      <c r="BB2" s="374"/>
      <c r="BC2" s="375"/>
      <c r="BE2" s="372" t="s">
        <v>681</v>
      </c>
      <c r="BF2" s="373" t="s">
        <v>682</v>
      </c>
      <c r="BG2" s="374"/>
      <c r="BH2" s="375"/>
      <c r="BJ2" s="372" t="s">
        <v>681</v>
      </c>
      <c r="BK2" s="373" t="s">
        <v>682</v>
      </c>
      <c r="BL2" s="374"/>
      <c r="BM2" s="375"/>
      <c r="BO2" s="372" t="s">
        <v>681</v>
      </c>
      <c r="BP2" s="373" t="s">
        <v>682</v>
      </c>
      <c r="BQ2" s="374"/>
      <c r="BR2" s="375"/>
      <c r="BT2" s="372" t="s">
        <v>681</v>
      </c>
      <c r="BU2" s="373" t="s">
        <v>682</v>
      </c>
      <c r="BV2" s="374"/>
      <c r="BW2" s="375"/>
      <c r="BY2" s="372" t="s">
        <v>681</v>
      </c>
      <c r="BZ2" s="373" t="s">
        <v>682</v>
      </c>
      <c r="CA2" s="374"/>
      <c r="CB2" s="375"/>
      <c r="CD2" s="372" t="s">
        <v>681</v>
      </c>
      <c r="CE2" s="373" t="s">
        <v>682</v>
      </c>
      <c r="CF2" s="374"/>
      <c r="CG2" s="375"/>
      <c r="CI2" s="372" t="s">
        <v>681</v>
      </c>
      <c r="CJ2" s="373" t="s">
        <v>682</v>
      </c>
      <c r="CK2" s="374"/>
      <c r="CL2" s="375"/>
      <c r="CN2" s="372" t="s">
        <v>681</v>
      </c>
      <c r="CO2" s="1482" t="s">
        <v>684</v>
      </c>
      <c r="CP2" s="1483"/>
      <c r="CQ2" s="1484"/>
      <c r="CT2"/>
    </row>
    <row r="3" spans="1:98" ht="30" customHeight="1" thickBot="1" x14ac:dyDescent="0.35">
      <c r="A3" s="364" t="s">
        <v>685</v>
      </c>
      <c r="B3" s="600" t="s">
        <v>686</v>
      </c>
      <c r="C3" s="1477" t="str">
        <f>IF(INDEX($3:$3, E2) = "", "", INDEX($3:$3, E2))</f>
        <v/>
      </c>
      <c r="D3" s="1478"/>
      <c r="E3" s="1478"/>
      <c r="F3" s="1479"/>
      <c r="G3" s="1243" t="s">
        <v>12</v>
      </c>
      <c r="H3" s="1242" t="s">
        <v>13</v>
      </c>
      <c r="L3" s="377" t="s">
        <v>686</v>
      </c>
      <c r="M3" s="374"/>
      <c r="N3" s="374"/>
      <c r="O3" s="375"/>
      <c r="P3" s="371"/>
      <c r="Q3" s="377" t="s">
        <v>686</v>
      </c>
      <c r="R3" s="374"/>
      <c r="S3" s="374"/>
      <c r="T3" s="375"/>
      <c r="V3" s="377" t="s">
        <v>686</v>
      </c>
      <c r="W3" s="374"/>
      <c r="X3" s="374"/>
      <c r="Y3" s="375"/>
      <c r="Z3" s="371"/>
      <c r="AA3" s="377" t="s">
        <v>686</v>
      </c>
      <c r="AB3" s="374"/>
      <c r="AC3" s="374"/>
      <c r="AD3" s="375"/>
      <c r="AE3"/>
      <c r="AF3" s="377" t="s">
        <v>686</v>
      </c>
      <c r="AG3" s="374"/>
      <c r="AH3" s="374"/>
      <c r="AI3" s="375"/>
      <c r="AJ3" s="371"/>
      <c r="AK3" s="377" t="s">
        <v>686</v>
      </c>
      <c r="AL3" s="374"/>
      <c r="AM3" s="374"/>
      <c r="AN3" s="375"/>
      <c r="AP3" s="377" t="s">
        <v>686</v>
      </c>
      <c r="AQ3" s="374"/>
      <c r="AR3" s="374"/>
      <c r="AS3" s="375"/>
      <c r="AT3" s="371"/>
      <c r="AU3" s="377" t="s">
        <v>686</v>
      </c>
      <c r="AV3" s="374"/>
      <c r="AW3" s="374"/>
      <c r="AX3" s="375"/>
      <c r="AZ3" s="377" t="s">
        <v>686</v>
      </c>
      <c r="BA3" s="374"/>
      <c r="BB3" s="374"/>
      <c r="BC3" s="375"/>
      <c r="BD3" s="371"/>
      <c r="BE3" s="377" t="s">
        <v>686</v>
      </c>
      <c r="BF3" s="374"/>
      <c r="BG3" s="374"/>
      <c r="BH3" s="375"/>
      <c r="BJ3" s="377" t="s">
        <v>686</v>
      </c>
      <c r="BK3" s="374"/>
      <c r="BL3" s="374"/>
      <c r="BM3" s="375"/>
      <c r="BN3" s="371"/>
      <c r="BO3" s="377" t="s">
        <v>686</v>
      </c>
      <c r="BP3" s="374"/>
      <c r="BQ3" s="374"/>
      <c r="BR3" s="375"/>
      <c r="BT3" s="377" t="s">
        <v>686</v>
      </c>
      <c r="BU3" s="374"/>
      <c r="BV3" s="374"/>
      <c r="BW3" s="375"/>
      <c r="BX3" s="371"/>
      <c r="BY3" s="377" t="s">
        <v>686</v>
      </c>
      <c r="BZ3" s="374"/>
      <c r="CA3" s="374"/>
      <c r="CB3" s="375"/>
      <c r="CD3" s="377" t="s">
        <v>686</v>
      </c>
      <c r="CE3" s="374"/>
      <c r="CF3" s="374"/>
      <c r="CG3" s="375"/>
      <c r="CI3" s="377" t="s">
        <v>686</v>
      </c>
      <c r="CJ3" s="374"/>
      <c r="CK3" s="374"/>
      <c r="CL3" s="375"/>
      <c r="CN3" s="377" t="s">
        <v>686</v>
      </c>
      <c r="CO3" s="1485" t="s">
        <v>687</v>
      </c>
      <c r="CP3" s="1486"/>
      <c r="CQ3" s="1487"/>
      <c r="CT3"/>
    </row>
    <row r="4" spans="1:98" ht="28.5" thickBot="1" x14ac:dyDescent="0.35">
      <c r="A4" s="1267" t="s">
        <v>688</v>
      </c>
      <c r="B4" s="601" t="s">
        <v>689</v>
      </c>
      <c r="C4" s="602" t="s">
        <v>690</v>
      </c>
      <c r="D4" s="602" t="s">
        <v>683</v>
      </c>
      <c r="E4" s="602" t="s">
        <v>30</v>
      </c>
      <c r="F4" s="602" t="s">
        <v>681</v>
      </c>
      <c r="G4" s="1240" t="s">
        <v>14</v>
      </c>
      <c r="H4" s="1242" t="s">
        <v>15</v>
      </c>
      <c r="L4" s="929" t="s">
        <v>689</v>
      </c>
      <c r="M4" s="930" t="s">
        <v>691</v>
      </c>
      <c r="N4" s="1480" t="s">
        <v>681</v>
      </c>
      <c r="O4" s="1481"/>
      <c r="P4" s="379"/>
      <c r="Q4" s="929" t="s">
        <v>689</v>
      </c>
      <c r="R4" s="930" t="s">
        <v>691</v>
      </c>
      <c r="S4" s="1480" t="s">
        <v>681</v>
      </c>
      <c r="T4" s="1481"/>
      <c r="V4" s="929" t="s">
        <v>689</v>
      </c>
      <c r="W4" s="930" t="s">
        <v>691</v>
      </c>
      <c r="X4" s="1480" t="s">
        <v>681</v>
      </c>
      <c r="Y4" s="1481"/>
      <c r="AA4" s="929" t="s">
        <v>689</v>
      </c>
      <c r="AB4" s="930" t="s">
        <v>691</v>
      </c>
      <c r="AC4" s="1480" t="s">
        <v>681</v>
      </c>
      <c r="AD4" s="1481"/>
      <c r="AE4" s="379"/>
      <c r="AF4" s="929" t="s">
        <v>689</v>
      </c>
      <c r="AG4" s="930" t="s">
        <v>691</v>
      </c>
      <c r="AH4" s="1480" t="s">
        <v>681</v>
      </c>
      <c r="AI4" s="1481"/>
      <c r="AK4" s="929" t="s">
        <v>689</v>
      </c>
      <c r="AL4" s="930" t="s">
        <v>691</v>
      </c>
      <c r="AM4" s="1480" t="s">
        <v>681</v>
      </c>
      <c r="AN4" s="1481"/>
      <c r="AP4" s="929" t="s">
        <v>689</v>
      </c>
      <c r="AQ4" s="930" t="s">
        <v>691</v>
      </c>
      <c r="AR4" s="1480" t="s">
        <v>681</v>
      </c>
      <c r="AS4" s="1481"/>
      <c r="AU4" s="929" t="s">
        <v>689</v>
      </c>
      <c r="AV4" s="930" t="s">
        <v>691</v>
      </c>
      <c r="AW4" s="1480" t="s">
        <v>681</v>
      </c>
      <c r="AX4" s="1481"/>
      <c r="AZ4" s="929" t="s">
        <v>689</v>
      </c>
      <c r="BA4" s="930" t="s">
        <v>691</v>
      </c>
      <c r="BB4" s="1480" t="s">
        <v>681</v>
      </c>
      <c r="BC4" s="1481"/>
      <c r="BE4" s="929" t="s">
        <v>689</v>
      </c>
      <c r="BF4" s="930" t="s">
        <v>691</v>
      </c>
      <c r="BG4" s="1480" t="s">
        <v>681</v>
      </c>
      <c r="BH4" s="1481"/>
      <c r="BJ4" s="929" t="s">
        <v>689</v>
      </c>
      <c r="BK4" s="930" t="s">
        <v>691</v>
      </c>
      <c r="BL4" s="1480" t="s">
        <v>681</v>
      </c>
      <c r="BM4" s="1481"/>
      <c r="BO4" s="929" t="s">
        <v>689</v>
      </c>
      <c r="BP4" s="930" t="s">
        <v>691</v>
      </c>
      <c r="BQ4" s="1480" t="s">
        <v>681</v>
      </c>
      <c r="BR4" s="1481"/>
      <c r="BT4" s="929" t="s">
        <v>689</v>
      </c>
      <c r="BU4" s="930" t="s">
        <v>691</v>
      </c>
      <c r="BV4" s="1480" t="s">
        <v>681</v>
      </c>
      <c r="BW4" s="1481"/>
      <c r="BY4" s="929" t="s">
        <v>689</v>
      </c>
      <c r="BZ4" s="930" t="s">
        <v>691</v>
      </c>
      <c r="CA4" s="1480" t="s">
        <v>681</v>
      </c>
      <c r="CB4" s="1481"/>
      <c r="CD4" s="929" t="s">
        <v>689</v>
      </c>
      <c r="CE4" s="930" t="s">
        <v>691</v>
      </c>
      <c r="CF4" s="1480" t="s">
        <v>681</v>
      </c>
      <c r="CG4" s="1481"/>
      <c r="CI4" s="929" t="s">
        <v>689</v>
      </c>
      <c r="CJ4" s="930" t="s">
        <v>691</v>
      </c>
      <c r="CK4" s="1480" t="s">
        <v>681</v>
      </c>
      <c r="CL4" s="1481"/>
      <c r="CN4" s="929" t="s">
        <v>689</v>
      </c>
      <c r="CO4" s="930" t="s">
        <v>691</v>
      </c>
      <c r="CP4" s="1480" t="s">
        <v>681</v>
      </c>
      <c r="CQ4" s="1481"/>
      <c r="CT4" s="379"/>
    </row>
    <row r="5" spans="1:98" ht="23.25" customHeight="1" thickBot="1" x14ac:dyDescent="0.45">
      <c r="A5" s="380" t="s">
        <v>438</v>
      </c>
      <c r="B5" s="603" t="s">
        <v>692</v>
      </c>
      <c r="C5" s="604" t="str">
        <f>IFERROR(IF(E5="",INDEX(_chem_formulas, MATCH(C7,_materials,0))&amp;" / "&amp;INDEX(_chem_formulas,MATCH(C35,_materials,0)),E5),C7&amp;" - "&amp;C35)</f>
        <v>Li(Ni0.8Mn0.1Co0.1)O2 / Graphite</v>
      </c>
      <c r="D5" s="605"/>
      <c r="E5" s="606"/>
      <c r="F5" s="607"/>
      <c r="G5" s="1240" t="s">
        <v>17</v>
      </c>
      <c r="H5" s="1246" t="s">
        <v>18</v>
      </c>
      <c r="I5" s="382"/>
      <c r="L5" s="388"/>
      <c r="M5" s="787"/>
      <c r="N5" s="787"/>
      <c r="O5" s="389"/>
      <c r="Q5" s="388"/>
      <c r="R5" s="787"/>
      <c r="S5" s="787"/>
      <c r="T5" s="389"/>
      <c r="U5" s="932"/>
      <c r="V5" s="388"/>
      <c r="W5" s="787"/>
      <c r="X5" s="787"/>
      <c r="Y5" s="389"/>
      <c r="Z5" s="384"/>
      <c r="AA5" s="388"/>
      <c r="AB5" s="787"/>
      <c r="AC5" s="787"/>
      <c r="AD5" s="389"/>
      <c r="AE5" s="384"/>
      <c r="AF5" s="388"/>
      <c r="AG5" s="787"/>
      <c r="AH5" s="787"/>
      <c r="AI5" s="389"/>
      <c r="AJ5" s="384"/>
      <c r="AK5" s="388"/>
      <c r="AL5" s="787"/>
      <c r="AM5" s="787"/>
      <c r="AN5" s="389"/>
      <c r="AO5" s="384"/>
      <c r="AP5" s="388"/>
      <c r="AQ5" s="787"/>
      <c r="AR5" s="787"/>
      <c r="AS5" s="389"/>
      <c r="AT5" s="384"/>
      <c r="AU5" s="388"/>
      <c r="AV5" s="787"/>
      <c r="AW5" s="787"/>
      <c r="AX5" s="389"/>
      <c r="AY5" s="384"/>
      <c r="AZ5" s="388"/>
      <c r="BA5" s="787"/>
      <c r="BB5" s="787"/>
      <c r="BC5" s="389"/>
      <c r="BD5" s="384"/>
      <c r="BE5" s="388"/>
      <c r="BF5" s="787"/>
      <c r="BG5" s="787"/>
      <c r="BH5" s="389"/>
      <c r="BI5" s="384"/>
      <c r="BJ5" s="388"/>
      <c r="BK5" s="787"/>
      <c r="BL5" s="787"/>
      <c r="BM5" s="389"/>
      <c r="BN5" s="384"/>
      <c r="BO5" s="388"/>
      <c r="BP5" s="787"/>
      <c r="BQ5" s="787"/>
      <c r="BR5" s="389"/>
      <c r="BS5" s="384"/>
      <c r="BT5" s="388"/>
      <c r="BU5" s="787"/>
      <c r="BV5" s="787"/>
      <c r="BW5" s="389"/>
      <c r="BX5" s="384"/>
      <c r="BY5" s="388"/>
      <c r="BZ5" s="787"/>
      <c r="CA5" s="787"/>
      <c r="CB5" s="389"/>
      <c r="CC5" s="384"/>
      <c r="CD5" s="388"/>
      <c r="CE5" s="787"/>
      <c r="CF5" s="787"/>
      <c r="CG5" s="389"/>
      <c r="CI5" s="388"/>
      <c r="CJ5" s="787"/>
      <c r="CK5" s="787"/>
      <c r="CL5" s="389"/>
      <c r="CN5" s="388"/>
      <c r="CO5" s="787"/>
      <c r="CP5" s="787"/>
      <c r="CQ5" s="389"/>
      <c r="CT5" s="384"/>
    </row>
    <row r="6" spans="1:98" ht="18.5" thickBot="1" x14ac:dyDescent="0.45">
      <c r="A6" s="380"/>
      <c r="B6" s="591" t="s">
        <v>693</v>
      </c>
      <c r="C6" s="589"/>
      <c r="D6" s="589"/>
      <c r="E6" s="589"/>
      <c r="F6" s="590"/>
      <c r="G6" s="1244" t="s">
        <v>22</v>
      </c>
      <c r="H6" s="1245" t="s">
        <v>23</v>
      </c>
      <c r="I6" s="382"/>
      <c r="L6" s="418" t="s">
        <v>300</v>
      </c>
      <c r="M6" s="384"/>
      <c r="N6" s="384"/>
      <c r="O6" s="385"/>
      <c r="Q6" s="418" t="s">
        <v>300</v>
      </c>
      <c r="R6" s="384"/>
      <c r="S6" s="384"/>
      <c r="T6" s="385"/>
      <c r="U6" s="932"/>
      <c r="V6" s="418" t="s">
        <v>300</v>
      </c>
      <c r="W6" s="384"/>
      <c r="X6" s="384"/>
      <c r="Y6" s="385"/>
      <c r="Z6" s="932"/>
      <c r="AA6" s="418" t="s">
        <v>300</v>
      </c>
      <c r="AB6" s="384"/>
      <c r="AC6" s="384"/>
      <c r="AD6" s="385"/>
      <c r="AE6" s="384"/>
      <c r="AF6" s="418" t="s">
        <v>300</v>
      </c>
      <c r="AG6" s="384"/>
      <c r="AH6" s="384"/>
      <c r="AI6" s="385"/>
      <c r="AJ6" s="384"/>
      <c r="AK6" s="418" t="s">
        <v>300</v>
      </c>
      <c r="AL6" s="384"/>
      <c r="AM6" s="384"/>
      <c r="AN6" s="385"/>
      <c r="AO6" s="384"/>
      <c r="AP6" s="418" t="s">
        <v>300</v>
      </c>
      <c r="AQ6" s="384"/>
      <c r="AR6" s="384"/>
      <c r="AS6" s="385"/>
      <c r="AT6" s="384"/>
      <c r="AU6" s="418" t="s">
        <v>300</v>
      </c>
      <c r="AV6" s="384"/>
      <c r="AW6" s="384"/>
      <c r="AX6" s="385"/>
      <c r="AY6" s="384"/>
      <c r="AZ6" s="418" t="s">
        <v>300</v>
      </c>
      <c r="BA6" s="384"/>
      <c r="BB6" s="384"/>
      <c r="BC6" s="385"/>
      <c r="BD6" s="384"/>
      <c r="BE6" s="418" t="s">
        <v>300</v>
      </c>
      <c r="BF6" s="384"/>
      <c r="BG6" s="384"/>
      <c r="BH6" s="385"/>
      <c r="BI6" s="384"/>
      <c r="BJ6" s="418" t="s">
        <v>300</v>
      </c>
      <c r="BK6" s="384"/>
      <c r="BL6" s="384"/>
      <c r="BM6" s="385"/>
      <c r="BN6" s="384"/>
      <c r="BO6" s="418" t="s">
        <v>300</v>
      </c>
      <c r="BP6" s="384"/>
      <c r="BQ6" s="384"/>
      <c r="BR6" s="385"/>
      <c r="BS6" s="384"/>
      <c r="BT6" s="418" t="s">
        <v>300</v>
      </c>
      <c r="BU6" s="384"/>
      <c r="BV6" s="384"/>
      <c r="BW6" s="385"/>
      <c r="BX6" s="384"/>
      <c r="BY6" s="418" t="s">
        <v>300</v>
      </c>
      <c r="BZ6" s="384"/>
      <c r="CA6" s="384"/>
      <c r="CB6" s="385"/>
      <c r="CC6" s="384"/>
      <c r="CD6" s="418" t="s">
        <v>300</v>
      </c>
      <c r="CE6" s="384"/>
      <c r="CF6" s="384"/>
      <c r="CG6" s="385"/>
      <c r="CI6" s="418" t="s">
        <v>300</v>
      </c>
      <c r="CJ6" s="384"/>
      <c r="CK6" s="384"/>
      <c r="CL6" s="385"/>
      <c r="CN6" s="418" t="s">
        <v>300</v>
      </c>
      <c r="CO6" s="384"/>
      <c r="CP6" s="924" t="s">
        <v>694</v>
      </c>
      <c r="CQ6" s="389"/>
      <c r="CR6" s="1033"/>
      <c r="CT6" s="384"/>
    </row>
    <row r="7" spans="1:98" ht="18" customHeight="1" x14ac:dyDescent="0.35">
      <c r="A7" s="380"/>
      <c r="B7" s="770" t="s">
        <v>695</v>
      </c>
      <c r="C7" s="738" t="str">
        <f>IF(AND(D7="",E7=""),"",IF(E7="",D7,E7))</f>
        <v>NMC811</v>
      </c>
      <c r="D7" s="739" t="str">
        <f>IF(INDEX(7:7,$E$2)="","", INDEX(7:7, $E$2))</f>
        <v>NMC811</v>
      </c>
      <c r="E7" s="606"/>
      <c r="F7" s="386"/>
      <c r="G7" s="96"/>
      <c r="L7" s="383" t="s">
        <v>696</v>
      </c>
      <c r="M7" s="410" t="s">
        <v>697</v>
      </c>
      <c r="N7" s="387"/>
      <c r="O7" s="391"/>
      <c r="P7" s="387"/>
      <c r="Q7" s="383" t="s">
        <v>696</v>
      </c>
      <c r="R7" s="410" t="s">
        <v>697</v>
      </c>
      <c r="S7" s="387"/>
      <c r="T7" s="391"/>
      <c r="U7" s="932"/>
      <c r="V7" s="383" t="s">
        <v>696</v>
      </c>
      <c r="W7" s="410" t="s">
        <v>698</v>
      </c>
      <c r="X7" s="387"/>
      <c r="Y7" s="391"/>
      <c r="Z7" s="932"/>
      <c r="AA7" s="383" t="s">
        <v>696</v>
      </c>
      <c r="AB7" s="410" t="s">
        <v>698</v>
      </c>
      <c r="AC7" s="387"/>
      <c r="AD7" s="391"/>
      <c r="AE7" s="387"/>
      <c r="AF7" s="383" t="s">
        <v>696</v>
      </c>
      <c r="AG7" s="410" t="s">
        <v>699</v>
      </c>
      <c r="AH7" s="387"/>
      <c r="AI7" s="391"/>
      <c r="AJ7" s="384"/>
      <c r="AK7" s="383" t="s">
        <v>696</v>
      </c>
      <c r="AL7" s="410" t="s">
        <v>699</v>
      </c>
      <c r="AM7" s="387"/>
      <c r="AN7" s="391"/>
      <c r="AO7" s="384"/>
      <c r="AP7" s="383" t="s">
        <v>696</v>
      </c>
      <c r="AQ7" s="410" t="s">
        <v>700</v>
      </c>
      <c r="AR7" s="387"/>
      <c r="AS7" s="391"/>
      <c r="AT7" s="384"/>
      <c r="AU7" s="383" t="s">
        <v>696</v>
      </c>
      <c r="AV7" s="410" t="s">
        <v>700</v>
      </c>
      <c r="AW7" s="387"/>
      <c r="AX7" s="391"/>
      <c r="AY7" s="384"/>
      <c r="AZ7" s="383" t="s">
        <v>696</v>
      </c>
      <c r="BA7" s="410" t="s">
        <v>701</v>
      </c>
      <c r="BB7" s="387"/>
      <c r="BC7" s="391"/>
      <c r="BD7" s="384"/>
      <c r="BE7" s="383" t="s">
        <v>696</v>
      </c>
      <c r="BF7" s="410" t="s">
        <v>701</v>
      </c>
      <c r="BG7" s="387"/>
      <c r="BH7" s="391"/>
      <c r="BI7" s="384"/>
      <c r="BJ7" s="383" t="s">
        <v>696</v>
      </c>
      <c r="BK7" s="410" t="s">
        <v>702</v>
      </c>
      <c r="BL7" s="387"/>
      <c r="BM7" s="391"/>
      <c r="BN7" s="384"/>
      <c r="BO7" s="383" t="s">
        <v>696</v>
      </c>
      <c r="BP7" s="410" t="s">
        <v>702</v>
      </c>
      <c r="BQ7" s="387"/>
      <c r="BR7" s="391"/>
      <c r="BS7" s="384"/>
      <c r="BT7" s="383" t="s">
        <v>696</v>
      </c>
      <c r="BU7" s="410" t="s">
        <v>703</v>
      </c>
      <c r="BV7" s="387"/>
      <c r="BW7" s="391"/>
      <c r="BX7" s="384"/>
      <c r="BY7" s="383" t="s">
        <v>696</v>
      </c>
      <c r="BZ7" s="410" t="s">
        <v>703</v>
      </c>
      <c r="CA7" s="387"/>
      <c r="CB7" s="391"/>
      <c r="CC7" s="384"/>
      <c r="CD7" s="383" t="s">
        <v>696</v>
      </c>
      <c r="CE7" s="410" t="s">
        <v>703</v>
      </c>
      <c r="CF7" s="387"/>
      <c r="CG7" s="391"/>
      <c r="CI7" s="383" t="s">
        <v>696</v>
      </c>
      <c r="CJ7" s="410" t="s">
        <v>703</v>
      </c>
      <c r="CK7" s="387"/>
      <c r="CL7" s="391"/>
      <c r="CN7" s="383" t="s">
        <v>696</v>
      </c>
      <c r="CO7" s="410" t="str">
        <f>100*CQ8 &amp; "%/" &amp; (1-CQ8)*100 &amp; "% " &amp; LEFT(CQ7,FIND("-",CQ7)-1)&amp;"/" &amp; LEFT(CQ9,FIND("-",CQ9)-1)</f>
        <v>50%/50% NMC532/LMO</v>
      </c>
      <c r="CP7" s="383" t="s">
        <v>704</v>
      </c>
      <c r="CQ7" s="925" t="s">
        <v>667</v>
      </c>
      <c r="CT7" s="387"/>
    </row>
    <row r="8" spans="1:98" x14ac:dyDescent="0.3">
      <c r="A8" s="380"/>
      <c r="B8" s="741" t="s">
        <v>705</v>
      </c>
      <c r="C8" s="738">
        <f>IF(SUM(C11:C13) = 100, IF(NOT(Dashboard!E15 = ""), Dashboard!E15,  IF(AND(D8="",E8=""),"",IF(E8="",D8,E8))), NA())</f>
        <v>213.6</v>
      </c>
      <c r="D8" s="739">
        <f>IF(INDEX(8:8,$E$2)="","", INDEX(8:8, $E$2))</f>
        <v>213.6</v>
      </c>
      <c r="E8" s="918"/>
      <c r="F8" s="386"/>
      <c r="G8" s="96"/>
      <c r="L8" s="383" t="s">
        <v>706</v>
      </c>
      <c r="M8" s="393">
        <v>171.3</v>
      </c>
      <c r="N8" s="387"/>
      <c r="O8" s="391"/>
      <c r="P8" s="387"/>
      <c r="Q8" s="383" t="s">
        <v>706</v>
      </c>
      <c r="R8" s="393">
        <v>171.3</v>
      </c>
      <c r="S8" s="387"/>
      <c r="T8" s="391"/>
      <c r="U8" s="932"/>
      <c r="V8" s="383" t="s">
        <v>706</v>
      </c>
      <c r="W8" s="393">
        <v>187.1</v>
      </c>
      <c r="X8" s="387"/>
      <c r="Y8" s="391"/>
      <c r="Z8" s="932"/>
      <c r="AA8" s="383" t="s">
        <v>706</v>
      </c>
      <c r="AB8" s="393">
        <v>187.1</v>
      </c>
      <c r="AC8" s="387"/>
      <c r="AD8" s="391"/>
      <c r="AE8" s="387"/>
      <c r="AF8" s="383" t="s">
        <v>706</v>
      </c>
      <c r="AG8" s="393">
        <v>190.9</v>
      </c>
      <c r="AH8" s="387"/>
      <c r="AI8" s="391"/>
      <c r="AJ8" s="384"/>
      <c r="AK8" s="383" t="s">
        <v>706</v>
      </c>
      <c r="AL8" s="393">
        <v>190.9</v>
      </c>
      <c r="AM8" s="387"/>
      <c r="AN8" s="391"/>
      <c r="AO8" s="384"/>
      <c r="AP8" s="383" t="s">
        <v>706</v>
      </c>
      <c r="AQ8" s="393">
        <v>213.6</v>
      </c>
      <c r="AR8" s="387"/>
      <c r="AS8" s="391"/>
      <c r="AT8" s="384"/>
      <c r="AU8" s="383" t="s">
        <v>706</v>
      </c>
      <c r="AV8" s="393">
        <v>213.6</v>
      </c>
      <c r="AW8" s="387"/>
      <c r="AX8" s="391"/>
      <c r="AY8" s="384"/>
      <c r="AZ8" s="383" t="s">
        <v>706</v>
      </c>
      <c r="BA8" s="393">
        <v>202</v>
      </c>
      <c r="BB8" s="387"/>
      <c r="BC8" s="391"/>
      <c r="BD8" s="384"/>
      <c r="BE8" s="383" t="s">
        <v>706</v>
      </c>
      <c r="BF8" s="393">
        <v>202</v>
      </c>
      <c r="BG8" s="387"/>
      <c r="BH8" s="391"/>
      <c r="BI8" s="384"/>
      <c r="BJ8" s="383" t="s">
        <v>706</v>
      </c>
      <c r="BK8" s="393">
        <v>156.69999999999999</v>
      </c>
      <c r="BL8" s="387"/>
      <c r="BM8" s="391"/>
      <c r="BN8" s="384"/>
      <c r="BO8" s="383" t="s">
        <v>706</v>
      </c>
      <c r="BP8" s="393">
        <v>156.69999999999999</v>
      </c>
      <c r="BQ8" s="387"/>
      <c r="BR8" s="391"/>
      <c r="BS8" s="384"/>
      <c r="BT8" s="383" t="s">
        <v>706</v>
      </c>
      <c r="BU8" s="393">
        <v>118.6</v>
      </c>
      <c r="BV8" s="387"/>
      <c r="BW8" s="391"/>
      <c r="BX8" s="384"/>
      <c r="BY8" s="383" t="s">
        <v>706</v>
      </c>
      <c r="BZ8" s="393">
        <v>118.6</v>
      </c>
      <c r="CA8" s="387"/>
      <c r="CB8" s="391"/>
      <c r="CC8" s="384"/>
      <c r="CD8" s="383" t="s">
        <v>706</v>
      </c>
      <c r="CE8" s="393">
        <v>118.6</v>
      </c>
      <c r="CF8" s="387"/>
      <c r="CG8" s="391"/>
      <c r="CI8" s="383" t="s">
        <v>706</v>
      </c>
      <c r="CJ8" s="393">
        <v>118.6</v>
      </c>
      <c r="CK8" s="387"/>
      <c r="CL8" s="391"/>
      <c r="CN8" s="383" t="s">
        <v>706</v>
      </c>
      <c r="CO8" s="393" cm="1">
        <f t="array" ref="CO8">INDEX(8:8, $CQ$10)*$CQ$8 + INDEX(8:8, $CQ$11)*(1-$CQ$8)</f>
        <v>152.85</v>
      </c>
      <c r="CP8" s="392" t="s">
        <v>707</v>
      </c>
      <c r="CQ8" s="925">
        <v>0.5</v>
      </c>
      <c r="CR8" s="1032"/>
      <c r="CT8" s="387"/>
    </row>
    <row r="9" spans="1:98" ht="14.5" thickBot="1" x14ac:dyDescent="0.35">
      <c r="A9" s="380"/>
      <c r="B9" s="741"/>
      <c r="C9" s="738"/>
      <c r="D9" s="739"/>
      <c r="E9" s="740"/>
      <c r="F9" s="386"/>
      <c r="G9" s="96"/>
      <c r="L9" s="383"/>
      <c r="M9" s="393"/>
      <c r="N9" s="387"/>
      <c r="O9" s="391"/>
      <c r="P9" s="387"/>
      <c r="Q9" s="383"/>
      <c r="R9" s="393"/>
      <c r="S9" s="387"/>
      <c r="T9" s="391"/>
      <c r="U9" s="932"/>
      <c r="V9" s="383"/>
      <c r="W9" s="393"/>
      <c r="X9" s="387"/>
      <c r="Y9" s="391"/>
      <c r="Z9" s="932"/>
      <c r="AA9" s="383"/>
      <c r="AB9" s="393"/>
      <c r="AC9" s="387"/>
      <c r="AD9" s="391"/>
      <c r="AE9" s="387"/>
      <c r="AF9" s="383"/>
      <c r="AG9" s="393"/>
      <c r="AH9" s="387"/>
      <c r="AI9" s="391"/>
      <c r="AJ9" s="384"/>
      <c r="AK9" s="383"/>
      <c r="AL9" s="393"/>
      <c r="AM9" s="387"/>
      <c r="AN9" s="391"/>
      <c r="AO9" s="384"/>
      <c r="AP9" s="383"/>
      <c r="AQ9" s="393"/>
      <c r="AR9" s="387"/>
      <c r="AS9" s="391"/>
      <c r="AT9" s="384"/>
      <c r="AU9" s="383"/>
      <c r="AV9" s="393"/>
      <c r="AW9" s="387"/>
      <c r="AX9" s="391"/>
      <c r="AY9" s="384"/>
      <c r="AZ9" s="383"/>
      <c r="BA9" s="393"/>
      <c r="BB9" s="387"/>
      <c r="BC9" s="391"/>
      <c r="BD9" s="384"/>
      <c r="BE9" s="383"/>
      <c r="BF9" s="393"/>
      <c r="BG9" s="387"/>
      <c r="BH9" s="391"/>
      <c r="BI9" s="384"/>
      <c r="BJ9" s="383"/>
      <c r="BK9" s="393"/>
      <c r="BL9" s="387"/>
      <c r="BM9" s="391"/>
      <c r="BN9" s="384"/>
      <c r="BO9" s="383"/>
      <c r="BP9" s="393"/>
      <c r="BQ9" s="387"/>
      <c r="BR9" s="391"/>
      <c r="BS9" s="384"/>
      <c r="BT9" s="383"/>
      <c r="BU9" s="393"/>
      <c r="BV9" s="387"/>
      <c r="BW9" s="391"/>
      <c r="BX9" s="384"/>
      <c r="BY9" s="383"/>
      <c r="BZ9" s="393"/>
      <c r="CA9" s="387"/>
      <c r="CB9" s="391"/>
      <c r="CC9" s="384"/>
      <c r="CD9" s="383"/>
      <c r="CE9" s="393"/>
      <c r="CF9" s="387"/>
      <c r="CG9" s="391"/>
      <c r="CI9" s="383"/>
      <c r="CJ9" s="393"/>
      <c r="CK9" s="387"/>
      <c r="CL9" s="391"/>
      <c r="CN9" s="383"/>
      <c r="CO9" s="393"/>
      <c r="CP9" s="396" t="s">
        <v>708</v>
      </c>
      <c r="CQ9" s="926" t="s">
        <v>676</v>
      </c>
      <c r="CT9" s="387"/>
    </row>
    <row r="10" spans="1:98" ht="15.5" x14ac:dyDescent="0.35">
      <c r="A10" s="380"/>
      <c r="B10" s="770" t="s">
        <v>709</v>
      </c>
      <c r="C10" s="738"/>
      <c r="D10" s="738" t="str">
        <f>IF(ISERROR(C8)," Sum of % must add to 100", "")</f>
        <v/>
      </c>
      <c r="E10" s="740"/>
      <c r="F10" s="386"/>
      <c r="G10" s="96"/>
      <c r="L10" s="394" t="s">
        <v>710</v>
      </c>
      <c r="M10" s="395"/>
      <c r="N10" s="387"/>
      <c r="O10" s="391"/>
      <c r="P10" s="387"/>
      <c r="Q10" s="394" t="s">
        <v>710</v>
      </c>
      <c r="R10" s="395"/>
      <c r="S10" s="387"/>
      <c r="T10" s="391"/>
      <c r="U10" s="932"/>
      <c r="V10" s="394" t="s">
        <v>710</v>
      </c>
      <c r="W10" s="395"/>
      <c r="X10" s="387"/>
      <c r="Y10" s="391"/>
      <c r="Z10" s="932"/>
      <c r="AA10" s="394" t="s">
        <v>710</v>
      </c>
      <c r="AB10" s="395"/>
      <c r="AC10" s="387"/>
      <c r="AD10" s="391"/>
      <c r="AE10" s="387"/>
      <c r="AF10" s="394" t="s">
        <v>710</v>
      </c>
      <c r="AG10" s="395"/>
      <c r="AH10" s="387"/>
      <c r="AI10" s="391"/>
      <c r="AJ10" s="384"/>
      <c r="AK10" s="394" t="s">
        <v>710</v>
      </c>
      <c r="AL10" s="395"/>
      <c r="AM10" s="387"/>
      <c r="AN10" s="391"/>
      <c r="AO10" s="384"/>
      <c r="AP10" s="394" t="s">
        <v>710</v>
      </c>
      <c r="AQ10" s="395"/>
      <c r="AR10" s="387"/>
      <c r="AS10" s="391"/>
      <c r="AT10" s="384"/>
      <c r="AU10" s="394" t="s">
        <v>710</v>
      </c>
      <c r="AV10" s="395"/>
      <c r="AW10" s="387"/>
      <c r="AX10" s="391"/>
      <c r="AY10" s="384"/>
      <c r="AZ10" s="394" t="s">
        <v>710</v>
      </c>
      <c r="BA10" s="395"/>
      <c r="BB10" s="387"/>
      <c r="BC10" s="391"/>
      <c r="BD10" s="384"/>
      <c r="BE10" s="394" t="s">
        <v>710</v>
      </c>
      <c r="BF10" s="395"/>
      <c r="BG10" s="387"/>
      <c r="BH10" s="391"/>
      <c r="BI10" s="384"/>
      <c r="BJ10" s="394" t="s">
        <v>710</v>
      </c>
      <c r="BK10" s="395"/>
      <c r="BL10" s="387"/>
      <c r="BM10" s="391"/>
      <c r="BN10" s="384"/>
      <c r="BO10" s="394" t="s">
        <v>710</v>
      </c>
      <c r="BP10" s="395"/>
      <c r="BQ10" s="387"/>
      <c r="BR10" s="391"/>
      <c r="BS10" s="384"/>
      <c r="BT10" s="394" t="s">
        <v>710</v>
      </c>
      <c r="BU10" s="395"/>
      <c r="BV10" s="387"/>
      <c r="BW10" s="391"/>
      <c r="BX10" s="384"/>
      <c r="BY10" s="394" t="s">
        <v>710</v>
      </c>
      <c r="BZ10" s="395"/>
      <c r="CA10" s="387"/>
      <c r="CB10" s="391"/>
      <c r="CC10" s="384"/>
      <c r="CD10" s="394" t="s">
        <v>710</v>
      </c>
      <c r="CE10" s="395"/>
      <c r="CF10" s="387"/>
      <c r="CG10" s="391"/>
      <c r="CI10" s="394" t="s">
        <v>710</v>
      </c>
      <c r="CJ10" s="395"/>
      <c r="CK10" s="387"/>
      <c r="CL10" s="391"/>
      <c r="CN10" s="394" t="s">
        <v>710</v>
      </c>
      <c r="CO10" s="395"/>
      <c r="CP10" s="388" t="s">
        <v>711</v>
      </c>
      <c r="CQ10" s="1034">
        <f>INDEX(Lists!$C$6:$C$60, MATCH(CQ7, _chem_couples, 0))</f>
        <v>28</v>
      </c>
      <c r="CT10" s="387"/>
    </row>
    <row r="11" spans="1:98" ht="14.5" thickBot="1" x14ac:dyDescent="0.35">
      <c r="A11" s="380" t="s">
        <v>438</v>
      </c>
      <c r="B11" s="742" t="s">
        <v>712</v>
      </c>
      <c r="C11" s="738">
        <f>IF(AND(D11="",E11=""),"",IF(E11="",D11,E11))</f>
        <v>96</v>
      </c>
      <c r="D11" s="743">
        <f>IF(INDEX(11:11,$E$2)="","", INDEX(11:11, $E$2))</f>
        <v>96</v>
      </c>
      <c r="E11" s="740"/>
      <c r="F11" s="397"/>
      <c r="G11" s="96"/>
      <c r="L11" s="398" t="s">
        <v>713</v>
      </c>
      <c r="M11" s="393">
        <v>94</v>
      </c>
      <c r="N11" s="387"/>
      <c r="O11" s="399"/>
      <c r="P11" s="400"/>
      <c r="Q11" s="398" t="s">
        <v>713</v>
      </c>
      <c r="R11" s="393">
        <v>96</v>
      </c>
      <c r="S11" s="387"/>
      <c r="T11" s="399"/>
      <c r="U11" s="932"/>
      <c r="V11" s="398" t="s">
        <v>713</v>
      </c>
      <c r="W11" s="393">
        <v>94</v>
      </c>
      <c r="X11" s="387"/>
      <c r="Y11" s="399"/>
      <c r="Z11" s="932"/>
      <c r="AA11" s="398" t="s">
        <v>713</v>
      </c>
      <c r="AB11" s="393">
        <v>96</v>
      </c>
      <c r="AC11" s="387"/>
      <c r="AD11" s="399"/>
      <c r="AE11" s="400"/>
      <c r="AF11" s="398" t="s">
        <v>713</v>
      </c>
      <c r="AG11" s="393">
        <v>94</v>
      </c>
      <c r="AH11" s="387"/>
      <c r="AI11" s="399"/>
      <c r="AJ11" s="384"/>
      <c r="AK11" s="398" t="s">
        <v>713</v>
      </c>
      <c r="AL11" s="393">
        <v>96</v>
      </c>
      <c r="AM11" s="387"/>
      <c r="AN11" s="399"/>
      <c r="AO11" s="384"/>
      <c r="AP11" s="398" t="s">
        <v>713</v>
      </c>
      <c r="AQ11" s="393">
        <v>94</v>
      </c>
      <c r="AR11" s="387"/>
      <c r="AS11" s="399"/>
      <c r="AT11" s="384"/>
      <c r="AU11" s="398" t="s">
        <v>713</v>
      </c>
      <c r="AV11" s="393">
        <v>96</v>
      </c>
      <c r="AW11" s="387"/>
      <c r="AX11" s="399"/>
      <c r="AY11" s="384"/>
      <c r="AZ11" s="398" t="s">
        <v>713</v>
      </c>
      <c r="BA11" s="393">
        <v>94</v>
      </c>
      <c r="BB11" s="387"/>
      <c r="BC11" s="399"/>
      <c r="BD11" s="384"/>
      <c r="BE11" s="398" t="s">
        <v>713</v>
      </c>
      <c r="BF11" s="393">
        <v>96</v>
      </c>
      <c r="BG11" s="387"/>
      <c r="BH11" s="399"/>
      <c r="BI11" s="384"/>
      <c r="BJ11" s="398" t="s">
        <v>713</v>
      </c>
      <c r="BK11" s="393">
        <v>94</v>
      </c>
      <c r="BL11" s="387"/>
      <c r="BM11" s="399"/>
      <c r="BN11" s="384"/>
      <c r="BO11" s="398" t="s">
        <v>713</v>
      </c>
      <c r="BP11" s="393">
        <v>96</v>
      </c>
      <c r="BQ11" s="387"/>
      <c r="BR11" s="399"/>
      <c r="BS11" s="384"/>
      <c r="BT11" s="398" t="s">
        <v>713</v>
      </c>
      <c r="BU11" s="393">
        <v>94</v>
      </c>
      <c r="BV11" s="387"/>
      <c r="BW11" s="399"/>
      <c r="BX11" s="384"/>
      <c r="BY11" s="398" t="s">
        <v>713</v>
      </c>
      <c r="BZ11" s="393">
        <v>96</v>
      </c>
      <c r="CA11" s="387"/>
      <c r="CB11" s="399"/>
      <c r="CC11" s="384"/>
      <c r="CD11" s="398" t="s">
        <v>713</v>
      </c>
      <c r="CE11" s="393">
        <v>94</v>
      </c>
      <c r="CF11" s="387"/>
      <c r="CG11" s="399"/>
      <c r="CI11" s="398" t="s">
        <v>713</v>
      </c>
      <c r="CJ11" s="393">
        <v>96</v>
      </c>
      <c r="CK11" s="387"/>
      <c r="CL11" s="399"/>
      <c r="CN11" s="398" t="s">
        <v>713</v>
      </c>
      <c r="CO11" s="1036" cm="1">
        <f t="array" ref="CO11">INDEX(11:11, $CQ$10)*$CQ$8 + INDEX(11:11, $CQ$11)*(1-$CQ$8)</f>
        <v>96</v>
      </c>
      <c r="CP11" s="396" t="s">
        <v>714</v>
      </c>
      <c r="CQ11" s="1035">
        <f>INDEX(Lists!$C$6:$C$60, MATCH(CQ9, _chem_couples, 0))</f>
        <v>78</v>
      </c>
      <c r="CT11" s="400"/>
    </row>
    <row r="12" spans="1:98" ht="14.5" thickBot="1" x14ac:dyDescent="0.35">
      <c r="A12" s="380"/>
      <c r="B12" s="742" t="s">
        <v>715</v>
      </c>
      <c r="C12" s="738">
        <f>IF(AND(D12="",E12=""),"",IF(E12="",D12,E12))</f>
        <v>2</v>
      </c>
      <c r="D12" s="743">
        <f>IF(INDEX(12:12,$E$2)="","", INDEX(12:12, $E$2))</f>
        <v>2</v>
      </c>
      <c r="E12" s="740"/>
      <c r="F12" s="397"/>
      <c r="G12" s="96"/>
      <c r="L12" s="398" t="s">
        <v>716</v>
      </c>
      <c r="M12" s="393">
        <v>4</v>
      </c>
      <c r="N12" s="387"/>
      <c r="O12" s="399"/>
      <c r="P12" s="400"/>
      <c r="Q12" s="398" t="s">
        <v>716</v>
      </c>
      <c r="R12" s="393">
        <v>2</v>
      </c>
      <c r="S12" s="387"/>
      <c r="T12" s="399"/>
      <c r="U12" s="932"/>
      <c r="V12" s="398" t="s">
        <v>716</v>
      </c>
      <c r="W12" s="393">
        <v>4</v>
      </c>
      <c r="X12" s="387"/>
      <c r="Y12" s="399"/>
      <c r="Z12" s="932"/>
      <c r="AA12" s="398" t="s">
        <v>716</v>
      </c>
      <c r="AB12" s="393">
        <v>2</v>
      </c>
      <c r="AC12" s="387"/>
      <c r="AD12" s="399"/>
      <c r="AE12" s="400"/>
      <c r="AF12" s="398" t="s">
        <v>716</v>
      </c>
      <c r="AG12" s="393">
        <v>4</v>
      </c>
      <c r="AH12" s="387"/>
      <c r="AI12" s="399"/>
      <c r="AJ12" s="384"/>
      <c r="AK12" s="398" t="s">
        <v>716</v>
      </c>
      <c r="AL12" s="393">
        <v>2</v>
      </c>
      <c r="AM12" s="387"/>
      <c r="AN12" s="399"/>
      <c r="AO12" s="384"/>
      <c r="AP12" s="398" t="s">
        <v>716</v>
      </c>
      <c r="AQ12" s="393">
        <v>4</v>
      </c>
      <c r="AR12" s="387"/>
      <c r="AS12" s="399"/>
      <c r="AT12" s="384"/>
      <c r="AU12" s="398" t="s">
        <v>716</v>
      </c>
      <c r="AV12" s="393">
        <v>2</v>
      </c>
      <c r="AW12" s="387"/>
      <c r="AX12" s="399"/>
      <c r="AY12" s="384"/>
      <c r="AZ12" s="398" t="s">
        <v>716</v>
      </c>
      <c r="BA12" s="393">
        <v>4</v>
      </c>
      <c r="BB12" s="387"/>
      <c r="BC12" s="399"/>
      <c r="BD12" s="384"/>
      <c r="BE12" s="398" t="s">
        <v>716</v>
      </c>
      <c r="BF12" s="393">
        <v>2</v>
      </c>
      <c r="BG12" s="387"/>
      <c r="BH12" s="399"/>
      <c r="BI12" s="384"/>
      <c r="BJ12" s="398" t="s">
        <v>716</v>
      </c>
      <c r="BK12" s="393">
        <v>4</v>
      </c>
      <c r="BL12" s="387"/>
      <c r="BM12" s="399"/>
      <c r="BN12" s="384"/>
      <c r="BO12" s="398" t="s">
        <v>716</v>
      </c>
      <c r="BP12" s="393">
        <v>2</v>
      </c>
      <c r="BQ12" s="387"/>
      <c r="BR12" s="399"/>
      <c r="BS12" s="384"/>
      <c r="BT12" s="398" t="s">
        <v>716</v>
      </c>
      <c r="BU12" s="393">
        <v>4</v>
      </c>
      <c r="BV12" s="387"/>
      <c r="BW12" s="399"/>
      <c r="BX12" s="384"/>
      <c r="BY12" s="398" t="s">
        <v>716</v>
      </c>
      <c r="BZ12" s="393">
        <v>2</v>
      </c>
      <c r="CA12" s="387"/>
      <c r="CB12" s="399"/>
      <c r="CC12" s="384"/>
      <c r="CD12" s="398" t="s">
        <v>716</v>
      </c>
      <c r="CE12" s="393">
        <v>4</v>
      </c>
      <c r="CF12" s="387"/>
      <c r="CG12" s="399"/>
      <c r="CI12" s="398" t="s">
        <v>716</v>
      </c>
      <c r="CJ12" s="393">
        <v>2</v>
      </c>
      <c r="CK12" s="387"/>
      <c r="CL12" s="399"/>
      <c r="CN12" s="398" t="s">
        <v>716</v>
      </c>
      <c r="CO12" s="1036" cm="1">
        <f t="array" ref="CO12">INDEX(12:12, $CQ$10)*$CQ$8 + INDEX(12:12, $CQ$11)*(1-$CQ$8)</f>
        <v>2</v>
      </c>
      <c r="CP12" s="1039" t="s">
        <v>717</v>
      </c>
      <c r="CQ12" s="1040" t="str">
        <f>IF(CO35 = "N/A", "Anodes don't match", "Good")</f>
        <v>Good</v>
      </c>
      <c r="CT12" s="400"/>
    </row>
    <row r="13" spans="1:98" x14ac:dyDescent="0.3">
      <c r="A13" s="380"/>
      <c r="B13" s="744" t="s">
        <v>718</v>
      </c>
      <c r="C13" s="738">
        <f>IF(AND(D13="",E13=""),"",IF(E13="",D13,E13))</f>
        <v>2</v>
      </c>
      <c r="D13" s="743">
        <f>IF(INDEX(13:13,$E$2)="","", INDEX(13:13, $E$2))</f>
        <v>2</v>
      </c>
      <c r="E13" s="740"/>
      <c r="F13" s="397"/>
      <c r="G13" s="381"/>
      <c r="L13" s="392" t="s">
        <v>719</v>
      </c>
      <c r="M13" s="393">
        <v>2</v>
      </c>
      <c r="N13" s="387"/>
      <c r="O13" s="399"/>
      <c r="P13" s="400"/>
      <c r="Q13" s="392" t="s">
        <v>719</v>
      </c>
      <c r="R13" s="393">
        <v>2</v>
      </c>
      <c r="S13" s="387"/>
      <c r="T13" s="399"/>
      <c r="U13" s="932"/>
      <c r="V13" s="392" t="s">
        <v>719</v>
      </c>
      <c r="W13" s="393">
        <v>2</v>
      </c>
      <c r="X13" s="387"/>
      <c r="Y13" s="399"/>
      <c r="Z13" s="932"/>
      <c r="AA13" s="392" t="s">
        <v>719</v>
      </c>
      <c r="AB13" s="393">
        <v>2</v>
      </c>
      <c r="AC13" s="387"/>
      <c r="AD13" s="399"/>
      <c r="AE13" s="400"/>
      <c r="AF13" s="392" t="s">
        <v>719</v>
      </c>
      <c r="AG13" s="393">
        <v>2</v>
      </c>
      <c r="AH13" s="387"/>
      <c r="AI13" s="399"/>
      <c r="AJ13" s="384"/>
      <c r="AK13" s="392" t="s">
        <v>719</v>
      </c>
      <c r="AL13" s="393">
        <v>2</v>
      </c>
      <c r="AM13" s="387"/>
      <c r="AN13" s="399"/>
      <c r="AO13" s="384"/>
      <c r="AP13" s="392" t="s">
        <v>719</v>
      </c>
      <c r="AQ13" s="393">
        <v>2</v>
      </c>
      <c r="AR13" s="387"/>
      <c r="AS13" s="399"/>
      <c r="AT13" s="384"/>
      <c r="AU13" s="392" t="s">
        <v>719</v>
      </c>
      <c r="AV13" s="393">
        <v>2</v>
      </c>
      <c r="AW13" s="387"/>
      <c r="AX13" s="399"/>
      <c r="AY13" s="384"/>
      <c r="AZ13" s="392" t="s">
        <v>719</v>
      </c>
      <c r="BA13" s="393">
        <v>2</v>
      </c>
      <c r="BB13" s="387"/>
      <c r="BC13" s="399"/>
      <c r="BD13" s="384"/>
      <c r="BE13" s="392" t="s">
        <v>719</v>
      </c>
      <c r="BF13" s="393">
        <v>2</v>
      </c>
      <c r="BG13" s="387"/>
      <c r="BH13" s="399"/>
      <c r="BI13" s="384"/>
      <c r="BJ13" s="392" t="s">
        <v>719</v>
      </c>
      <c r="BK13" s="393">
        <v>2</v>
      </c>
      <c r="BL13" s="387"/>
      <c r="BM13" s="399"/>
      <c r="BN13" s="384"/>
      <c r="BO13" s="392" t="s">
        <v>719</v>
      </c>
      <c r="BP13" s="393">
        <v>2</v>
      </c>
      <c r="BQ13" s="387"/>
      <c r="BR13" s="399"/>
      <c r="BS13" s="384"/>
      <c r="BT13" s="392" t="s">
        <v>719</v>
      </c>
      <c r="BU13" s="393">
        <v>2</v>
      </c>
      <c r="BV13" s="387"/>
      <c r="BW13" s="399"/>
      <c r="BX13" s="384"/>
      <c r="BY13" s="392" t="s">
        <v>719</v>
      </c>
      <c r="BZ13" s="393">
        <v>2</v>
      </c>
      <c r="CA13" s="387"/>
      <c r="CB13" s="399"/>
      <c r="CC13" s="384"/>
      <c r="CD13" s="392" t="s">
        <v>719</v>
      </c>
      <c r="CE13" s="393">
        <v>2</v>
      </c>
      <c r="CF13" s="387"/>
      <c r="CG13" s="399"/>
      <c r="CI13" s="392" t="s">
        <v>719</v>
      </c>
      <c r="CJ13" s="393">
        <v>2</v>
      </c>
      <c r="CK13" s="387"/>
      <c r="CL13" s="399"/>
      <c r="CN13" s="392" t="s">
        <v>719</v>
      </c>
      <c r="CO13" s="1036" cm="1">
        <f t="array" ref="CO13">INDEX(13:13, $CQ$10)*$CQ$8 + INDEX(13:13, $CQ$11)*(1-$CQ$8)</f>
        <v>2</v>
      </c>
      <c r="CP13" s="387"/>
      <c r="CQ13" s="399"/>
      <c r="CT13" s="400"/>
    </row>
    <row r="14" spans="1:98" x14ac:dyDescent="0.3">
      <c r="A14" s="380"/>
      <c r="B14" s="744" t="s">
        <v>720</v>
      </c>
      <c r="C14" s="738" t="str">
        <f>IF(AND(D14="",E14=""),"",IF(E14="",D14,E14))</f>
        <v>NMP</v>
      </c>
      <c r="D14" s="739" t="str">
        <f>IF(INDEX(14:14,$E$2)="","", INDEX(14:14, $E$2))</f>
        <v>NMP</v>
      </c>
      <c r="E14" s="740"/>
      <c r="F14" s="386"/>
      <c r="G14" s="381"/>
      <c r="L14" s="392" t="s">
        <v>721</v>
      </c>
      <c r="M14" s="393" t="s">
        <v>722</v>
      </c>
      <c r="N14" s="387"/>
      <c r="O14" s="391"/>
      <c r="P14" s="387"/>
      <c r="Q14" s="392" t="s">
        <v>721</v>
      </c>
      <c r="R14" s="393" t="s">
        <v>722</v>
      </c>
      <c r="S14" s="387"/>
      <c r="T14" s="391"/>
      <c r="U14" s="932"/>
      <c r="V14" s="392" t="s">
        <v>721</v>
      </c>
      <c r="W14" s="393" t="s">
        <v>722</v>
      </c>
      <c r="X14" s="387"/>
      <c r="Y14" s="391"/>
      <c r="Z14" s="932"/>
      <c r="AA14" s="392" t="s">
        <v>721</v>
      </c>
      <c r="AB14" s="393" t="s">
        <v>722</v>
      </c>
      <c r="AC14" s="387"/>
      <c r="AD14" s="391"/>
      <c r="AE14" s="387"/>
      <c r="AF14" s="392" t="s">
        <v>721</v>
      </c>
      <c r="AG14" s="393" t="s">
        <v>722</v>
      </c>
      <c r="AH14" s="387"/>
      <c r="AI14" s="391"/>
      <c r="AJ14" s="384"/>
      <c r="AK14" s="392" t="s">
        <v>721</v>
      </c>
      <c r="AL14" s="393" t="s">
        <v>722</v>
      </c>
      <c r="AM14" s="387"/>
      <c r="AN14" s="391"/>
      <c r="AO14" s="384"/>
      <c r="AP14" s="392" t="s">
        <v>721</v>
      </c>
      <c r="AQ14" s="393" t="s">
        <v>722</v>
      </c>
      <c r="AR14" s="387"/>
      <c r="AS14" s="391"/>
      <c r="AT14" s="384"/>
      <c r="AU14" s="392" t="s">
        <v>721</v>
      </c>
      <c r="AV14" s="393" t="s">
        <v>722</v>
      </c>
      <c r="AW14" s="387"/>
      <c r="AX14" s="391"/>
      <c r="AY14" s="384"/>
      <c r="AZ14" s="392" t="s">
        <v>721</v>
      </c>
      <c r="BA14" s="393" t="s">
        <v>722</v>
      </c>
      <c r="BB14" s="387"/>
      <c r="BC14" s="391"/>
      <c r="BD14" s="384"/>
      <c r="BE14" s="392" t="s">
        <v>721</v>
      </c>
      <c r="BF14" s="393" t="s">
        <v>722</v>
      </c>
      <c r="BG14" s="387"/>
      <c r="BH14" s="391"/>
      <c r="BI14" s="384"/>
      <c r="BJ14" s="392" t="s">
        <v>721</v>
      </c>
      <c r="BK14" s="393" t="s">
        <v>722</v>
      </c>
      <c r="BL14" s="387"/>
      <c r="BM14" s="391"/>
      <c r="BN14" s="384"/>
      <c r="BO14" s="392" t="s">
        <v>721</v>
      </c>
      <c r="BP14" s="393" t="s">
        <v>722</v>
      </c>
      <c r="BQ14" s="387"/>
      <c r="BR14" s="391"/>
      <c r="BS14" s="384"/>
      <c r="BT14" s="392" t="s">
        <v>721</v>
      </c>
      <c r="BU14" s="393" t="s">
        <v>722</v>
      </c>
      <c r="BV14" s="387"/>
      <c r="BW14" s="391"/>
      <c r="BX14" s="384"/>
      <c r="BY14" s="392" t="s">
        <v>721</v>
      </c>
      <c r="BZ14" s="393" t="s">
        <v>722</v>
      </c>
      <c r="CA14" s="387"/>
      <c r="CB14" s="391"/>
      <c r="CC14" s="384"/>
      <c r="CD14" s="392" t="s">
        <v>721</v>
      </c>
      <c r="CE14" s="393" t="s">
        <v>722</v>
      </c>
      <c r="CF14" s="387"/>
      <c r="CG14" s="391"/>
      <c r="CI14" s="392" t="s">
        <v>721</v>
      </c>
      <c r="CJ14" s="393" t="s">
        <v>722</v>
      </c>
      <c r="CK14" s="387"/>
      <c r="CL14" s="391"/>
      <c r="CN14" s="392" t="s">
        <v>721</v>
      </c>
      <c r="CO14" s="393" t="s">
        <v>722</v>
      </c>
      <c r="CP14" s="387"/>
      <c r="CQ14" s="391"/>
      <c r="CT14" s="387"/>
    </row>
    <row r="15" spans="1:98" x14ac:dyDescent="0.3">
      <c r="A15" s="380"/>
      <c r="B15" s="744"/>
      <c r="C15" s="738"/>
      <c r="D15" s="739"/>
      <c r="E15" s="740"/>
      <c r="F15" s="386"/>
      <c r="G15" s="381"/>
      <c r="L15" s="394"/>
      <c r="M15" s="393"/>
      <c r="N15" s="387"/>
      <c r="O15" s="391"/>
      <c r="P15" s="387"/>
      <c r="Q15" s="394"/>
      <c r="R15" s="393"/>
      <c r="S15" s="387"/>
      <c r="T15" s="391"/>
      <c r="U15" s="932"/>
      <c r="V15" s="394"/>
      <c r="W15" s="393"/>
      <c r="X15" s="387"/>
      <c r="Y15" s="391"/>
      <c r="Z15" s="932"/>
      <c r="AA15" s="394"/>
      <c r="AB15" s="393"/>
      <c r="AC15" s="387"/>
      <c r="AD15" s="391"/>
      <c r="AE15" s="387"/>
      <c r="AF15" s="394"/>
      <c r="AG15" s="393"/>
      <c r="AH15" s="387"/>
      <c r="AI15" s="391"/>
      <c r="AJ15" s="384"/>
      <c r="AK15" s="394"/>
      <c r="AL15" s="393"/>
      <c r="AM15" s="387"/>
      <c r="AN15" s="391"/>
      <c r="AO15" s="384"/>
      <c r="AP15" s="394"/>
      <c r="AQ15" s="393"/>
      <c r="AR15" s="387"/>
      <c r="AS15" s="391"/>
      <c r="AT15" s="384"/>
      <c r="AU15" s="394"/>
      <c r="AV15" s="393"/>
      <c r="AW15" s="387"/>
      <c r="AX15" s="391"/>
      <c r="AY15" s="384"/>
      <c r="AZ15" s="394"/>
      <c r="BA15" s="393"/>
      <c r="BB15" s="387"/>
      <c r="BC15" s="391"/>
      <c r="BD15" s="384"/>
      <c r="BE15" s="394"/>
      <c r="BF15" s="393"/>
      <c r="BG15" s="387"/>
      <c r="BH15" s="391"/>
      <c r="BI15" s="384"/>
      <c r="BJ15" s="394"/>
      <c r="BK15" s="393"/>
      <c r="BL15" s="387"/>
      <c r="BM15" s="391"/>
      <c r="BN15" s="384"/>
      <c r="BO15" s="394"/>
      <c r="BP15" s="393"/>
      <c r="BQ15" s="387"/>
      <c r="BR15" s="391"/>
      <c r="BS15" s="384"/>
      <c r="BT15" s="394"/>
      <c r="BU15" s="393"/>
      <c r="BV15" s="387"/>
      <c r="BW15" s="391"/>
      <c r="BX15" s="384"/>
      <c r="BY15" s="394"/>
      <c r="BZ15" s="393"/>
      <c r="CA15" s="387"/>
      <c r="CB15" s="391"/>
      <c r="CC15" s="384"/>
      <c r="CD15" s="394"/>
      <c r="CE15" s="393"/>
      <c r="CF15" s="387"/>
      <c r="CG15" s="391"/>
      <c r="CI15" s="394"/>
      <c r="CJ15" s="393"/>
      <c r="CK15" s="387"/>
      <c r="CL15" s="391"/>
      <c r="CN15" s="394"/>
      <c r="CO15" s="393"/>
      <c r="CP15" s="387"/>
      <c r="CQ15" s="391"/>
      <c r="CT15" s="387"/>
    </row>
    <row r="16" spans="1:98" ht="16.5" x14ac:dyDescent="0.35">
      <c r="A16" s="380"/>
      <c r="B16" s="770" t="s">
        <v>723</v>
      </c>
      <c r="C16" s="738"/>
      <c r="D16" s="748" t="str">
        <f>IF(INDEX(16:16,$E$2)="","", INDEX(16:16, $E$2))</f>
        <v/>
      </c>
      <c r="E16" s="740"/>
      <c r="F16" s="402"/>
      <c r="G16" s="381"/>
      <c r="L16" s="394" t="s">
        <v>724</v>
      </c>
      <c r="M16" s="406"/>
      <c r="N16" s="387"/>
      <c r="O16" s="404"/>
      <c r="P16" s="405"/>
      <c r="Q16" s="394" t="s">
        <v>724</v>
      </c>
      <c r="R16" s="406"/>
      <c r="S16" s="387"/>
      <c r="T16" s="404"/>
      <c r="U16" s="932"/>
      <c r="V16" s="394" t="s">
        <v>724</v>
      </c>
      <c r="W16" s="406"/>
      <c r="X16" s="387"/>
      <c r="Y16" s="404"/>
      <c r="Z16" s="932"/>
      <c r="AA16" s="394" t="s">
        <v>724</v>
      </c>
      <c r="AB16" s="406"/>
      <c r="AC16" s="387"/>
      <c r="AD16" s="404"/>
      <c r="AE16" s="405"/>
      <c r="AF16" s="394" t="s">
        <v>724</v>
      </c>
      <c r="AG16" s="406"/>
      <c r="AH16" s="387"/>
      <c r="AI16" s="404"/>
      <c r="AJ16" s="384"/>
      <c r="AK16" s="394" t="s">
        <v>724</v>
      </c>
      <c r="AL16" s="406"/>
      <c r="AM16" s="387"/>
      <c r="AN16" s="404"/>
      <c r="AO16" s="384"/>
      <c r="AP16" s="394" t="s">
        <v>724</v>
      </c>
      <c r="AQ16" s="406"/>
      <c r="AR16" s="387"/>
      <c r="AS16" s="404"/>
      <c r="AT16" s="384"/>
      <c r="AU16" s="394" t="s">
        <v>724</v>
      </c>
      <c r="AV16" s="406"/>
      <c r="AW16" s="387"/>
      <c r="AX16" s="404"/>
      <c r="AY16" s="384"/>
      <c r="AZ16" s="394" t="s">
        <v>724</v>
      </c>
      <c r="BA16" s="406"/>
      <c r="BB16" s="387"/>
      <c r="BC16" s="404"/>
      <c r="BD16" s="384"/>
      <c r="BE16" s="394" t="s">
        <v>724</v>
      </c>
      <c r="BF16" s="406"/>
      <c r="BG16" s="387"/>
      <c r="BH16" s="404"/>
      <c r="BI16" s="384"/>
      <c r="BJ16" s="394" t="s">
        <v>724</v>
      </c>
      <c r="BK16" s="406"/>
      <c r="BL16" s="387"/>
      <c r="BM16" s="404"/>
      <c r="BN16" s="384"/>
      <c r="BO16" s="394" t="s">
        <v>724</v>
      </c>
      <c r="BP16" s="406"/>
      <c r="BQ16" s="387"/>
      <c r="BR16" s="404"/>
      <c r="BS16" s="384"/>
      <c r="BT16" s="394" t="s">
        <v>724</v>
      </c>
      <c r="BU16" s="406"/>
      <c r="BV16" s="387"/>
      <c r="BW16" s="404"/>
      <c r="BX16" s="384"/>
      <c r="BY16" s="394" t="s">
        <v>724</v>
      </c>
      <c r="BZ16" s="406"/>
      <c r="CA16" s="387"/>
      <c r="CB16" s="404"/>
      <c r="CC16" s="384"/>
      <c r="CD16" s="394" t="s">
        <v>724</v>
      </c>
      <c r="CE16" s="406"/>
      <c r="CF16" s="387"/>
      <c r="CG16" s="404"/>
      <c r="CI16" s="394" t="s">
        <v>724</v>
      </c>
      <c r="CJ16" s="406"/>
      <c r="CK16" s="387"/>
      <c r="CL16" s="404"/>
      <c r="CN16" s="394" t="s">
        <v>724</v>
      </c>
      <c r="CO16" s="406"/>
      <c r="CP16" s="387"/>
      <c r="CQ16" s="404"/>
      <c r="CT16" s="405"/>
    </row>
    <row r="17" spans="1:98" x14ac:dyDescent="0.3">
      <c r="A17" s="380"/>
      <c r="B17" s="744" t="s">
        <v>725</v>
      </c>
      <c r="C17" s="749">
        <f>IF(AND(D17="",E17=""),"",IF(E17="",D17,E17))</f>
        <v>4.6500000000000004</v>
      </c>
      <c r="D17" s="1275">
        <f>IF(INDEX(17:17,$E$2)="","", INDEX(17:17, $E$2))</f>
        <v>4.6500000000000004</v>
      </c>
      <c r="E17" s="740"/>
      <c r="F17" s="402"/>
      <c r="G17" s="381"/>
      <c r="L17" s="398" t="s">
        <v>696</v>
      </c>
      <c r="M17" s="422">
        <v>4.6500000000000004</v>
      </c>
      <c r="N17" s="387"/>
      <c r="O17" s="404"/>
      <c r="P17" s="405"/>
      <c r="Q17" s="398" t="s">
        <v>696</v>
      </c>
      <c r="R17" s="422">
        <v>4.6500000000000004</v>
      </c>
      <c r="S17" s="387"/>
      <c r="T17" s="404"/>
      <c r="U17" s="932"/>
      <c r="V17" s="398" t="s">
        <v>696</v>
      </c>
      <c r="W17" s="422">
        <v>4.6500000000000004</v>
      </c>
      <c r="X17" s="791"/>
      <c r="Y17" s="404"/>
      <c r="Z17" s="932"/>
      <c r="AA17" s="398" t="s">
        <v>696</v>
      </c>
      <c r="AB17" s="422">
        <v>4.6500000000000004</v>
      </c>
      <c r="AC17" s="791"/>
      <c r="AD17" s="404"/>
      <c r="AE17" s="405"/>
      <c r="AF17" s="398" t="s">
        <v>696</v>
      </c>
      <c r="AG17" s="422">
        <v>4.6500000000000004</v>
      </c>
      <c r="AH17" s="387"/>
      <c r="AI17" s="404"/>
      <c r="AJ17" s="384"/>
      <c r="AK17" s="398" t="s">
        <v>696</v>
      </c>
      <c r="AL17" s="422">
        <v>4.6500000000000004</v>
      </c>
      <c r="AM17" s="387"/>
      <c r="AN17" s="404"/>
      <c r="AO17" s="384"/>
      <c r="AP17" s="398" t="s">
        <v>696</v>
      </c>
      <c r="AQ17" s="422">
        <v>4.6500000000000004</v>
      </c>
      <c r="AR17" s="387"/>
      <c r="AS17" s="404"/>
      <c r="AT17" s="384"/>
      <c r="AU17" s="398" t="s">
        <v>696</v>
      </c>
      <c r="AV17" s="422">
        <v>4.6500000000000004</v>
      </c>
      <c r="AW17" s="387"/>
      <c r="AX17" s="404"/>
      <c r="AY17" s="384"/>
      <c r="AZ17" s="398" t="s">
        <v>696</v>
      </c>
      <c r="BA17" s="422">
        <v>4.78</v>
      </c>
      <c r="BB17" s="387"/>
      <c r="BC17" s="404"/>
      <c r="BD17" s="384"/>
      <c r="BE17" s="398" t="s">
        <v>696</v>
      </c>
      <c r="BF17" s="422">
        <v>4.78</v>
      </c>
      <c r="BG17" s="387"/>
      <c r="BH17" s="404"/>
      <c r="BI17" s="384"/>
      <c r="BJ17" s="398" t="s">
        <v>696</v>
      </c>
      <c r="BK17" s="393">
        <v>3.45</v>
      </c>
      <c r="BL17" s="387"/>
      <c r="BM17" s="404"/>
      <c r="BN17" s="384"/>
      <c r="BO17" s="398" t="s">
        <v>696</v>
      </c>
      <c r="BP17" s="393">
        <v>3.45</v>
      </c>
      <c r="BQ17" s="387"/>
      <c r="BR17" s="404"/>
      <c r="BS17" s="384"/>
      <c r="BT17" s="398" t="s">
        <v>696</v>
      </c>
      <c r="BU17" s="393">
        <v>4.2300000000000004</v>
      </c>
      <c r="BV17" s="387"/>
      <c r="BW17" s="404"/>
      <c r="BX17" s="384"/>
      <c r="BY17" s="398" t="s">
        <v>696</v>
      </c>
      <c r="BZ17" s="393">
        <v>4.2300000000000004</v>
      </c>
      <c r="CA17" s="387"/>
      <c r="CB17" s="404"/>
      <c r="CC17" s="384"/>
      <c r="CD17" s="398" t="s">
        <v>696</v>
      </c>
      <c r="CE17" s="393">
        <v>4.2300000000000004</v>
      </c>
      <c r="CF17" s="387"/>
      <c r="CG17" s="404"/>
      <c r="CI17" s="398" t="s">
        <v>696</v>
      </c>
      <c r="CJ17" s="393">
        <v>4.2300000000000004</v>
      </c>
      <c r="CK17" s="387"/>
      <c r="CL17" s="404"/>
      <c r="CN17" s="398" t="s">
        <v>696</v>
      </c>
      <c r="CO17" s="1036" cm="1">
        <f t="array" ref="CO17">INDEX(17:17, $CQ$10)*$CQ$8 + INDEX(17:17, $CQ$11)*(1-$CQ$8)</f>
        <v>4.4400000000000004</v>
      </c>
      <c r="CP17" s="387"/>
      <c r="CQ17" s="404"/>
      <c r="CT17" s="405"/>
    </row>
    <row r="18" spans="1:98" x14ac:dyDescent="0.3">
      <c r="A18" s="380"/>
      <c r="B18" s="744" t="s">
        <v>726</v>
      </c>
      <c r="C18" s="749">
        <f>IF(AND(D18="",E18=""),"",IF(E18="",D18,E18))</f>
        <v>1.825</v>
      </c>
      <c r="D18" s="1275">
        <f>IF(INDEX(18:18,$E$2)="","", INDEX(18:18, $E$2))</f>
        <v>1.825</v>
      </c>
      <c r="E18" s="740"/>
      <c r="F18" s="402"/>
      <c r="G18" s="381"/>
      <c r="L18" s="398" t="s">
        <v>727</v>
      </c>
      <c r="M18" s="393">
        <v>1.825</v>
      </c>
      <c r="N18" s="387"/>
      <c r="O18" s="404"/>
      <c r="P18" s="405"/>
      <c r="Q18" s="398" t="s">
        <v>727</v>
      </c>
      <c r="R18" s="393">
        <v>1.825</v>
      </c>
      <c r="S18" s="387"/>
      <c r="T18" s="404"/>
      <c r="U18" s="932"/>
      <c r="V18" s="398" t="s">
        <v>727</v>
      </c>
      <c r="W18" s="422">
        <v>1.825</v>
      </c>
      <c r="X18" s="387"/>
      <c r="Y18" s="404"/>
      <c r="Z18" s="932"/>
      <c r="AA18" s="398" t="s">
        <v>727</v>
      </c>
      <c r="AB18" s="422">
        <v>1.825</v>
      </c>
      <c r="AC18" s="387"/>
      <c r="AD18" s="404"/>
      <c r="AE18" s="405"/>
      <c r="AF18" s="398" t="s">
        <v>727</v>
      </c>
      <c r="AG18" s="422">
        <v>1.825</v>
      </c>
      <c r="AH18" s="387"/>
      <c r="AI18" s="404"/>
      <c r="AJ18" s="384"/>
      <c r="AK18" s="398" t="s">
        <v>727</v>
      </c>
      <c r="AL18" s="422">
        <v>1.825</v>
      </c>
      <c r="AM18" s="387"/>
      <c r="AN18" s="404"/>
      <c r="AO18" s="384"/>
      <c r="AP18" s="398" t="s">
        <v>727</v>
      </c>
      <c r="AQ18" s="422">
        <v>1.825</v>
      </c>
      <c r="AR18" s="387"/>
      <c r="AS18" s="404"/>
      <c r="AT18" s="384"/>
      <c r="AU18" s="398" t="s">
        <v>727</v>
      </c>
      <c r="AV18" s="422">
        <v>1.825</v>
      </c>
      <c r="AW18" s="387"/>
      <c r="AX18" s="404"/>
      <c r="AY18" s="384"/>
      <c r="AZ18" s="398" t="s">
        <v>727</v>
      </c>
      <c r="BA18" s="422">
        <v>1.825</v>
      </c>
      <c r="BB18" s="387"/>
      <c r="BC18" s="404"/>
      <c r="BD18" s="384"/>
      <c r="BE18" s="398" t="s">
        <v>727</v>
      </c>
      <c r="BF18" s="422">
        <v>1.825</v>
      </c>
      <c r="BG18" s="387"/>
      <c r="BH18" s="404"/>
      <c r="BI18" s="384"/>
      <c r="BJ18" s="398" t="s">
        <v>727</v>
      </c>
      <c r="BK18" s="393">
        <v>1.825</v>
      </c>
      <c r="BL18" s="387"/>
      <c r="BM18" s="404"/>
      <c r="BN18" s="384"/>
      <c r="BO18" s="398" t="s">
        <v>727</v>
      </c>
      <c r="BP18" s="393">
        <v>1.825</v>
      </c>
      <c r="BQ18" s="387"/>
      <c r="BR18" s="404"/>
      <c r="BS18" s="384"/>
      <c r="BT18" s="398" t="s">
        <v>727</v>
      </c>
      <c r="BU18" s="393">
        <v>1.825</v>
      </c>
      <c r="BV18" s="387"/>
      <c r="BW18" s="404"/>
      <c r="BX18" s="384"/>
      <c r="BY18" s="398" t="s">
        <v>727</v>
      </c>
      <c r="BZ18" s="393">
        <v>1.825</v>
      </c>
      <c r="CA18" s="387"/>
      <c r="CB18" s="404"/>
      <c r="CC18" s="384"/>
      <c r="CD18" s="398" t="s">
        <v>727</v>
      </c>
      <c r="CE18" s="393">
        <v>1.825</v>
      </c>
      <c r="CF18" s="387"/>
      <c r="CG18" s="404"/>
      <c r="CI18" s="398" t="s">
        <v>727</v>
      </c>
      <c r="CJ18" s="393">
        <v>1.825</v>
      </c>
      <c r="CK18" s="387"/>
      <c r="CL18" s="404"/>
      <c r="CN18" s="398" t="s">
        <v>727</v>
      </c>
      <c r="CO18" s="1036" cm="1">
        <f t="array" ref="CO18">INDEX(18:18, $CQ$10)*$CQ$8 + INDEX(18:18, $CQ$11)*(1-$CQ$8)</f>
        <v>1.825</v>
      </c>
      <c r="CP18" s="387"/>
      <c r="CQ18" s="404"/>
      <c r="CT18" s="405"/>
    </row>
    <row r="19" spans="1:98" x14ac:dyDescent="0.3">
      <c r="A19" s="380"/>
      <c r="B19" s="744" t="s">
        <v>728</v>
      </c>
      <c r="C19" s="749">
        <f>IF(AND(D19="",E19=""),"",IF(E19="",D19,E19))</f>
        <v>1.77</v>
      </c>
      <c r="D19" s="1275">
        <f>IF(INDEX(19:19,$E$2)="","", INDEX(19:19, $E$2))</f>
        <v>1.77</v>
      </c>
      <c r="E19" s="740"/>
      <c r="F19" s="402"/>
      <c r="G19" s="381"/>
      <c r="L19" s="392" t="s">
        <v>729</v>
      </c>
      <c r="M19" s="393">
        <v>1.77</v>
      </c>
      <c r="N19" s="387"/>
      <c r="O19" s="404"/>
      <c r="P19" s="405"/>
      <c r="Q19" s="392" t="s">
        <v>729</v>
      </c>
      <c r="R19" s="393">
        <v>1.77</v>
      </c>
      <c r="S19" s="387"/>
      <c r="T19" s="404"/>
      <c r="U19" s="932"/>
      <c r="V19" s="392" t="s">
        <v>729</v>
      </c>
      <c r="W19" s="422">
        <v>1.77</v>
      </c>
      <c r="X19" s="387"/>
      <c r="Y19" s="404"/>
      <c r="Z19" s="932"/>
      <c r="AA19" s="392" t="s">
        <v>729</v>
      </c>
      <c r="AB19" s="422">
        <v>1.77</v>
      </c>
      <c r="AC19" s="387"/>
      <c r="AD19" s="404"/>
      <c r="AE19" s="405"/>
      <c r="AF19" s="392" t="s">
        <v>729</v>
      </c>
      <c r="AG19" s="422">
        <v>1.77</v>
      </c>
      <c r="AH19" s="387"/>
      <c r="AI19" s="404"/>
      <c r="AJ19" s="384"/>
      <c r="AK19" s="392" t="s">
        <v>729</v>
      </c>
      <c r="AL19" s="422">
        <v>1.77</v>
      </c>
      <c r="AM19" s="387"/>
      <c r="AN19" s="404"/>
      <c r="AO19" s="384"/>
      <c r="AP19" s="392" t="s">
        <v>729</v>
      </c>
      <c r="AQ19" s="422">
        <v>1.77</v>
      </c>
      <c r="AR19" s="387"/>
      <c r="AS19" s="404"/>
      <c r="AT19" s="384"/>
      <c r="AU19" s="392" t="s">
        <v>729</v>
      </c>
      <c r="AV19" s="422">
        <v>1.77</v>
      </c>
      <c r="AW19" s="387"/>
      <c r="AX19" s="404"/>
      <c r="AY19" s="384"/>
      <c r="AZ19" s="392" t="s">
        <v>729</v>
      </c>
      <c r="BA19" s="422">
        <v>1.77</v>
      </c>
      <c r="BB19" s="387"/>
      <c r="BC19" s="404"/>
      <c r="BD19" s="384"/>
      <c r="BE19" s="392" t="s">
        <v>729</v>
      </c>
      <c r="BF19" s="422">
        <v>1.77</v>
      </c>
      <c r="BG19" s="387"/>
      <c r="BH19" s="404"/>
      <c r="BI19" s="384"/>
      <c r="BJ19" s="392" t="s">
        <v>729</v>
      </c>
      <c r="BK19" s="393">
        <v>1.77</v>
      </c>
      <c r="BL19" s="387"/>
      <c r="BM19" s="404"/>
      <c r="BN19" s="384"/>
      <c r="BO19" s="392" t="s">
        <v>729</v>
      </c>
      <c r="BP19" s="393">
        <v>1.77</v>
      </c>
      <c r="BQ19" s="387"/>
      <c r="BR19" s="404"/>
      <c r="BS19" s="384"/>
      <c r="BT19" s="392" t="s">
        <v>729</v>
      </c>
      <c r="BU19" s="393">
        <v>1.77</v>
      </c>
      <c r="BV19" s="387"/>
      <c r="BW19" s="404"/>
      <c r="BX19" s="384"/>
      <c r="BY19" s="392" t="s">
        <v>729</v>
      </c>
      <c r="BZ19" s="393">
        <v>1.77</v>
      </c>
      <c r="CA19" s="387"/>
      <c r="CB19" s="404"/>
      <c r="CC19" s="384"/>
      <c r="CD19" s="392" t="s">
        <v>729</v>
      </c>
      <c r="CE19" s="393">
        <v>1.77</v>
      </c>
      <c r="CF19" s="387"/>
      <c r="CG19" s="404"/>
      <c r="CI19" s="392" t="s">
        <v>729</v>
      </c>
      <c r="CJ19" s="393">
        <v>1.77</v>
      </c>
      <c r="CK19" s="387"/>
      <c r="CL19" s="404"/>
      <c r="CN19" s="392" t="s">
        <v>729</v>
      </c>
      <c r="CO19" s="1036" cm="1">
        <f t="array" ref="CO19">INDEX(19:19, $CQ$10)*$CQ$8 + INDEX(19:19, $CQ$11)*(1-$CQ$8)</f>
        <v>1.77</v>
      </c>
      <c r="CP19" s="387"/>
      <c r="CQ19" s="404"/>
      <c r="CT19" s="405"/>
    </row>
    <row r="20" spans="1:98" x14ac:dyDescent="0.3">
      <c r="B20" s="741"/>
      <c r="C20" s="746" t="str">
        <f>IF(AND(D20="",E20=""),"",IF(E20="",D20,E20))</f>
        <v/>
      </c>
      <c r="D20" s="747"/>
      <c r="E20" s="751"/>
      <c r="F20" s="407"/>
      <c r="L20" s="383"/>
      <c r="M20" s="384"/>
      <c r="N20" s="384"/>
      <c r="O20" s="385"/>
      <c r="Q20" s="383"/>
      <c r="R20" s="384"/>
      <c r="S20" s="384"/>
      <c r="T20" s="385"/>
      <c r="U20" s="932"/>
      <c r="V20" s="383"/>
      <c r="W20" s="384"/>
      <c r="X20" s="384"/>
      <c r="Y20" s="385"/>
      <c r="Z20" s="932"/>
      <c r="AA20" s="383"/>
      <c r="AB20" s="384"/>
      <c r="AC20" s="384"/>
      <c r="AD20" s="385"/>
      <c r="AE20" s="384"/>
      <c r="AF20" s="383"/>
      <c r="AG20" s="384"/>
      <c r="AH20" s="384"/>
      <c r="AI20" s="385"/>
      <c r="AJ20" s="384"/>
      <c r="AK20" s="383"/>
      <c r="AL20" s="384"/>
      <c r="AM20" s="384"/>
      <c r="AN20" s="385"/>
      <c r="AO20" s="384"/>
      <c r="AP20" s="383"/>
      <c r="AQ20" s="384"/>
      <c r="AR20" s="384"/>
      <c r="AS20" s="385"/>
      <c r="AT20" s="384"/>
      <c r="AU20" s="383"/>
      <c r="AV20" s="384"/>
      <c r="AW20" s="384"/>
      <c r="AX20" s="385"/>
      <c r="AY20" s="384"/>
      <c r="AZ20" s="383"/>
      <c r="BA20" s="384"/>
      <c r="BB20" s="384"/>
      <c r="BC20" s="385"/>
      <c r="BD20" s="384"/>
      <c r="BE20" s="383"/>
      <c r="BF20" s="384"/>
      <c r="BG20" s="384"/>
      <c r="BH20" s="385"/>
      <c r="BI20" s="384"/>
      <c r="BJ20" s="383"/>
      <c r="BK20" s="384"/>
      <c r="BL20" s="384"/>
      <c r="BM20" s="385"/>
      <c r="BN20" s="384"/>
      <c r="BO20" s="383"/>
      <c r="BP20" s="384"/>
      <c r="BQ20" s="384"/>
      <c r="BR20" s="385"/>
      <c r="BS20" s="384"/>
      <c r="BT20" s="383"/>
      <c r="BU20" s="384"/>
      <c r="BV20" s="384"/>
      <c r="BW20" s="385"/>
      <c r="BX20" s="384"/>
      <c r="BY20" s="383"/>
      <c r="BZ20" s="384"/>
      <c r="CA20" s="384"/>
      <c r="CB20" s="385"/>
      <c r="CC20" s="384"/>
      <c r="CD20" s="383"/>
      <c r="CE20" s="384"/>
      <c r="CF20" s="384"/>
      <c r="CG20" s="385"/>
      <c r="CI20" s="383"/>
      <c r="CJ20" s="384"/>
      <c r="CK20" s="384"/>
      <c r="CL20" s="385"/>
      <c r="CN20" s="383"/>
      <c r="CO20" s="384"/>
      <c r="CP20" s="384"/>
      <c r="CQ20" s="385"/>
    </row>
    <row r="21" spans="1:98" ht="15.5" x14ac:dyDescent="0.35">
      <c r="A21" s="380"/>
      <c r="B21" s="770" t="s">
        <v>730</v>
      </c>
      <c r="C21" s="738"/>
      <c r="D21" s="739" t="str">
        <f>IF(INDEX(21:21,$E$2)="","", INDEX(21:21, $E$2))</f>
        <v/>
      </c>
      <c r="E21" s="740"/>
      <c r="F21" s="386"/>
      <c r="G21" s="381"/>
      <c r="L21" s="394" t="s">
        <v>730</v>
      </c>
      <c r="M21" s="393"/>
      <c r="N21" s="387"/>
      <c r="O21" s="391"/>
      <c r="P21" s="387"/>
      <c r="Q21" s="394" t="s">
        <v>730</v>
      </c>
      <c r="R21" s="393"/>
      <c r="S21" s="387"/>
      <c r="T21" s="391"/>
      <c r="U21" s="932"/>
      <c r="V21" s="394" t="s">
        <v>730</v>
      </c>
      <c r="W21" s="393"/>
      <c r="X21" s="387"/>
      <c r="Y21" s="391"/>
      <c r="Z21" s="932"/>
      <c r="AA21" s="394" t="s">
        <v>730</v>
      </c>
      <c r="AB21" s="393"/>
      <c r="AC21" s="387"/>
      <c r="AD21" s="391"/>
      <c r="AE21" s="387"/>
      <c r="AF21" s="394" t="s">
        <v>730</v>
      </c>
      <c r="AG21" s="393"/>
      <c r="AH21" s="387"/>
      <c r="AI21" s="391"/>
      <c r="AJ21" s="384"/>
      <c r="AK21" s="394" t="s">
        <v>730</v>
      </c>
      <c r="AL21" s="393"/>
      <c r="AM21" s="387"/>
      <c r="AN21" s="391"/>
      <c r="AO21" s="384"/>
      <c r="AP21" s="394" t="s">
        <v>730</v>
      </c>
      <c r="AQ21" s="393"/>
      <c r="AR21" s="387"/>
      <c r="AS21" s="391"/>
      <c r="AT21" s="384"/>
      <c r="AU21" s="394" t="s">
        <v>730</v>
      </c>
      <c r="AV21" s="393"/>
      <c r="AW21" s="387"/>
      <c r="AX21" s="391"/>
      <c r="AY21" s="384"/>
      <c r="AZ21" s="394" t="s">
        <v>730</v>
      </c>
      <c r="BA21" s="393"/>
      <c r="BB21" s="387"/>
      <c r="BC21" s="391"/>
      <c r="BD21" s="384"/>
      <c r="BE21" s="394" t="s">
        <v>730</v>
      </c>
      <c r="BF21" s="393"/>
      <c r="BG21" s="387"/>
      <c r="BH21" s="391"/>
      <c r="BI21" s="384"/>
      <c r="BJ21" s="394" t="s">
        <v>730</v>
      </c>
      <c r="BK21" s="393"/>
      <c r="BL21" s="387"/>
      <c r="BM21" s="391"/>
      <c r="BN21" s="384"/>
      <c r="BO21" s="394" t="s">
        <v>730</v>
      </c>
      <c r="BP21" s="393"/>
      <c r="BQ21" s="387"/>
      <c r="BR21" s="391"/>
      <c r="BS21" s="384"/>
      <c r="BT21" s="394" t="s">
        <v>730</v>
      </c>
      <c r="BU21" s="393"/>
      <c r="BV21" s="387"/>
      <c r="BW21" s="391"/>
      <c r="BX21" s="384"/>
      <c r="BY21" s="394" t="s">
        <v>730</v>
      </c>
      <c r="BZ21" s="393"/>
      <c r="CA21" s="387"/>
      <c r="CB21" s="391"/>
      <c r="CC21" s="384"/>
      <c r="CD21" s="394" t="s">
        <v>730</v>
      </c>
      <c r="CE21" s="393"/>
      <c r="CF21" s="387"/>
      <c r="CG21" s="391"/>
      <c r="CI21" s="394" t="s">
        <v>730</v>
      </c>
      <c r="CJ21" s="393"/>
      <c r="CK21" s="387"/>
      <c r="CL21" s="391"/>
      <c r="CN21" s="394" t="s">
        <v>730</v>
      </c>
      <c r="CO21" s="393"/>
      <c r="CP21" s="387"/>
      <c r="CQ21" s="391"/>
      <c r="CT21" s="387"/>
    </row>
    <row r="22" spans="1:98" x14ac:dyDescent="0.3">
      <c r="A22" s="380"/>
      <c r="B22" s="744" t="s">
        <v>731</v>
      </c>
      <c r="C22" s="738">
        <f>IF(NOT(Dashboard!E16=""),Dashboard!E16,IF(AND(D22="",E22=""),"",IF(E22="",D22,E22)))</f>
        <v>25</v>
      </c>
      <c r="D22" s="739">
        <f>IF(INDEX(22:22,$E$2)="","", INDEX(22:22, $E$2))</f>
        <v>25</v>
      </c>
      <c r="E22" s="740"/>
      <c r="F22" s="402"/>
      <c r="G22" s="381"/>
      <c r="L22" s="392" t="s">
        <v>732</v>
      </c>
      <c r="M22" s="403">
        <v>35</v>
      </c>
      <c r="N22" s="387"/>
      <c r="O22" s="404"/>
      <c r="P22" s="405"/>
      <c r="Q22" s="392" t="s">
        <v>732</v>
      </c>
      <c r="R22" s="403">
        <v>25</v>
      </c>
      <c r="S22" s="387"/>
      <c r="T22" s="404"/>
      <c r="U22" s="932"/>
      <c r="V22" s="392" t="s">
        <v>732</v>
      </c>
      <c r="W22" s="403">
        <v>35</v>
      </c>
      <c r="X22" s="387"/>
      <c r="Y22" s="404"/>
      <c r="Z22" s="932"/>
      <c r="AA22" s="392" t="s">
        <v>732</v>
      </c>
      <c r="AB22" s="403">
        <v>25</v>
      </c>
      <c r="AC22" s="387"/>
      <c r="AD22" s="404"/>
      <c r="AE22" s="405"/>
      <c r="AF22" s="392" t="s">
        <v>732</v>
      </c>
      <c r="AG22" s="403">
        <v>35</v>
      </c>
      <c r="AH22" s="387"/>
      <c r="AI22" s="404"/>
      <c r="AJ22" s="384"/>
      <c r="AK22" s="392" t="s">
        <v>732</v>
      </c>
      <c r="AL22" s="403">
        <v>25</v>
      </c>
      <c r="AM22" s="387"/>
      <c r="AN22" s="404"/>
      <c r="AO22" s="384"/>
      <c r="AP22" s="392" t="s">
        <v>732</v>
      </c>
      <c r="AQ22" s="403">
        <v>35</v>
      </c>
      <c r="AR22" s="387"/>
      <c r="AS22" s="404"/>
      <c r="AT22" s="384"/>
      <c r="AU22" s="392" t="s">
        <v>732</v>
      </c>
      <c r="AV22" s="403">
        <v>25</v>
      </c>
      <c r="AW22" s="387"/>
      <c r="AX22" s="404"/>
      <c r="AY22" s="384"/>
      <c r="AZ22" s="392" t="s">
        <v>732</v>
      </c>
      <c r="BA22" s="403">
        <v>35</v>
      </c>
      <c r="BB22" s="387"/>
      <c r="BC22" s="404"/>
      <c r="BD22" s="384"/>
      <c r="BE22" s="392" t="s">
        <v>732</v>
      </c>
      <c r="BF22" s="403">
        <v>25</v>
      </c>
      <c r="BG22" s="387"/>
      <c r="BH22" s="404"/>
      <c r="BI22" s="384"/>
      <c r="BJ22" s="392" t="s">
        <v>732</v>
      </c>
      <c r="BK22" s="403">
        <v>35</v>
      </c>
      <c r="BL22" s="387"/>
      <c r="BM22" s="404"/>
      <c r="BN22" s="384"/>
      <c r="BO22" s="392" t="s">
        <v>732</v>
      </c>
      <c r="BP22" s="403">
        <v>25</v>
      </c>
      <c r="BQ22" s="387"/>
      <c r="BR22" s="404"/>
      <c r="BS22" s="384"/>
      <c r="BT22" s="392" t="s">
        <v>732</v>
      </c>
      <c r="BU22" s="403">
        <v>35</v>
      </c>
      <c r="BV22" s="387"/>
      <c r="BW22" s="404"/>
      <c r="BX22" s="384"/>
      <c r="BY22" s="392" t="s">
        <v>732</v>
      </c>
      <c r="BZ22" s="403">
        <v>25</v>
      </c>
      <c r="CA22" s="387"/>
      <c r="CB22" s="404"/>
      <c r="CC22" s="384"/>
      <c r="CD22" s="392" t="s">
        <v>732</v>
      </c>
      <c r="CE22" s="403">
        <v>35</v>
      </c>
      <c r="CF22" s="387"/>
      <c r="CG22" s="404"/>
      <c r="CI22" s="392" t="s">
        <v>732</v>
      </c>
      <c r="CJ22" s="403">
        <v>25</v>
      </c>
      <c r="CK22" s="387"/>
      <c r="CL22" s="404"/>
      <c r="CN22" s="392" t="s">
        <v>732</v>
      </c>
      <c r="CO22" s="1036" cm="1">
        <f t="array" ref="CO22">INDEX(22:22, $CQ$10)*$CQ$8 + INDEX(22:22, $CQ$11)*(1-$CQ$8)</f>
        <v>25</v>
      </c>
      <c r="CP22" s="387"/>
      <c r="CQ22" s="404"/>
      <c r="CT22" s="405"/>
    </row>
    <row r="23" spans="1:98" x14ac:dyDescent="0.3">
      <c r="A23" s="380"/>
      <c r="B23" s="742" t="s">
        <v>733</v>
      </c>
      <c r="C23" s="738">
        <f>IF(NOT(Dashboard!E17=""),Dashboard!E17,IF(AND(D23="",E23=""),"",IF(E23="",D23,E23)))</f>
        <v>2</v>
      </c>
      <c r="D23" s="739" cm="1">
        <f t="array" ref="D23" xml:space="preserve"> INDEX(23:23, $E$2)</f>
        <v>2</v>
      </c>
      <c r="E23"/>
      <c r="F23" s="402"/>
      <c r="G23" s="1043"/>
      <c r="L23" s="398" t="s">
        <v>734</v>
      </c>
      <c r="M23" s="403">
        <v>1</v>
      </c>
      <c r="N23" s="387"/>
      <c r="O23" s="404"/>
      <c r="P23" s="405"/>
      <c r="Q23" s="398" t="s">
        <v>734</v>
      </c>
      <c r="R23" s="403">
        <v>2</v>
      </c>
      <c r="S23" s="387"/>
      <c r="T23" s="404"/>
      <c r="U23" s="932"/>
      <c r="V23" s="398" t="s">
        <v>734</v>
      </c>
      <c r="W23" s="403">
        <v>1</v>
      </c>
      <c r="X23" s="387"/>
      <c r="Y23" s="404"/>
      <c r="Z23" s="932"/>
      <c r="AA23" s="398" t="s">
        <v>734</v>
      </c>
      <c r="AB23" s="403">
        <v>2</v>
      </c>
      <c r="AC23" s="387"/>
      <c r="AD23" s="404"/>
      <c r="AE23" s="405"/>
      <c r="AF23" s="398" t="s">
        <v>734</v>
      </c>
      <c r="AG23" s="403">
        <v>1</v>
      </c>
      <c r="AH23" s="387"/>
      <c r="AI23" s="404"/>
      <c r="AJ23" s="384"/>
      <c r="AK23" s="398" t="s">
        <v>734</v>
      </c>
      <c r="AL23" s="403">
        <v>2</v>
      </c>
      <c r="AM23" s="387"/>
      <c r="AN23" s="404"/>
      <c r="AO23" s="384"/>
      <c r="AP23" s="398" t="s">
        <v>734</v>
      </c>
      <c r="AQ23" s="403">
        <v>1</v>
      </c>
      <c r="AR23" s="387"/>
      <c r="AS23" s="404"/>
      <c r="AT23" s="384"/>
      <c r="AU23" s="398" t="s">
        <v>734</v>
      </c>
      <c r="AV23" s="403">
        <v>2</v>
      </c>
      <c r="AW23" s="387"/>
      <c r="AX23" s="404"/>
      <c r="AY23" s="384"/>
      <c r="AZ23" s="398" t="s">
        <v>734</v>
      </c>
      <c r="BA23" s="713">
        <v>1</v>
      </c>
      <c r="BB23" s="387"/>
      <c r="BC23" s="404"/>
      <c r="BD23" s="384"/>
      <c r="BE23" s="398" t="s">
        <v>734</v>
      </c>
      <c r="BF23" s="713">
        <v>2</v>
      </c>
      <c r="BG23" s="387"/>
      <c r="BH23" s="404"/>
      <c r="BI23" s="384"/>
      <c r="BJ23" s="398" t="s">
        <v>734</v>
      </c>
      <c r="BK23" s="713">
        <v>0.25</v>
      </c>
      <c r="BL23" s="387"/>
      <c r="BM23" s="404"/>
      <c r="BN23" s="384"/>
      <c r="BO23" s="398" t="s">
        <v>734</v>
      </c>
      <c r="BP23" s="713">
        <v>0.5</v>
      </c>
      <c r="BQ23" s="387"/>
      <c r="BR23" s="404"/>
      <c r="BS23" s="384"/>
      <c r="BT23" s="398" t="s">
        <v>734</v>
      </c>
      <c r="BU23" s="713">
        <v>1</v>
      </c>
      <c r="BV23" s="387"/>
      <c r="BW23" s="404"/>
      <c r="BX23" s="384"/>
      <c r="BY23" s="398" t="s">
        <v>734</v>
      </c>
      <c r="BZ23" s="713">
        <v>2</v>
      </c>
      <c r="CA23" s="387"/>
      <c r="CB23" s="404"/>
      <c r="CC23" s="384"/>
      <c r="CD23" s="398" t="s">
        <v>734</v>
      </c>
      <c r="CE23" s="713">
        <v>1</v>
      </c>
      <c r="CF23" s="387"/>
      <c r="CG23" s="404"/>
      <c r="CI23" s="398" t="s">
        <v>734</v>
      </c>
      <c r="CJ23" s="713">
        <v>2</v>
      </c>
      <c r="CK23" s="387"/>
      <c r="CL23" s="404"/>
      <c r="CN23" s="398" t="s">
        <v>734</v>
      </c>
      <c r="CO23" s="1038" cm="1">
        <f t="array" ref="CO23">INDEX(23:23, $CQ$10)*$CQ$8 + INDEX(23:23, $CQ$11)*(1-$CQ$8)</f>
        <v>2</v>
      </c>
      <c r="CP23" s="387"/>
      <c r="CQ23" s="404"/>
      <c r="CT23" s="405"/>
    </row>
    <row r="24" spans="1:98" ht="16" x14ac:dyDescent="0.3">
      <c r="A24" s="380"/>
      <c r="B24" s="745" t="s">
        <v>735</v>
      </c>
      <c r="C24" s="746">
        <f>IF(AND(D24="",E24=""),"",IF(E24="",D24,E24))</f>
        <v>10155.135902194084</v>
      </c>
      <c r="D24" s="947">
        <f>IF(INDEX(24:24,$E$2)="","", INDEX(24:24, $E$2))</f>
        <v>10155.135902194084</v>
      </c>
      <c r="E24" s="740"/>
      <c r="F24" s="407"/>
      <c r="G24" s="381"/>
      <c r="L24" s="408" t="s">
        <v>736</v>
      </c>
      <c r="M24" s="409">
        <f>3*(1-M22/100)/(M23*10^-4)*(M11/M17)/(M11/M17 + M12/M18 + M13/M19)</f>
        <v>16747.98253653073</v>
      </c>
      <c r="N24" s="410"/>
      <c r="O24" s="385"/>
      <c r="Q24" s="408" t="s">
        <v>736</v>
      </c>
      <c r="R24" s="409">
        <f>3*(1-R22/100)/(R23*10^-4)*(R11/R17)/(R11/R17 + R12/R18 + R13/R19)</f>
        <v>10155.135902194084</v>
      </c>
      <c r="S24" s="410"/>
      <c r="T24" s="385"/>
      <c r="U24" s="932"/>
      <c r="V24" s="408" t="s">
        <v>736</v>
      </c>
      <c r="W24" s="409">
        <f>3*(1-W22/100)/(W23*10^-4)*(W11/W17)/(W11/W17 + W12/W18 + W13/W19)</f>
        <v>16747.98253653073</v>
      </c>
      <c r="X24" s="410"/>
      <c r="Y24" s="385"/>
      <c r="Z24" s="932"/>
      <c r="AA24" s="408" t="s">
        <v>736</v>
      </c>
      <c r="AB24" s="409">
        <f>3*(1-AB22/100)/(AB23*10^-4)*(AB11/AB17)/(AB11/AB17 + AB12/AB18 + AB13/AB19)</f>
        <v>10155.135902194084</v>
      </c>
      <c r="AC24" s="410"/>
      <c r="AD24" s="385"/>
      <c r="AE24" s="384"/>
      <c r="AF24" s="408" t="s">
        <v>736</v>
      </c>
      <c r="AG24" s="409">
        <f>3*(1-AG22/100)/(AG23*10^-4)*(AG11/AG17)/(AG11/AG17 + AG12/AG18 + AG13/AG19)</f>
        <v>16747.98253653073</v>
      </c>
      <c r="AH24" s="410"/>
      <c r="AI24" s="385"/>
      <c r="AJ24" s="384"/>
      <c r="AK24" s="408" t="s">
        <v>736</v>
      </c>
      <c r="AL24" s="409">
        <f>3*(1-AL22/100)/(AL23*10^-4)*(AL11/AL17)/(AL11/AL17 + AL12/AL18 + AL13/AL19)</f>
        <v>10155.135902194084</v>
      </c>
      <c r="AM24" s="410"/>
      <c r="AN24" s="385"/>
      <c r="AO24" s="384"/>
      <c r="AP24" s="408" t="s">
        <v>736</v>
      </c>
      <c r="AQ24" s="409">
        <f>3*(1-AQ22/100)/(AQ23*10^-4)*(AQ11/AQ17)/(AQ11/AQ17 + AQ12/AQ18 + AQ13/AQ19)</f>
        <v>16747.98253653073</v>
      </c>
      <c r="AR24" s="410"/>
      <c r="AS24" s="385"/>
      <c r="AT24" s="384"/>
      <c r="AU24" s="408" t="s">
        <v>736</v>
      </c>
      <c r="AV24" s="409">
        <f>3*(1-AV22/100)/(AV23*10^-4)*(AV11/AV17)/(AV11/AV17 + AV12/AV18 + AV13/AV19)</f>
        <v>10155.135902194084</v>
      </c>
      <c r="AW24" s="410"/>
      <c r="AX24" s="385"/>
      <c r="AY24" s="384"/>
      <c r="AZ24" s="408" t="s">
        <v>736</v>
      </c>
      <c r="BA24" s="409">
        <f>3*(1-BA22/100)/(BA23*10^-4)*(BA11/BA17)/(BA11/BA17 + BA12/BA18 + BA13/BA19)</f>
        <v>16682.162318567822</v>
      </c>
      <c r="BB24" s="410"/>
      <c r="BC24" s="385"/>
      <c r="BD24" s="384"/>
      <c r="BE24" s="408" t="s">
        <v>736</v>
      </c>
      <c r="BF24" s="409">
        <f>3*(1-BF22/100)/(BF23*10^-4)*(BF11/BF17)/(BF11/BF17 + BF12/BF18 + BF13/BF19)</f>
        <v>10127.58068720785</v>
      </c>
      <c r="BG24" s="410"/>
      <c r="BH24" s="385"/>
      <c r="BI24" s="384"/>
      <c r="BJ24" s="408" t="s">
        <v>736</v>
      </c>
      <c r="BK24" s="409">
        <f>3*(1-BK22/100)/(BK23*10^-4)*(BK11/BK17)/(BK11/BK17 + BK12/BK18 + BK13/BK19)</f>
        <v>69524.023812459258</v>
      </c>
      <c r="BL24" s="410"/>
      <c r="BM24" s="385"/>
      <c r="BN24" s="384"/>
      <c r="BO24" s="408" t="s">
        <v>736</v>
      </c>
      <c r="BP24" s="409">
        <f>3*(1-BP22/100)/(BP23*10^-4)*(BP11/BP17)/(BP11/BP17 + BP12/BP18 + BP13/BP19)</f>
        <v>41667.017507714772</v>
      </c>
      <c r="BQ24" s="410"/>
      <c r="BR24" s="385"/>
      <c r="BS24" s="384"/>
      <c r="BT24" s="408" t="s">
        <v>736</v>
      </c>
      <c r="BU24" s="409">
        <f>3*(1-BU22/100)/(BU23*10^-4)*(BU11/BU17)/(BU11/BU17 + BU12/BU18 + BU13/BU19)</f>
        <v>16964.228003554981</v>
      </c>
      <c r="BV24" s="410"/>
      <c r="BW24" s="385"/>
      <c r="BX24" s="384"/>
      <c r="BY24" s="408" t="s">
        <v>736</v>
      </c>
      <c r="BZ24" s="409">
        <f>3*(1-BZ22/100)/(BZ23*10^-4)*(BZ11/BZ17)/(BZ11/BZ17 + BZ12/BZ18 + BZ13/BZ19)</f>
        <v>10245.194302675014</v>
      </c>
      <c r="CA24" s="410"/>
      <c r="CB24" s="385"/>
      <c r="CC24" s="384"/>
      <c r="CD24" s="408" t="s">
        <v>736</v>
      </c>
      <c r="CE24" s="409">
        <f>3*(1-CE22/100)/(CE23*10^-4)*(CE11/CE17)/(CE11/CE17 + CE12/CE18 + CE13/CE19)</f>
        <v>16964.228003554981</v>
      </c>
      <c r="CF24" s="410"/>
      <c r="CG24" s="385"/>
      <c r="CI24" s="408" t="s">
        <v>736</v>
      </c>
      <c r="CJ24" s="409">
        <f>3*(1-CJ22/100)/(CJ23*10^-4)*(CJ11/CJ17)/(CJ11/CJ17 + CJ12/CJ18 + CJ13/CJ19)</f>
        <v>10245.194302675014</v>
      </c>
      <c r="CK24" s="410"/>
      <c r="CL24" s="385"/>
      <c r="CN24" s="408" t="s">
        <v>736</v>
      </c>
      <c r="CO24" s="1037">
        <f>3*(1-CO22/100)/(CO23*10^-4)*(CO11/CO17)/(CO11/CO17 + CO12/CO18 + CO13/CO19)</f>
        <v>10199.966318507628</v>
      </c>
      <c r="CP24" s="410"/>
      <c r="CQ24" s="385"/>
      <c r="CT24" s="384"/>
    </row>
    <row r="25" spans="1:98" ht="17.5" x14ac:dyDescent="0.45">
      <c r="A25" s="380"/>
      <c r="B25" s="744" t="s">
        <v>737</v>
      </c>
      <c r="C25" s="738">
        <f>IF(NOT(Dashboard!E19=""),Dashboard!E19,IF(AND(D25="",E25=""),"",IF(E25="",D25,E25)))</f>
        <v>0.6</v>
      </c>
      <c r="D25" s="739">
        <f>IF(INDEX(25:25,$E$2)="","", INDEX(25:25, $E$2))</f>
        <v>0.6</v>
      </c>
      <c r="E25" s="740"/>
      <c r="F25" s="402"/>
      <c r="G25" s="381"/>
      <c r="L25" s="392" t="s">
        <v>738</v>
      </c>
      <c r="M25" s="713">
        <v>0.6</v>
      </c>
      <c r="N25" s="387"/>
      <c r="O25" s="404"/>
      <c r="P25" s="405"/>
      <c r="Q25" s="392" t="s">
        <v>738</v>
      </c>
      <c r="R25" s="713">
        <v>0.6</v>
      </c>
      <c r="S25" s="387"/>
      <c r="T25" s="404"/>
      <c r="U25" s="932"/>
      <c r="V25" s="392" t="s">
        <v>738</v>
      </c>
      <c r="W25" s="713">
        <v>0.6</v>
      </c>
      <c r="X25" s="387"/>
      <c r="Y25" s="404"/>
      <c r="Z25" s="932"/>
      <c r="AA25" s="392" t="s">
        <v>738</v>
      </c>
      <c r="AB25" s="713">
        <v>0.6</v>
      </c>
      <c r="AC25" s="387"/>
      <c r="AD25" s="404"/>
      <c r="AE25" s="405"/>
      <c r="AF25" s="392" t="s">
        <v>738</v>
      </c>
      <c r="AG25" s="713">
        <v>0.6</v>
      </c>
      <c r="AH25" s="387"/>
      <c r="AI25" s="404"/>
      <c r="AJ25" s="384"/>
      <c r="AK25" s="392" t="s">
        <v>738</v>
      </c>
      <c r="AL25" s="713">
        <v>0.6</v>
      </c>
      <c r="AM25" s="387"/>
      <c r="AN25" s="404"/>
      <c r="AO25" s="384"/>
      <c r="AP25" s="392" t="s">
        <v>738</v>
      </c>
      <c r="AQ25" s="713">
        <v>0.6</v>
      </c>
      <c r="AR25" s="387"/>
      <c r="AS25" s="404"/>
      <c r="AT25" s="384"/>
      <c r="AU25" s="392" t="s">
        <v>738</v>
      </c>
      <c r="AV25" s="713">
        <v>0.6</v>
      </c>
      <c r="AW25" s="387"/>
      <c r="AX25" s="404"/>
      <c r="AY25" s="384"/>
      <c r="AZ25" s="392" t="s">
        <v>738</v>
      </c>
      <c r="BA25" s="713">
        <v>0.6</v>
      </c>
      <c r="BB25" s="387"/>
      <c r="BC25" s="404"/>
      <c r="BD25" s="384"/>
      <c r="BE25" s="392" t="s">
        <v>738</v>
      </c>
      <c r="BF25" s="713">
        <v>0.6</v>
      </c>
      <c r="BG25" s="387"/>
      <c r="BH25" s="404"/>
      <c r="BI25" s="384"/>
      <c r="BJ25" s="392" t="s">
        <v>738</v>
      </c>
      <c r="BK25" s="713">
        <v>1.2</v>
      </c>
      <c r="BL25" s="387"/>
      <c r="BM25" s="404"/>
      <c r="BN25" s="384"/>
      <c r="BO25" s="392" t="s">
        <v>738</v>
      </c>
      <c r="BP25" s="713">
        <v>1.2</v>
      </c>
      <c r="BQ25" s="387"/>
      <c r="BR25" s="404"/>
      <c r="BS25" s="384"/>
      <c r="BT25" s="392" t="s">
        <v>738</v>
      </c>
      <c r="BU25" s="713">
        <v>0.6</v>
      </c>
      <c r="BV25" s="387"/>
      <c r="BW25" s="404"/>
      <c r="BX25" s="384"/>
      <c r="BY25" s="392" t="s">
        <v>738</v>
      </c>
      <c r="BZ25" s="713">
        <v>0.6</v>
      </c>
      <c r="CA25" s="387"/>
      <c r="CB25" s="404"/>
      <c r="CC25" s="384"/>
      <c r="CD25" s="392" t="s">
        <v>738</v>
      </c>
      <c r="CE25" s="713">
        <v>0.6</v>
      </c>
      <c r="CF25" s="387"/>
      <c r="CG25" s="404"/>
      <c r="CI25" s="392" t="s">
        <v>738</v>
      </c>
      <c r="CJ25" s="713">
        <v>0.6</v>
      </c>
      <c r="CK25" s="387"/>
      <c r="CL25" s="404"/>
      <c r="CN25" s="392" t="s">
        <v>738</v>
      </c>
      <c r="CO25" s="1036" cm="1">
        <f t="array" ref="CO25">INDEX(25:25, $CQ$10)*$CQ$8 + INDEX(25:25, $CQ$11)*(1-$CQ$8)</f>
        <v>0.6</v>
      </c>
      <c r="CP25" s="387"/>
      <c r="CQ25" s="404"/>
      <c r="CT25" s="405"/>
    </row>
    <row r="26" spans="1:98" x14ac:dyDescent="0.3">
      <c r="A26" s="380"/>
      <c r="B26" s="744" t="s">
        <v>739</v>
      </c>
      <c r="C26" s="750">
        <f>IF(NOT(Dashboard!E18=""),Dashboard!E18,IF(AND(D26="",E26=""),"",IF(E26="",D26,E26)))</f>
        <v>120</v>
      </c>
      <c r="D26" s="748">
        <v>120</v>
      </c>
      <c r="E26" s="740"/>
      <c r="F26" s="402"/>
      <c r="G26" s="381"/>
      <c r="L26" s="392"/>
      <c r="M26" s="393"/>
      <c r="N26" s="387"/>
      <c r="O26" s="404"/>
      <c r="P26" s="405"/>
      <c r="Q26" s="392"/>
      <c r="R26" s="393"/>
      <c r="S26" s="387"/>
      <c r="T26" s="404"/>
      <c r="U26" s="932"/>
      <c r="V26" s="392"/>
      <c r="W26" s="393"/>
      <c r="X26" s="387"/>
      <c r="Y26" s="404"/>
      <c r="Z26" s="932"/>
      <c r="AA26" s="392"/>
      <c r="AB26" s="393"/>
      <c r="AC26" s="387"/>
      <c r="AD26" s="404"/>
      <c r="AE26" s="405"/>
      <c r="AF26" s="392"/>
      <c r="AG26" s="393"/>
      <c r="AH26" s="387"/>
      <c r="AI26" s="404"/>
      <c r="AJ26" s="384"/>
      <c r="AK26" s="392"/>
      <c r="AL26" s="393"/>
      <c r="AM26" s="387"/>
      <c r="AN26" s="404"/>
      <c r="AO26" s="384"/>
      <c r="AP26" s="392"/>
      <c r="AQ26" s="393"/>
      <c r="AR26" s="387"/>
      <c r="AS26" s="404"/>
      <c r="AT26" s="384"/>
      <c r="AU26" s="392"/>
      <c r="AV26" s="393"/>
      <c r="AW26" s="387"/>
      <c r="AX26" s="404"/>
      <c r="AY26" s="384"/>
      <c r="AZ26" s="392"/>
      <c r="BA26" s="393"/>
      <c r="BB26" s="387"/>
      <c r="BC26" s="404"/>
      <c r="BD26" s="384"/>
      <c r="BE26" s="392"/>
      <c r="BF26" s="393"/>
      <c r="BG26" s="387"/>
      <c r="BH26" s="404"/>
      <c r="BI26" s="384"/>
      <c r="BJ26" s="392"/>
      <c r="BK26" s="393"/>
      <c r="BL26" s="387"/>
      <c r="BM26" s="404"/>
      <c r="BN26" s="384"/>
      <c r="BO26" s="392"/>
      <c r="BP26" s="393"/>
      <c r="BQ26" s="387"/>
      <c r="BR26" s="404"/>
      <c r="BS26" s="384"/>
      <c r="BT26" s="392"/>
      <c r="BU26" s="393"/>
      <c r="BV26" s="387"/>
      <c r="BW26" s="404"/>
      <c r="BX26" s="384"/>
      <c r="BY26" s="392"/>
      <c r="BZ26" s="393"/>
      <c r="CA26" s="387"/>
      <c r="CB26" s="404"/>
      <c r="CC26" s="384"/>
      <c r="CD26" s="392"/>
      <c r="CE26" s="393"/>
      <c r="CF26" s="387"/>
      <c r="CG26" s="404"/>
      <c r="CI26" s="392"/>
      <c r="CJ26" s="393"/>
      <c r="CK26" s="387"/>
      <c r="CL26" s="404"/>
      <c r="CN26" s="392"/>
      <c r="CO26" s="393"/>
      <c r="CP26" s="387"/>
      <c r="CQ26" s="404"/>
      <c r="CT26" s="405"/>
    </row>
    <row r="27" spans="1:98" x14ac:dyDescent="0.3">
      <c r="A27" s="380"/>
      <c r="B27" s="744" t="s">
        <v>740</v>
      </c>
      <c r="C27" s="746">
        <f>IF(AND(D27="",E27=""),"",IF(E27="",D27,E27))</f>
        <v>15</v>
      </c>
      <c r="D27" s="748">
        <v>15</v>
      </c>
      <c r="E27" s="740"/>
      <c r="F27" s="402"/>
      <c r="G27" s="381"/>
      <c r="L27" s="392"/>
      <c r="M27" s="393"/>
      <c r="N27" s="387"/>
      <c r="O27" s="404"/>
      <c r="P27" s="405"/>
      <c r="Q27" s="392"/>
      <c r="R27" s="393"/>
      <c r="S27" s="387"/>
      <c r="T27" s="404"/>
      <c r="U27" s="932"/>
      <c r="V27" s="392"/>
      <c r="W27" s="393"/>
      <c r="X27" s="387"/>
      <c r="Y27" s="404"/>
      <c r="Z27" s="932"/>
      <c r="AA27" s="392"/>
      <c r="AB27" s="393"/>
      <c r="AC27" s="387"/>
      <c r="AD27" s="404"/>
      <c r="AE27" s="405"/>
      <c r="AF27" s="392"/>
      <c r="AG27" s="393"/>
      <c r="AH27" s="387"/>
      <c r="AI27" s="404"/>
      <c r="AJ27" s="384"/>
      <c r="AK27" s="392"/>
      <c r="AL27" s="393"/>
      <c r="AM27" s="387"/>
      <c r="AN27" s="404"/>
      <c r="AO27" s="384"/>
      <c r="AP27" s="392"/>
      <c r="AQ27" s="393"/>
      <c r="AR27" s="387"/>
      <c r="AS27" s="404"/>
      <c r="AT27" s="384"/>
      <c r="AU27" s="392"/>
      <c r="AV27" s="393"/>
      <c r="AW27" s="387"/>
      <c r="AX27" s="404"/>
      <c r="AY27" s="384"/>
      <c r="AZ27" s="392"/>
      <c r="BA27" s="393"/>
      <c r="BB27" s="387"/>
      <c r="BC27" s="404"/>
      <c r="BD27" s="384"/>
      <c r="BE27" s="392"/>
      <c r="BF27" s="393"/>
      <c r="BG27" s="387"/>
      <c r="BH27" s="404"/>
      <c r="BI27" s="384"/>
      <c r="BJ27" s="392"/>
      <c r="BK27" s="393"/>
      <c r="BL27" s="387"/>
      <c r="BM27" s="404"/>
      <c r="BN27" s="384"/>
      <c r="BO27" s="392"/>
      <c r="BP27" s="393"/>
      <c r="BQ27" s="387"/>
      <c r="BR27" s="404"/>
      <c r="BS27" s="384"/>
      <c r="BT27" s="392"/>
      <c r="BU27" s="393"/>
      <c r="BV27" s="387"/>
      <c r="BW27" s="404"/>
      <c r="BX27" s="384"/>
      <c r="BY27" s="392"/>
      <c r="BZ27" s="393"/>
      <c r="CA27" s="387"/>
      <c r="CB27" s="404"/>
      <c r="CC27" s="384"/>
      <c r="CD27" s="392"/>
      <c r="CE27" s="393"/>
      <c r="CF27" s="387"/>
      <c r="CG27" s="404"/>
      <c r="CI27" s="392"/>
      <c r="CJ27" s="393"/>
      <c r="CK27" s="387"/>
      <c r="CL27" s="404"/>
      <c r="CN27" s="392"/>
      <c r="CO27" s="393"/>
      <c r="CP27" s="387"/>
      <c r="CQ27" s="404"/>
      <c r="CT27" s="405"/>
    </row>
    <row r="28" spans="1:98" x14ac:dyDescent="0.3">
      <c r="A28" s="380"/>
      <c r="B28" s="744"/>
      <c r="C28" s="738"/>
      <c r="D28" s="748" t="str">
        <f>IF(INDEX(28:28,$E$2)="","", INDEX(28:28, $E$2))</f>
        <v/>
      </c>
      <c r="E28" s="740"/>
      <c r="F28" s="402"/>
      <c r="G28" s="381"/>
      <c r="L28" s="394"/>
      <c r="M28" s="403"/>
      <c r="N28" s="387"/>
      <c r="O28" s="404"/>
      <c r="P28" s="405"/>
      <c r="Q28" s="394"/>
      <c r="R28" s="403"/>
      <c r="S28" s="387"/>
      <c r="T28" s="404"/>
      <c r="U28" s="932"/>
      <c r="V28" s="394"/>
      <c r="W28" s="403"/>
      <c r="X28" s="387"/>
      <c r="Y28" s="404"/>
      <c r="Z28" s="932"/>
      <c r="AA28" s="394"/>
      <c r="AB28" s="403"/>
      <c r="AC28" s="387"/>
      <c r="AD28" s="404"/>
      <c r="AE28" s="405"/>
      <c r="AF28" s="394"/>
      <c r="AG28" s="403"/>
      <c r="AH28" s="387"/>
      <c r="AI28" s="404"/>
      <c r="AJ28" s="384"/>
      <c r="AK28" s="394"/>
      <c r="AL28" s="403"/>
      <c r="AM28" s="387"/>
      <c r="AN28" s="404"/>
      <c r="AO28" s="384"/>
      <c r="AP28" s="394"/>
      <c r="AQ28" s="403"/>
      <c r="AR28" s="387"/>
      <c r="AS28" s="404"/>
      <c r="AT28" s="384"/>
      <c r="AU28" s="394"/>
      <c r="AV28" s="403"/>
      <c r="AW28" s="387"/>
      <c r="AX28" s="404"/>
      <c r="AY28" s="384"/>
      <c r="AZ28" s="394"/>
      <c r="BA28" s="403"/>
      <c r="BB28" s="387"/>
      <c r="BC28" s="404"/>
      <c r="BD28" s="384"/>
      <c r="BE28" s="394"/>
      <c r="BF28" s="403"/>
      <c r="BG28" s="387"/>
      <c r="BH28" s="404"/>
      <c r="BI28" s="384"/>
      <c r="BJ28" s="394"/>
      <c r="BK28" s="403"/>
      <c r="BL28" s="387"/>
      <c r="BM28" s="404"/>
      <c r="BN28" s="384"/>
      <c r="BO28" s="394"/>
      <c r="BP28" s="403"/>
      <c r="BQ28" s="387"/>
      <c r="BR28" s="404"/>
      <c r="BS28" s="384"/>
      <c r="BT28" s="394"/>
      <c r="BU28" s="403"/>
      <c r="BV28" s="387"/>
      <c r="BW28" s="404"/>
      <c r="BX28" s="384"/>
      <c r="BY28" s="394"/>
      <c r="BZ28" s="403"/>
      <c r="CA28" s="387"/>
      <c r="CB28" s="404"/>
      <c r="CC28" s="384"/>
      <c r="CD28" s="394"/>
      <c r="CE28" s="403"/>
      <c r="CF28" s="387"/>
      <c r="CG28" s="404"/>
      <c r="CI28" s="394"/>
      <c r="CJ28" s="403"/>
      <c r="CK28" s="387"/>
      <c r="CL28" s="404"/>
      <c r="CN28" s="394"/>
      <c r="CO28" s="393"/>
      <c r="CP28" s="387"/>
      <c r="CQ28" s="404"/>
      <c r="CT28" s="405"/>
    </row>
    <row r="29" spans="1:98" ht="15.5" x14ac:dyDescent="0.35">
      <c r="A29" s="380"/>
      <c r="B29" s="770" t="s">
        <v>741</v>
      </c>
      <c r="C29" s="746" t="str">
        <f>IF(AND(D29="",E29=""),"",IF(E29="",D29,E29))</f>
        <v/>
      </c>
      <c r="D29" s="747"/>
      <c r="E29" s="740"/>
      <c r="F29" s="411"/>
      <c r="G29" s="381"/>
      <c r="L29" s="394" t="s">
        <v>741</v>
      </c>
      <c r="M29" s="406"/>
      <c r="N29" s="371"/>
      <c r="O29" s="413"/>
      <c r="P29" s="414"/>
      <c r="Q29" s="394" t="s">
        <v>741</v>
      </c>
      <c r="R29" s="406"/>
      <c r="S29" s="371"/>
      <c r="T29" s="413"/>
      <c r="U29" s="932"/>
      <c r="V29" s="394" t="s">
        <v>741</v>
      </c>
      <c r="W29" s="406"/>
      <c r="X29" s="371"/>
      <c r="Y29" s="413"/>
      <c r="Z29" s="932"/>
      <c r="AA29" s="394" t="s">
        <v>741</v>
      </c>
      <c r="AB29" s="406"/>
      <c r="AC29" s="371"/>
      <c r="AD29" s="413"/>
      <c r="AE29" s="414"/>
      <c r="AF29" s="394" t="s">
        <v>741</v>
      </c>
      <c r="AG29" s="406"/>
      <c r="AH29" s="371"/>
      <c r="AI29" s="413"/>
      <c r="AJ29" s="384"/>
      <c r="AK29" s="394" t="s">
        <v>741</v>
      </c>
      <c r="AL29" s="406"/>
      <c r="AM29" s="371"/>
      <c r="AN29" s="413"/>
      <c r="AO29" s="384"/>
      <c r="AP29" s="394" t="s">
        <v>741</v>
      </c>
      <c r="AQ29" s="406"/>
      <c r="AR29" s="371"/>
      <c r="AS29" s="413"/>
      <c r="AT29" s="384"/>
      <c r="AU29" s="394" t="s">
        <v>741</v>
      </c>
      <c r="AV29" s="406"/>
      <c r="AW29" s="371"/>
      <c r="AX29" s="413"/>
      <c r="AY29" s="384"/>
      <c r="AZ29" s="394" t="s">
        <v>741</v>
      </c>
      <c r="BA29" s="406"/>
      <c r="BB29" s="371"/>
      <c r="BC29" s="413"/>
      <c r="BD29" s="384"/>
      <c r="BE29" s="394" t="s">
        <v>741</v>
      </c>
      <c r="BF29" s="406"/>
      <c r="BG29" s="371"/>
      <c r="BH29" s="413"/>
      <c r="BI29" s="384"/>
      <c r="BJ29" s="394" t="s">
        <v>741</v>
      </c>
      <c r="BK29" s="406"/>
      <c r="BL29" s="371"/>
      <c r="BM29" s="413"/>
      <c r="BN29" s="384"/>
      <c r="BO29" s="394" t="s">
        <v>741</v>
      </c>
      <c r="BP29" s="406"/>
      <c r="BQ29" s="371"/>
      <c r="BR29" s="413"/>
      <c r="BS29" s="384"/>
      <c r="BT29" s="394" t="s">
        <v>741</v>
      </c>
      <c r="BU29" s="406"/>
      <c r="BV29" s="371"/>
      <c r="BW29" s="413"/>
      <c r="BX29" s="384"/>
      <c r="BY29" s="394" t="s">
        <v>741</v>
      </c>
      <c r="BZ29" s="406"/>
      <c r="CA29" s="371"/>
      <c r="CB29" s="413"/>
      <c r="CC29" s="384"/>
      <c r="CD29" s="394" t="s">
        <v>741</v>
      </c>
      <c r="CE29" s="406"/>
      <c r="CF29" s="371"/>
      <c r="CG29" s="413"/>
      <c r="CI29" s="394" t="s">
        <v>741</v>
      </c>
      <c r="CJ29" s="406"/>
      <c r="CK29" s="371"/>
      <c r="CL29" s="413"/>
      <c r="CN29" s="394" t="s">
        <v>741</v>
      </c>
      <c r="CO29" s="406"/>
      <c r="CP29" s="371"/>
      <c r="CQ29" s="413"/>
      <c r="CT29" s="414"/>
    </row>
    <row r="30" spans="1:98" x14ac:dyDescent="0.3">
      <c r="A30" s="380" t="s">
        <v>438</v>
      </c>
      <c r="B30" s="744" t="s">
        <v>742</v>
      </c>
      <c r="C30" s="738" t="str">
        <f>IF(AND(D30="",E30=""),"",IF(E30="",D30,E30))</f>
        <v>Aluminum</v>
      </c>
      <c r="D30" s="739" t="str">
        <f>IF(INDEX(30:30,$E$2)="","", INDEX(30:30, $E$2))</f>
        <v>Aluminum</v>
      </c>
      <c r="E30" s="740"/>
      <c r="F30" s="407"/>
      <c r="G30" s="381"/>
      <c r="L30" s="392" t="s">
        <v>743</v>
      </c>
      <c r="M30" s="393" t="s">
        <v>744</v>
      </c>
      <c r="N30" s="410"/>
      <c r="O30" s="385"/>
      <c r="Q30" s="392" t="s">
        <v>743</v>
      </c>
      <c r="R30" s="393" t="s">
        <v>744</v>
      </c>
      <c r="S30" s="410"/>
      <c r="T30" s="385"/>
      <c r="U30" s="932"/>
      <c r="V30" s="392" t="s">
        <v>743</v>
      </c>
      <c r="W30" s="393" t="s">
        <v>744</v>
      </c>
      <c r="X30" s="410"/>
      <c r="Y30" s="385"/>
      <c r="Z30" s="932"/>
      <c r="AA30" s="392" t="s">
        <v>743</v>
      </c>
      <c r="AB30" s="393" t="s">
        <v>744</v>
      </c>
      <c r="AC30" s="410"/>
      <c r="AD30" s="385"/>
      <c r="AE30" s="384"/>
      <c r="AF30" s="392" t="s">
        <v>743</v>
      </c>
      <c r="AG30" s="393" t="s">
        <v>744</v>
      </c>
      <c r="AH30" s="410"/>
      <c r="AI30" s="385"/>
      <c r="AJ30" s="384"/>
      <c r="AK30" s="392" t="s">
        <v>743</v>
      </c>
      <c r="AL30" s="393" t="s">
        <v>744</v>
      </c>
      <c r="AM30" s="410"/>
      <c r="AN30" s="385"/>
      <c r="AO30" s="384"/>
      <c r="AP30" s="392" t="s">
        <v>743</v>
      </c>
      <c r="AQ30" s="393" t="s">
        <v>744</v>
      </c>
      <c r="AR30" s="410"/>
      <c r="AS30" s="385"/>
      <c r="AT30" s="384"/>
      <c r="AU30" s="392" t="s">
        <v>743</v>
      </c>
      <c r="AV30" s="393" t="s">
        <v>744</v>
      </c>
      <c r="AW30" s="410"/>
      <c r="AX30" s="385"/>
      <c r="AY30" s="384"/>
      <c r="AZ30" s="392" t="s">
        <v>743</v>
      </c>
      <c r="BA30" s="393" t="s">
        <v>744</v>
      </c>
      <c r="BB30" s="410"/>
      <c r="BC30" s="385"/>
      <c r="BD30" s="384"/>
      <c r="BE30" s="392" t="s">
        <v>743</v>
      </c>
      <c r="BF30" s="393" t="s">
        <v>744</v>
      </c>
      <c r="BG30" s="410"/>
      <c r="BH30" s="385"/>
      <c r="BI30" s="384"/>
      <c r="BJ30" s="392" t="s">
        <v>743</v>
      </c>
      <c r="BK30" s="393" t="s">
        <v>744</v>
      </c>
      <c r="BL30" s="410"/>
      <c r="BM30" s="385"/>
      <c r="BN30" s="384"/>
      <c r="BO30" s="392" t="s">
        <v>743</v>
      </c>
      <c r="BP30" s="393" t="s">
        <v>744</v>
      </c>
      <c r="BQ30" s="410"/>
      <c r="BR30" s="385"/>
      <c r="BS30" s="384"/>
      <c r="BT30" s="392" t="s">
        <v>743</v>
      </c>
      <c r="BU30" s="393" t="s">
        <v>744</v>
      </c>
      <c r="BV30" s="410"/>
      <c r="BW30" s="385"/>
      <c r="BX30" s="384"/>
      <c r="BY30" s="392" t="s">
        <v>743</v>
      </c>
      <c r="BZ30" s="393" t="s">
        <v>744</v>
      </c>
      <c r="CA30" s="410"/>
      <c r="CB30" s="385"/>
      <c r="CC30" s="384"/>
      <c r="CD30" s="392" t="s">
        <v>743</v>
      </c>
      <c r="CE30" s="393" t="s">
        <v>744</v>
      </c>
      <c r="CF30" s="410"/>
      <c r="CG30" s="385"/>
      <c r="CI30" s="392" t="s">
        <v>743</v>
      </c>
      <c r="CJ30" s="393" t="s">
        <v>744</v>
      </c>
      <c r="CK30" s="410"/>
      <c r="CL30" s="385"/>
      <c r="CN30" s="392" t="s">
        <v>743</v>
      </c>
      <c r="CO30" s="393" t="s">
        <v>744</v>
      </c>
      <c r="CP30" s="410"/>
      <c r="CQ30" s="385"/>
      <c r="CT30" s="384"/>
    </row>
    <row r="31" spans="1:98" ht="14.5" x14ac:dyDescent="0.35">
      <c r="A31" s="380" t="s">
        <v>438</v>
      </c>
      <c r="B31" s="744" t="s">
        <v>745</v>
      </c>
      <c r="C31" s="750">
        <f>IF(NOT(Dashboard!E17=""),Dashboard!E17,IF(AND(D31="",E31=""),"",IF(E31="",D31,E31)))</f>
        <v>15</v>
      </c>
      <c r="D31" s="747">
        <f>IF(INDEX(31:31,$E$2)="","", INDEX(31:31, $E$2))</f>
        <v>15</v>
      </c>
      <c r="E31" s="740"/>
      <c r="F31" s="407"/>
      <c r="G31" s="381"/>
      <c r="L31" s="392" t="s">
        <v>746</v>
      </c>
      <c r="M31" s="393">
        <v>20</v>
      </c>
      <c r="N31" s="410"/>
      <c r="O31" s="385"/>
      <c r="Q31" s="392" t="s">
        <v>746</v>
      </c>
      <c r="R31" s="393">
        <v>15</v>
      </c>
      <c r="S31" s="410"/>
      <c r="T31" s="385"/>
      <c r="U31" s="932"/>
      <c r="V31" s="392" t="s">
        <v>746</v>
      </c>
      <c r="W31" s="393">
        <v>20</v>
      </c>
      <c r="X31" s="410"/>
      <c r="Y31" s="385"/>
      <c r="Z31" s="932"/>
      <c r="AA31" s="392" t="s">
        <v>746</v>
      </c>
      <c r="AB31" s="393">
        <v>15</v>
      </c>
      <c r="AC31" s="410"/>
      <c r="AD31" s="385"/>
      <c r="AE31" s="384"/>
      <c r="AF31" s="392" t="s">
        <v>746</v>
      </c>
      <c r="AG31" s="393">
        <v>20</v>
      </c>
      <c r="AH31" s="410"/>
      <c r="AI31" s="385"/>
      <c r="AJ31" s="384"/>
      <c r="AK31" s="392" t="s">
        <v>746</v>
      </c>
      <c r="AL31" s="393">
        <v>15</v>
      </c>
      <c r="AM31" s="410"/>
      <c r="AN31" s="385"/>
      <c r="AO31" s="384"/>
      <c r="AP31" s="392" t="s">
        <v>746</v>
      </c>
      <c r="AQ31" s="393">
        <v>20</v>
      </c>
      <c r="AR31" s="410"/>
      <c r="AS31" s="385"/>
      <c r="AT31" s="384"/>
      <c r="AU31" s="392" t="s">
        <v>746</v>
      </c>
      <c r="AV31" s="393">
        <v>15</v>
      </c>
      <c r="AW31" s="410"/>
      <c r="AX31" s="385"/>
      <c r="AY31" s="384"/>
      <c r="AZ31" s="392" t="s">
        <v>746</v>
      </c>
      <c r="BA31" s="393">
        <v>20</v>
      </c>
      <c r="BB31" s="410"/>
      <c r="BC31" s="385"/>
      <c r="BD31" s="384"/>
      <c r="BE31" s="392" t="s">
        <v>746</v>
      </c>
      <c r="BF31" s="393">
        <v>15</v>
      </c>
      <c r="BG31" s="410"/>
      <c r="BH31" s="385"/>
      <c r="BI31" s="384"/>
      <c r="BJ31" s="392" t="s">
        <v>746</v>
      </c>
      <c r="BK31" s="393">
        <v>20</v>
      </c>
      <c r="BL31" s="410"/>
      <c r="BM31" s="385"/>
      <c r="BN31" s="384"/>
      <c r="BO31" s="392" t="s">
        <v>746</v>
      </c>
      <c r="BP31" s="393">
        <v>15</v>
      </c>
      <c r="BQ31" s="410"/>
      <c r="BR31" s="385"/>
      <c r="BS31" s="384"/>
      <c r="BT31" s="392" t="s">
        <v>746</v>
      </c>
      <c r="BU31" s="393">
        <v>20</v>
      </c>
      <c r="BV31" s="410"/>
      <c r="BW31" s="385"/>
      <c r="BX31" s="384"/>
      <c r="BY31" s="392" t="s">
        <v>746</v>
      </c>
      <c r="BZ31" s="393">
        <v>15</v>
      </c>
      <c r="CA31" s="410"/>
      <c r="CB31" s="385"/>
      <c r="CC31" s="384"/>
      <c r="CD31" s="392" t="s">
        <v>746</v>
      </c>
      <c r="CE31" s="393">
        <v>20</v>
      </c>
      <c r="CF31" s="410"/>
      <c r="CG31" s="385"/>
      <c r="CI31" s="392" t="s">
        <v>746</v>
      </c>
      <c r="CJ31" s="393">
        <v>15</v>
      </c>
      <c r="CK31" s="410"/>
      <c r="CL31" s="385"/>
      <c r="CN31" s="392" t="s">
        <v>746</v>
      </c>
      <c r="CO31" s="1036" cm="1">
        <f t="array" ref="CO31">INDEX(31:31, $CQ$10)*$CQ$8 + INDEX(31:31, $CQ$11)*(1-$CQ$8)</f>
        <v>15</v>
      </c>
      <c r="CP31" s="410"/>
      <c r="CQ31" s="385"/>
      <c r="CT31" s="384"/>
    </row>
    <row r="32" spans="1:98" ht="14.5" thickBot="1" x14ac:dyDescent="0.35">
      <c r="A32" s="380"/>
      <c r="B32" s="744"/>
      <c r="C32" s="738"/>
      <c r="D32" s="739"/>
      <c r="E32" s="740"/>
      <c r="F32" s="407"/>
      <c r="G32" s="381"/>
      <c r="L32" s="392"/>
      <c r="M32" s="393"/>
      <c r="N32" s="410"/>
      <c r="O32" s="385"/>
      <c r="Q32" s="392"/>
      <c r="R32" s="393"/>
      <c r="S32" s="410"/>
      <c r="T32" s="385"/>
      <c r="U32" s="932"/>
      <c r="V32" s="392"/>
      <c r="W32" s="393"/>
      <c r="X32" s="410"/>
      <c r="Y32" s="385"/>
      <c r="Z32" s="932"/>
      <c r="AA32" s="392"/>
      <c r="AB32" s="393"/>
      <c r="AC32" s="410"/>
      <c r="AD32" s="385"/>
      <c r="AE32" s="384"/>
      <c r="AF32" s="392"/>
      <c r="AG32" s="393"/>
      <c r="AH32" s="410"/>
      <c r="AI32" s="385"/>
      <c r="AJ32" s="384"/>
      <c r="AK32" s="392"/>
      <c r="AL32" s="393"/>
      <c r="AM32" s="410"/>
      <c r="AN32" s="385"/>
      <c r="AO32" s="384"/>
      <c r="AP32" s="392"/>
      <c r="AQ32" s="393"/>
      <c r="AR32" s="410"/>
      <c r="AS32" s="385"/>
      <c r="AT32" s="384"/>
      <c r="AU32" s="392"/>
      <c r="AV32" s="393"/>
      <c r="AW32" s="410"/>
      <c r="AX32" s="385"/>
      <c r="AY32" s="384"/>
      <c r="AZ32" s="392"/>
      <c r="BA32" s="393"/>
      <c r="BB32" s="410"/>
      <c r="BC32" s="385"/>
      <c r="BD32" s="384"/>
      <c r="BE32" s="392"/>
      <c r="BF32" s="393"/>
      <c r="BG32" s="410"/>
      <c r="BH32" s="385"/>
      <c r="BI32" s="384"/>
      <c r="BJ32" s="392"/>
      <c r="BK32" s="393"/>
      <c r="BL32" s="410"/>
      <c r="BM32" s="385"/>
      <c r="BN32" s="384"/>
      <c r="BO32" s="392"/>
      <c r="BP32" s="393"/>
      <c r="BQ32" s="410"/>
      <c r="BR32" s="385"/>
      <c r="BS32" s="384"/>
      <c r="BT32" s="392"/>
      <c r="BU32" s="393"/>
      <c r="BV32" s="410"/>
      <c r="BW32" s="385"/>
      <c r="BX32" s="384"/>
      <c r="BY32" s="392"/>
      <c r="BZ32" s="393"/>
      <c r="CA32" s="410"/>
      <c r="CB32" s="385"/>
      <c r="CC32" s="384"/>
      <c r="CD32" s="392"/>
      <c r="CE32" s="393"/>
      <c r="CF32" s="410"/>
      <c r="CG32" s="385"/>
      <c r="CI32" s="392"/>
      <c r="CJ32" s="393"/>
      <c r="CK32" s="410"/>
      <c r="CL32" s="385"/>
      <c r="CN32" s="392"/>
      <c r="CO32" s="393"/>
      <c r="CP32" s="410"/>
      <c r="CQ32" s="385"/>
      <c r="CT32" s="384"/>
    </row>
    <row r="33" spans="1:98" ht="18.5" thickBot="1" x14ac:dyDescent="0.45">
      <c r="A33" s="380"/>
      <c r="B33" s="591" t="s">
        <v>309</v>
      </c>
      <c r="C33" s="753"/>
      <c r="D33" s="753"/>
      <c r="E33" s="753"/>
      <c r="F33" s="590"/>
      <c r="G33" s="381"/>
      <c r="L33" s="412"/>
      <c r="M33" s="393"/>
      <c r="N33" s="387"/>
      <c r="O33" s="404"/>
      <c r="P33" s="405"/>
      <c r="Q33" s="412"/>
      <c r="R33" s="393"/>
      <c r="S33" s="387"/>
      <c r="T33" s="404"/>
      <c r="U33" s="932"/>
      <c r="V33" s="412"/>
      <c r="W33" s="393"/>
      <c r="X33" s="387"/>
      <c r="Y33" s="404"/>
      <c r="Z33" s="932"/>
      <c r="AA33" s="412"/>
      <c r="AB33" s="393"/>
      <c r="AC33" s="387"/>
      <c r="AD33" s="404"/>
      <c r="AE33" s="405"/>
      <c r="AF33" s="412"/>
      <c r="AG33" s="393"/>
      <c r="AH33" s="387"/>
      <c r="AI33" s="404"/>
      <c r="AJ33" s="384"/>
      <c r="AK33" s="412"/>
      <c r="AL33" s="393"/>
      <c r="AM33" s="387"/>
      <c r="AN33" s="404"/>
      <c r="AO33" s="384"/>
      <c r="AP33" s="412"/>
      <c r="AQ33" s="393"/>
      <c r="AR33" s="387"/>
      <c r="AS33" s="404"/>
      <c r="AT33" s="384"/>
      <c r="AU33" s="412"/>
      <c r="AV33" s="393"/>
      <c r="AW33" s="387"/>
      <c r="AX33" s="404"/>
      <c r="AY33" s="384"/>
      <c r="AZ33" s="412"/>
      <c r="BA33" s="393"/>
      <c r="BB33" s="387"/>
      <c r="BC33" s="404"/>
      <c r="BD33" s="384"/>
      <c r="BE33" s="412"/>
      <c r="BF33" s="393"/>
      <c r="BG33" s="387"/>
      <c r="BH33" s="404"/>
      <c r="BI33" s="384"/>
      <c r="BJ33" s="412"/>
      <c r="BK33" s="393"/>
      <c r="BL33" s="387"/>
      <c r="BM33" s="404"/>
      <c r="BN33" s="384"/>
      <c r="BO33" s="412"/>
      <c r="BP33" s="393"/>
      <c r="BQ33" s="387"/>
      <c r="BR33" s="404"/>
      <c r="BS33" s="384"/>
      <c r="BT33" s="412"/>
      <c r="BU33" s="393"/>
      <c r="BV33" s="387"/>
      <c r="BW33" s="404"/>
      <c r="BX33" s="384"/>
      <c r="BY33" s="412"/>
      <c r="BZ33" s="393"/>
      <c r="CA33" s="387"/>
      <c r="CB33" s="404"/>
      <c r="CC33" s="384"/>
      <c r="CD33" s="412"/>
      <c r="CE33" s="393"/>
      <c r="CF33" s="387"/>
      <c r="CG33" s="404"/>
      <c r="CI33" s="412"/>
      <c r="CJ33" s="393"/>
      <c r="CK33" s="387"/>
      <c r="CL33" s="404"/>
      <c r="CN33" s="412"/>
      <c r="CO33" s="393"/>
      <c r="CP33" s="387"/>
      <c r="CQ33" s="404"/>
      <c r="CT33" s="405"/>
    </row>
    <row r="34" spans="1:98" x14ac:dyDescent="0.3">
      <c r="A34" s="380"/>
      <c r="B34" s="752" t="s">
        <v>747</v>
      </c>
      <c r="C34" s="738" t="str">
        <f>IF(C35 = "G", D34, "No")</f>
        <v>No</v>
      </c>
      <c r="D34" s="754" t="s">
        <v>47</v>
      </c>
      <c r="E34" s="353"/>
      <c r="F34" s="402"/>
      <c r="G34" s="381"/>
      <c r="L34" s="412" t="s">
        <v>309</v>
      </c>
      <c r="M34" s="393"/>
      <c r="N34" s="387"/>
      <c r="O34" s="404"/>
      <c r="P34" s="405"/>
      <c r="Q34" s="412" t="s">
        <v>309</v>
      </c>
      <c r="R34" s="393"/>
      <c r="S34" s="387"/>
      <c r="T34" s="404"/>
      <c r="U34" s="932"/>
      <c r="V34" s="412" t="s">
        <v>309</v>
      </c>
      <c r="W34" s="393"/>
      <c r="X34" s="387"/>
      <c r="Y34" s="404"/>
      <c r="Z34" s="932"/>
      <c r="AA34" s="412" t="s">
        <v>309</v>
      </c>
      <c r="AB34" s="393"/>
      <c r="AC34" s="387"/>
      <c r="AD34" s="404"/>
      <c r="AE34" s="405"/>
      <c r="AF34" s="412" t="s">
        <v>309</v>
      </c>
      <c r="AG34" s="393"/>
      <c r="AH34" s="387"/>
      <c r="AI34" s="404"/>
      <c r="AJ34" s="384"/>
      <c r="AK34" s="412" t="s">
        <v>309</v>
      </c>
      <c r="AL34" s="393"/>
      <c r="AM34" s="387"/>
      <c r="AN34" s="404"/>
      <c r="AO34" s="384"/>
      <c r="AP34" s="412" t="s">
        <v>309</v>
      </c>
      <c r="AQ34" s="393"/>
      <c r="AR34" s="387"/>
      <c r="AS34" s="404"/>
      <c r="AT34" s="384"/>
      <c r="AU34" s="412" t="s">
        <v>309</v>
      </c>
      <c r="AV34" s="393"/>
      <c r="AW34" s="387"/>
      <c r="AX34" s="404"/>
      <c r="AY34" s="384"/>
      <c r="AZ34" s="412" t="s">
        <v>309</v>
      </c>
      <c r="BA34" s="393"/>
      <c r="BB34" s="387"/>
      <c r="BC34" s="404"/>
      <c r="BD34" s="384"/>
      <c r="BE34" s="412" t="s">
        <v>309</v>
      </c>
      <c r="BF34" s="393"/>
      <c r="BG34" s="387"/>
      <c r="BH34" s="404"/>
      <c r="BI34" s="384"/>
      <c r="BJ34" s="412" t="s">
        <v>309</v>
      </c>
      <c r="BK34" s="393"/>
      <c r="BL34" s="387"/>
      <c r="BM34" s="404"/>
      <c r="BN34" s="384"/>
      <c r="BO34" s="412" t="s">
        <v>309</v>
      </c>
      <c r="BP34" s="393"/>
      <c r="BQ34" s="387"/>
      <c r="BR34" s="404"/>
      <c r="BS34" s="384"/>
      <c r="BT34" s="412" t="s">
        <v>309</v>
      </c>
      <c r="BU34" s="393"/>
      <c r="BV34" s="387"/>
      <c r="BW34" s="404"/>
      <c r="BX34" s="384"/>
      <c r="BY34" s="412" t="s">
        <v>309</v>
      </c>
      <c r="BZ34" s="393"/>
      <c r="CA34" s="387"/>
      <c r="CB34" s="404"/>
      <c r="CC34" s="384"/>
      <c r="CD34" s="412" t="s">
        <v>309</v>
      </c>
      <c r="CE34" s="393"/>
      <c r="CF34" s="387"/>
      <c r="CG34" s="404"/>
      <c r="CI34" s="412" t="s">
        <v>309</v>
      </c>
      <c r="CJ34" s="393"/>
      <c r="CK34" s="387"/>
      <c r="CL34" s="404"/>
      <c r="CN34" s="412" t="s">
        <v>309</v>
      </c>
      <c r="CO34" s="393"/>
      <c r="CP34" s="387"/>
      <c r="CQ34" s="404"/>
      <c r="CT34" s="405"/>
    </row>
    <row r="35" spans="1:98" ht="15.5" x14ac:dyDescent="0.35">
      <c r="A35" s="380"/>
      <c r="B35" s="771" t="s">
        <v>748</v>
      </c>
      <c r="C35" s="738" t="str">
        <f>D35</f>
        <v>G</v>
      </c>
      <c r="D35" s="739" t="str">
        <f>IF(INDEX(35:35,$E$2)="","", INDEX(35:35, $E$2))</f>
        <v>G</v>
      </c>
      <c r="E35" s="740"/>
      <c r="F35" s="407"/>
      <c r="G35" s="381"/>
      <c r="L35" s="392" t="s">
        <v>696</v>
      </c>
      <c r="M35" s="393" t="s">
        <v>279</v>
      </c>
      <c r="N35" s="384"/>
      <c r="O35" s="385"/>
      <c r="Q35" s="392" t="s">
        <v>696</v>
      </c>
      <c r="R35" s="393" t="s">
        <v>279</v>
      </c>
      <c r="S35" s="384"/>
      <c r="T35" s="385"/>
      <c r="U35" s="932"/>
      <c r="V35" s="392" t="s">
        <v>696</v>
      </c>
      <c r="W35" s="393" t="s">
        <v>279</v>
      </c>
      <c r="X35" s="384"/>
      <c r="Y35" s="385"/>
      <c r="Z35" s="932"/>
      <c r="AA35" s="392" t="s">
        <v>696</v>
      </c>
      <c r="AB35" s="393" t="s">
        <v>279</v>
      </c>
      <c r="AC35" s="384"/>
      <c r="AD35" s="385"/>
      <c r="AE35" s="384"/>
      <c r="AF35" s="392" t="s">
        <v>696</v>
      </c>
      <c r="AG35" s="393" t="s">
        <v>279</v>
      </c>
      <c r="AH35" s="384"/>
      <c r="AI35" s="385"/>
      <c r="AJ35" s="384"/>
      <c r="AK35" s="392" t="s">
        <v>696</v>
      </c>
      <c r="AL35" s="393" t="s">
        <v>279</v>
      </c>
      <c r="AM35" s="384"/>
      <c r="AN35" s="385"/>
      <c r="AO35" s="384"/>
      <c r="AP35" s="392" t="s">
        <v>696</v>
      </c>
      <c r="AQ35" s="393" t="s">
        <v>279</v>
      </c>
      <c r="AR35" s="384"/>
      <c r="AS35" s="385"/>
      <c r="AT35" s="384"/>
      <c r="AU35" s="392" t="s">
        <v>696</v>
      </c>
      <c r="AV35" s="393" t="s">
        <v>279</v>
      </c>
      <c r="AW35" s="384"/>
      <c r="AX35" s="385"/>
      <c r="AY35" s="384"/>
      <c r="AZ35" s="392" t="s">
        <v>696</v>
      </c>
      <c r="BA35" s="393" t="s">
        <v>279</v>
      </c>
      <c r="BB35" s="384"/>
      <c r="BC35" s="385"/>
      <c r="BD35" s="384"/>
      <c r="BE35" s="392" t="s">
        <v>696</v>
      </c>
      <c r="BF35" s="393" t="s">
        <v>279</v>
      </c>
      <c r="BG35" s="384"/>
      <c r="BH35" s="385"/>
      <c r="BI35" s="384"/>
      <c r="BJ35" s="392" t="s">
        <v>696</v>
      </c>
      <c r="BK35" s="393" t="s">
        <v>279</v>
      </c>
      <c r="BL35" s="384"/>
      <c r="BM35" s="385"/>
      <c r="BN35" s="384"/>
      <c r="BO35" s="392" t="s">
        <v>696</v>
      </c>
      <c r="BP35" s="393" t="s">
        <v>279</v>
      </c>
      <c r="BQ35" s="384"/>
      <c r="BR35" s="385"/>
      <c r="BS35" s="384"/>
      <c r="BT35" s="392" t="s">
        <v>696</v>
      </c>
      <c r="BU35" s="393" t="s">
        <v>279</v>
      </c>
      <c r="BV35" s="384"/>
      <c r="BW35" s="385"/>
      <c r="BX35" s="384"/>
      <c r="BY35" s="392" t="s">
        <v>696</v>
      </c>
      <c r="BZ35" s="393" t="s">
        <v>279</v>
      </c>
      <c r="CA35" s="384"/>
      <c r="CB35" s="385"/>
      <c r="CC35" s="384"/>
      <c r="CD35" s="392" t="s">
        <v>696</v>
      </c>
      <c r="CE35" s="393" t="s">
        <v>749</v>
      </c>
      <c r="CF35" s="384"/>
      <c r="CG35" s="385"/>
      <c r="CI35" s="392" t="s">
        <v>696</v>
      </c>
      <c r="CJ35" s="393" t="s">
        <v>749</v>
      </c>
      <c r="CK35" s="384"/>
      <c r="CL35" s="385"/>
      <c r="CN35" s="392" t="s">
        <v>696</v>
      </c>
      <c r="CO35" s="393" t="str" cm="1">
        <f t="array" ref="CO35">IF(INDEX(35:35, $CQ$10) = INDEX(35:35, $CQ$11), INDEX(35:35, $CQ$10), "N/A")</f>
        <v>G</v>
      </c>
      <c r="CP35" s="384"/>
      <c r="CQ35" s="385"/>
      <c r="CT35" s="384"/>
    </row>
    <row r="36" spans="1:98" x14ac:dyDescent="0.3">
      <c r="A36" s="380"/>
      <c r="B36" s="744" t="s">
        <v>359</v>
      </c>
      <c r="C36" s="749">
        <f>IF(NOT(Dashboard!E22=""),Dashboard!E22,IF(AND(D36="",E36=""),"",IF(E36="",D36,E36)))</f>
        <v>1.1000000000000001</v>
      </c>
      <c r="D36" s="739">
        <f>IF(INDEX(36:36,$E$2)="","", INDEX(36:36, $E$2))</f>
        <v>1.1000000000000001</v>
      </c>
      <c r="E36" s="740"/>
      <c r="F36" s="407"/>
      <c r="G36" s="381"/>
      <c r="L36" s="392" t="s">
        <v>36</v>
      </c>
      <c r="M36" s="393">
        <v>1.1000000000000001</v>
      </c>
      <c r="N36" s="384"/>
      <c r="O36" s="385"/>
      <c r="Q36" s="392" t="s">
        <v>36</v>
      </c>
      <c r="R36" s="393">
        <v>1.1000000000000001</v>
      </c>
      <c r="S36" s="384"/>
      <c r="T36" s="385"/>
      <c r="U36" s="932"/>
      <c r="V36" s="392" t="s">
        <v>36</v>
      </c>
      <c r="W36" s="393">
        <v>1.1000000000000001</v>
      </c>
      <c r="X36" s="384"/>
      <c r="Y36" s="385"/>
      <c r="Z36" s="932"/>
      <c r="AA36" s="392" t="s">
        <v>36</v>
      </c>
      <c r="AB36" s="393">
        <v>1.1000000000000001</v>
      </c>
      <c r="AC36" s="384"/>
      <c r="AD36" s="385"/>
      <c r="AE36" s="384"/>
      <c r="AF36" s="392" t="s">
        <v>36</v>
      </c>
      <c r="AG36" s="393">
        <v>1.1000000000000001</v>
      </c>
      <c r="AH36" s="384"/>
      <c r="AI36" s="385"/>
      <c r="AJ36" s="384"/>
      <c r="AK36" s="392" t="s">
        <v>36</v>
      </c>
      <c r="AL36" s="393">
        <v>1.1000000000000001</v>
      </c>
      <c r="AM36" s="384"/>
      <c r="AN36" s="385"/>
      <c r="AO36" s="384"/>
      <c r="AP36" s="392" t="s">
        <v>36</v>
      </c>
      <c r="AQ36" s="393">
        <v>1.1000000000000001</v>
      </c>
      <c r="AR36" s="384"/>
      <c r="AS36" s="385"/>
      <c r="AT36" s="384"/>
      <c r="AU36" s="392" t="s">
        <v>36</v>
      </c>
      <c r="AV36" s="393">
        <v>1.1000000000000001</v>
      </c>
      <c r="AW36" s="384"/>
      <c r="AX36" s="385"/>
      <c r="AY36" s="384"/>
      <c r="AZ36" s="392" t="s">
        <v>36</v>
      </c>
      <c r="BA36" s="393">
        <v>1.1000000000000001</v>
      </c>
      <c r="BB36" s="384"/>
      <c r="BC36" s="385"/>
      <c r="BD36" s="384"/>
      <c r="BE36" s="392" t="s">
        <v>36</v>
      </c>
      <c r="BF36" s="393">
        <v>1.1000000000000001</v>
      </c>
      <c r="BG36" s="384"/>
      <c r="BH36" s="385"/>
      <c r="BI36" s="384"/>
      <c r="BJ36" s="392" t="s">
        <v>36</v>
      </c>
      <c r="BK36" s="393">
        <v>1.1000000000000001</v>
      </c>
      <c r="BL36" s="384"/>
      <c r="BM36" s="385"/>
      <c r="BN36" s="384"/>
      <c r="BO36" s="392" t="s">
        <v>36</v>
      </c>
      <c r="BP36" s="393">
        <v>1.1000000000000001</v>
      </c>
      <c r="BQ36" s="384"/>
      <c r="BR36" s="385"/>
      <c r="BS36" s="384"/>
      <c r="BT36" s="392" t="s">
        <v>36</v>
      </c>
      <c r="BU36" s="393">
        <v>1.1000000000000001</v>
      </c>
      <c r="BV36" s="384"/>
      <c r="BW36" s="385"/>
      <c r="BX36" s="384"/>
      <c r="BY36" s="392" t="s">
        <v>36</v>
      </c>
      <c r="BZ36" s="393">
        <v>1.1000000000000001</v>
      </c>
      <c r="CA36" s="384"/>
      <c r="CB36" s="385"/>
      <c r="CC36" s="384"/>
      <c r="CD36" s="392" t="s">
        <v>36</v>
      </c>
      <c r="CE36" s="393">
        <v>1.02</v>
      </c>
      <c r="CF36" s="384"/>
      <c r="CG36" s="385"/>
      <c r="CI36" s="392" t="s">
        <v>36</v>
      </c>
      <c r="CJ36" s="393">
        <v>1.02</v>
      </c>
      <c r="CK36" s="384"/>
      <c r="CL36" s="385"/>
      <c r="CN36" s="392" t="s">
        <v>36</v>
      </c>
      <c r="CO36" s="393">
        <v>1.1000000000000001</v>
      </c>
      <c r="CP36" s="384"/>
      <c r="CQ36" s="385"/>
      <c r="CT36" s="384"/>
    </row>
    <row r="37" spans="1:98" x14ac:dyDescent="0.3">
      <c r="A37" s="380"/>
      <c r="B37" s="741" t="s">
        <v>750</v>
      </c>
      <c r="C37" s="750">
        <f>IF(SUM(C40:C42) = 100, IF(NOT(Dashboard!E21=""),Dashboard!E21,IF(AND(D37="",E37=""),"",IF(E37="",D37,E37))), NA())</f>
        <v>360.4</v>
      </c>
      <c r="D37" s="747">
        <f>IF(INDEX(37:37,$E$2)="","", IF(C34="No", INDEX(37:37, $E$2),  INDEX(37:37, $E$2)*0.95 + 2000*0.05))</f>
        <v>360.4</v>
      </c>
      <c r="E37" s="740"/>
      <c r="F37" s="407"/>
      <c r="G37" s="381"/>
      <c r="L37" s="383" t="s">
        <v>706</v>
      </c>
      <c r="M37" s="393">
        <v>360.4</v>
      </c>
      <c r="N37" s="384"/>
      <c r="O37" s="385"/>
      <c r="Q37" s="383" t="s">
        <v>706</v>
      </c>
      <c r="R37" s="393">
        <v>360.4</v>
      </c>
      <c r="S37" s="384"/>
      <c r="T37" s="385"/>
      <c r="U37" s="932"/>
      <c r="V37" s="383" t="s">
        <v>706</v>
      </c>
      <c r="W37" s="393">
        <v>360.4</v>
      </c>
      <c r="X37" s="384"/>
      <c r="Y37" s="385"/>
      <c r="Z37" s="932"/>
      <c r="AA37" s="383" t="s">
        <v>706</v>
      </c>
      <c r="AB37" s="393">
        <v>360.4</v>
      </c>
      <c r="AC37" s="384"/>
      <c r="AD37" s="385"/>
      <c r="AE37" s="384"/>
      <c r="AF37" s="383" t="s">
        <v>706</v>
      </c>
      <c r="AG37" s="393">
        <v>360.4</v>
      </c>
      <c r="AH37" s="384"/>
      <c r="AI37" s="385"/>
      <c r="AJ37" s="384"/>
      <c r="AK37" s="383" t="s">
        <v>706</v>
      </c>
      <c r="AL37" s="393">
        <v>360.4</v>
      </c>
      <c r="AM37" s="384"/>
      <c r="AN37" s="385"/>
      <c r="AO37" s="384"/>
      <c r="AP37" s="383" t="s">
        <v>706</v>
      </c>
      <c r="AQ37" s="393">
        <v>360.4</v>
      </c>
      <c r="AR37" s="384"/>
      <c r="AS37" s="385"/>
      <c r="AT37" s="384"/>
      <c r="AU37" s="383" t="s">
        <v>706</v>
      </c>
      <c r="AV37" s="393">
        <v>360.4</v>
      </c>
      <c r="AW37" s="384"/>
      <c r="AX37" s="385"/>
      <c r="AY37" s="384"/>
      <c r="AZ37" s="383" t="s">
        <v>706</v>
      </c>
      <c r="BA37" s="393">
        <v>360.4</v>
      </c>
      <c r="BB37" s="384"/>
      <c r="BC37" s="385"/>
      <c r="BD37" s="384"/>
      <c r="BE37" s="383" t="s">
        <v>706</v>
      </c>
      <c r="BF37" s="393">
        <v>360.4</v>
      </c>
      <c r="BG37" s="384"/>
      <c r="BH37" s="385"/>
      <c r="BI37" s="384"/>
      <c r="BJ37" s="383" t="s">
        <v>706</v>
      </c>
      <c r="BK37" s="393">
        <v>360.4</v>
      </c>
      <c r="BL37" s="384"/>
      <c r="BM37" s="385"/>
      <c r="BN37" s="384"/>
      <c r="BO37" s="383" t="s">
        <v>706</v>
      </c>
      <c r="BP37" s="393">
        <v>360.4</v>
      </c>
      <c r="BQ37" s="384"/>
      <c r="BR37" s="385"/>
      <c r="BS37" s="384"/>
      <c r="BT37" s="383" t="s">
        <v>706</v>
      </c>
      <c r="BU37" s="393">
        <v>360.4</v>
      </c>
      <c r="BV37" s="384"/>
      <c r="BW37" s="385"/>
      <c r="BX37" s="384"/>
      <c r="BY37" s="383" t="s">
        <v>706</v>
      </c>
      <c r="BZ37" s="393">
        <v>360.4</v>
      </c>
      <c r="CA37" s="384"/>
      <c r="CB37" s="385"/>
      <c r="CC37" s="384"/>
      <c r="CD37" s="383" t="s">
        <v>706</v>
      </c>
      <c r="CE37" s="393">
        <v>164.8</v>
      </c>
      <c r="CF37" s="384"/>
      <c r="CG37" s="385"/>
      <c r="CI37" s="383" t="s">
        <v>706</v>
      </c>
      <c r="CJ37" s="393">
        <v>164.8</v>
      </c>
      <c r="CK37" s="384"/>
      <c r="CL37" s="385"/>
      <c r="CN37" s="383" t="s">
        <v>706</v>
      </c>
      <c r="CO37" s="393">
        <v>360.4</v>
      </c>
      <c r="CP37" s="384"/>
      <c r="CQ37" s="385"/>
      <c r="CT37" s="384"/>
    </row>
    <row r="38" spans="1:98" x14ac:dyDescent="0.3">
      <c r="A38" s="380"/>
      <c r="B38" s="741"/>
      <c r="C38" s="750"/>
      <c r="D38" s="747"/>
      <c r="E38" s="740"/>
      <c r="F38" s="407"/>
      <c r="G38" s="381"/>
      <c r="L38" s="383"/>
      <c r="M38" s="393"/>
      <c r="N38" s="384"/>
      <c r="O38" s="385"/>
      <c r="Q38" s="383"/>
      <c r="R38" s="393"/>
      <c r="S38" s="384"/>
      <c r="T38" s="385"/>
      <c r="U38" s="932"/>
      <c r="V38" s="383"/>
      <c r="W38" s="393"/>
      <c r="X38" s="384"/>
      <c r="Y38" s="385"/>
      <c r="Z38" s="932"/>
      <c r="AA38" s="383"/>
      <c r="AB38" s="393"/>
      <c r="AC38" s="384"/>
      <c r="AD38" s="385"/>
      <c r="AE38" s="384"/>
      <c r="AF38" s="383"/>
      <c r="AG38" s="393"/>
      <c r="AH38" s="384"/>
      <c r="AI38" s="385"/>
      <c r="AJ38" s="384"/>
      <c r="AK38" s="383"/>
      <c r="AL38" s="393"/>
      <c r="AM38" s="384"/>
      <c r="AN38" s="385"/>
      <c r="AO38" s="384"/>
      <c r="AP38" s="383"/>
      <c r="AQ38" s="393"/>
      <c r="AR38" s="384"/>
      <c r="AS38" s="385"/>
      <c r="AT38" s="384"/>
      <c r="AU38" s="383"/>
      <c r="AV38" s="393"/>
      <c r="AW38" s="384"/>
      <c r="AX38" s="385"/>
      <c r="AY38" s="384"/>
      <c r="AZ38" s="383"/>
      <c r="BA38" s="393"/>
      <c r="BB38" s="384"/>
      <c r="BC38" s="385"/>
      <c r="BD38" s="384"/>
      <c r="BE38" s="383"/>
      <c r="BF38" s="393"/>
      <c r="BG38" s="384"/>
      <c r="BH38" s="385"/>
      <c r="BI38" s="384"/>
      <c r="BJ38" s="383"/>
      <c r="BK38" s="393"/>
      <c r="BL38" s="384"/>
      <c r="BM38" s="385"/>
      <c r="BN38" s="384"/>
      <c r="BO38" s="383"/>
      <c r="BP38" s="393"/>
      <c r="BQ38" s="384"/>
      <c r="BR38" s="385"/>
      <c r="BS38" s="384"/>
      <c r="BT38" s="383"/>
      <c r="BU38" s="393"/>
      <c r="BV38" s="384"/>
      <c r="BW38" s="385"/>
      <c r="BX38" s="384"/>
      <c r="BY38" s="383"/>
      <c r="BZ38" s="393"/>
      <c r="CA38" s="384"/>
      <c r="CB38" s="385"/>
      <c r="CC38" s="384"/>
      <c r="CD38" s="383"/>
      <c r="CE38" s="393"/>
      <c r="CF38" s="384"/>
      <c r="CG38" s="385"/>
      <c r="CI38" s="383"/>
      <c r="CJ38" s="393"/>
      <c r="CK38" s="384"/>
      <c r="CL38" s="385"/>
      <c r="CN38" s="383"/>
      <c r="CO38" s="393"/>
      <c r="CP38" s="384"/>
      <c r="CQ38" s="385"/>
      <c r="CT38" s="384"/>
    </row>
    <row r="39" spans="1:98" ht="15.5" x14ac:dyDescent="0.35">
      <c r="A39" s="380"/>
      <c r="B39" s="771" t="s">
        <v>751</v>
      </c>
      <c r="C39" s="738"/>
      <c r="D39" s="738" t="str">
        <f>IF(ISERROR(C37)," Sum of % must add to 100", "")</f>
        <v/>
      </c>
      <c r="E39" s="740"/>
      <c r="F39" s="407"/>
      <c r="G39" s="381"/>
      <c r="L39" s="394" t="s">
        <v>752</v>
      </c>
      <c r="M39" s="406"/>
      <c r="N39" s="384"/>
      <c r="O39" s="385"/>
      <c r="Q39" s="394" t="s">
        <v>752</v>
      </c>
      <c r="R39" s="406"/>
      <c r="S39" s="384"/>
      <c r="T39" s="385"/>
      <c r="U39" s="932"/>
      <c r="V39" s="394" t="s">
        <v>752</v>
      </c>
      <c r="W39" s="406"/>
      <c r="X39" s="384"/>
      <c r="Y39" s="385"/>
      <c r="Z39" s="932"/>
      <c r="AA39" s="394" t="s">
        <v>752</v>
      </c>
      <c r="AB39" s="406"/>
      <c r="AC39" s="384"/>
      <c r="AD39" s="385"/>
      <c r="AE39" s="384"/>
      <c r="AF39" s="394" t="s">
        <v>752</v>
      </c>
      <c r="AG39" s="406"/>
      <c r="AH39" s="384"/>
      <c r="AI39" s="385"/>
      <c r="AJ39" s="384"/>
      <c r="AK39" s="394" t="s">
        <v>752</v>
      </c>
      <c r="AL39" s="406"/>
      <c r="AM39" s="384"/>
      <c r="AN39" s="385"/>
      <c r="AO39" s="384"/>
      <c r="AP39" s="394" t="s">
        <v>752</v>
      </c>
      <c r="AQ39" s="406"/>
      <c r="AR39" s="384"/>
      <c r="AS39" s="385"/>
      <c r="AT39" s="384"/>
      <c r="AU39" s="394" t="s">
        <v>752</v>
      </c>
      <c r="AV39" s="406"/>
      <c r="AW39" s="384"/>
      <c r="AX39" s="385"/>
      <c r="AY39" s="384"/>
      <c r="AZ39" s="394" t="s">
        <v>752</v>
      </c>
      <c r="BA39" s="406"/>
      <c r="BB39" s="384"/>
      <c r="BC39" s="385"/>
      <c r="BD39" s="384"/>
      <c r="BE39" s="394" t="s">
        <v>752</v>
      </c>
      <c r="BF39" s="406"/>
      <c r="BG39" s="384"/>
      <c r="BH39" s="385"/>
      <c r="BI39" s="384"/>
      <c r="BJ39" s="394" t="s">
        <v>752</v>
      </c>
      <c r="BK39" s="406"/>
      <c r="BL39" s="384"/>
      <c r="BM39" s="385"/>
      <c r="BN39" s="384"/>
      <c r="BO39" s="394" t="s">
        <v>752</v>
      </c>
      <c r="BP39" s="406"/>
      <c r="BQ39" s="384"/>
      <c r="BR39" s="385"/>
      <c r="BS39" s="384"/>
      <c r="BT39" s="394" t="s">
        <v>752</v>
      </c>
      <c r="BU39" s="406"/>
      <c r="BV39" s="384"/>
      <c r="BW39" s="385"/>
      <c r="BX39" s="384"/>
      <c r="BY39" s="394" t="s">
        <v>752</v>
      </c>
      <c r="BZ39" s="406"/>
      <c r="CA39" s="384"/>
      <c r="CB39" s="385"/>
      <c r="CC39" s="384"/>
      <c r="CD39" s="394" t="s">
        <v>752</v>
      </c>
      <c r="CE39" s="406"/>
      <c r="CF39" s="384"/>
      <c r="CG39" s="385"/>
      <c r="CI39" s="394" t="s">
        <v>752</v>
      </c>
      <c r="CJ39" s="406"/>
      <c r="CK39" s="384"/>
      <c r="CL39" s="385"/>
      <c r="CN39" s="394" t="s">
        <v>752</v>
      </c>
      <c r="CO39" s="406"/>
      <c r="CP39" s="384"/>
      <c r="CQ39" s="385"/>
      <c r="CT39" s="384"/>
    </row>
    <row r="40" spans="1:98" x14ac:dyDescent="0.3">
      <c r="A40" s="380"/>
      <c r="B40" s="742" t="s">
        <v>753</v>
      </c>
      <c r="C40" s="738">
        <f>IF(AND(D40="",E40=""),"",IF(E40="",D40,E40))</f>
        <v>98</v>
      </c>
      <c r="D40" s="743">
        <f>IF(INDEX(40:40,$E$2)="","", INDEX(40:40, $E$2))</f>
        <v>98</v>
      </c>
      <c r="E40" s="740"/>
      <c r="F40" s="397"/>
      <c r="G40" s="96"/>
      <c r="L40" s="398" t="s">
        <v>713</v>
      </c>
      <c r="M40" s="415">
        <v>96</v>
      </c>
      <c r="N40" s="384"/>
      <c r="O40" s="399"/>
      <c r="P40" s="400"/>
      <c r="Q40" s="398" t="s">
        <v>713</v>
      </c>
      <c r="R40" s="415">
        <v>98</v>
      </c>
      <c r="S40" s="384"/>
      <c r="T40" s="399"/>
      <c r="U40" s="932"/>
      <c r="V40" s="398" t="s">
        <v>713</v>
      </c>
      <c r="W40" s="415">
        <v>96</v>
      </c>
      <c r="X40" s="384"/>
      <c r="Y40" s="399"/>
      <c r="Z40" s="932"/>
      <c r="AA40" s="398" t="s">
        <v>713</v>
      </c>
      <c r="AB40" s="415">
        <v>98</v>
      </c>
      <c r="AC40" s="384"/>
      <c r="AD40" s="399"/>
      <c r="AE40" s="400"/>
      <c r="AF40" s="398" t="s">
        <v>713</v>
      </c>
      <c r="AG40" s="415">
        <v>96</v>
      </c>
      <c r="AH40" s="384"/>
      <c r="AI40" s="399"/>
      <c r="AJ40" s="384"/>
      <c r="AK40" s="398" t="s">
        <v>713</v>
      </c>
      <c r="AL40" s="415">
        <v>98</v>
      </c>
      <c r="AM40" s="384"/>
      <c r="AN40" s="399"/>
      <c r="AO40" s="384"/>
      <c r="AP40" s="398" t="s">
        <v>713</v>
      </c>
      <c r="AQ40" s="415">
        <v>96</v>
      </c>
      <c r="AR40" s="384"/>
      <c r="AS40" s="399"/>
      <c r="AT40" s="384"/>
      <c r="AU40" s="398" t="s">
        <v>713</v>
      </c>
      <c r="AV40" s="415">
        <v>98</v>
      </c>
      <c r="AW40" s="384"/>
      <c r="AX40" s="399"/>
      <c r="AY40" s="384"/>
      <c r="AZ40" s="398" t="s">
        <v>713</v>
      </c>
      <c r="BA40" s="415">
        <v>96</v>
      </c>
      <c r="BB40" s="384"/>
      <c r="BC40" s="399"/>
      <c r="BD40" s="384"/>
      <c r="BE40" s="398" t="s">
        <v>713</v>
      </c>
      <c r="BF40" s="415">
        <v>98</v>
      </c>
      <c r="BG40" s="384"/>
      <c r="BH40" s="399"/>
      <c r="BI40" s="384"/>
      <c r="BJ40" s="398" t="s">
        <v>713</v>
      </c>
      <c r="BK40" s="415">
        <v>96</v>
      </c>
      <c r="BL40" s="384"/>
      <c r="BM40" s="399"/>
      <c r="BN40" s="384"/>
      <c r="BO40" s="398" t="s">
        <v>713</v>
      </c>
      <c r="BP40" s="415">
        <v>98</v>
      </c>
      <c r="BQ40" s="384"/>
      <c r="BR40" s="399"/>
      <c r="BS40" s="384"/>
      <c r="BT40" s="398" t="s">
        <v>713</v>
      </c>
      <c r="BU40" s="415">
        <v>96</v>
      </c>
      <c r="BV40" s="384"/>
      <c r="BW40" s="399"/>
      <c r="BX40" s="384"/>
      <c r="BY40" s="398" t="s">
        <v>713</v>
      </c>
      <c r="BZ40" s="415">
        <v>98</v>
      </c>
      <c r="CA40" s="384"/>
      <c r="CB40" s="399"/>
      <c r="CC40" s="384"/>
      <c r="CD40" s="398" t="s">
        <v>713</v>
      </c>
      <c r="CE40" s="415">
        <v>94</v>
      </c>
      <c r="CF40" s="928" t="s">
        <v>754</v>
      </c>
      <c r="CG40" s="399"/>
      <c r="CI40" s="398" t="s">
        <v>713</v>
      </c>
      <c r="CJ40" s="415">
        <v>96</v>
      </c>
      <c r="CK40" s="928" t="s">
        <v>754</v>
      </c>
      <c r="CL40" s="399"/>
      <c r="CN40" s="398" t="s">
        <v>713</v>
      </c>
      <c r="CO40" s="415">
        <v>96</v>
      </c>
      <c r="CP40" s="384"/>
      <c r="CQ40" s="399"/>
      <c r="CT40" s="400"/>
    </row>
    <row r="41" spans="1:98" x14ac:dyDescent="0.3">
      <c r="A41" s="380"/>
      <c r="B41" s="742" t="s">
        <v>755</v>
      </c>
      <c r="C41" s="738">
        <f>IF(AND(D41="",E41=""),"",IF(E41="",D41,E41))</f>
        <v>0</v>
      </c>
      <c r="D41" s="743">
        <f>IF(INDEX(41:41,$E$2)="","", INDEX(41:41, $E$2))</f>
        <v>0</v>
      </c>
      <c r="E41" s="740"/>
      <c r="F41" s="397"/>
      <c r="G41" s="381"/>
      <c r="L41" s="392" t="s">
        <v>716</v>
      </c>
      <c r="M41" s="415">
        <v>2</v>
      </c>
      <c r="N41" s="384"/>
      <c r="O41" s="399"/>
      <c r="P41" s="400"/>
      <c r="Q41" s="392" t="s">
        <v>716</v>
      </c>
      <c r="R41" s="415">
        <v>0</v>
      </c>
      <c r="S41" s="384"/>
      <c r="T41" s="399"/>
      <c r="U41" s="932"/>
      <c r="V41" s="392" t="s">
        <v>716</v>
      </c>
      <c r="W41" s="415">
        <v>2</v>
      </c>
      <c r="X41" s="384"/>
      <c r="Y41" s="399"/>
      <c r="Z41" s="932"/>
      <c r="AA41" s="392" t="s">
        <v>716</v>
      </c>
      <c r="AB41" s="415">
        <v>0</v>
      </c>
      <c r="AC41" s="384"/>
      <c r="AD41" s="399"/>
      <c r="AE41" s="400"/>
      <c r="AF41" s="392" t="s">
        <v>716</v>
      </c>
      <c r="AG41" s="415">
        <v>2</v>
      </c>
      <c r="AH41" s="384"/>
      <c r="AI41" s="399"/>
      <c r="AJ41" s="384"/>
      <c r="AK41" s="392" t="s">
        <v>716</v>
      </c>
      <c r="AL41" s="415">
        <v>0</v>
      </c>
      <c r="AM41" s="384"/>
      <c r="AN41" s="399"/>
      <c r="AO41" s="384"/>
      <c r="AP41" s="392" t="s">
        <v>716</v>
      </c>
      <c r="AQ41" s="415">
        <v>2</v>
      </c>
      <c r="AR41" s="384"/>
      <c r="AS41" s="399"/>
      <c r="AT41" s="384"/>
      <c r="AU41" s="392" t="s">
        <v>716</v>
      </c>
      <c r="AV41" s="415">
        <v>0</v>
      </c>
      <c r="AW41" s="384"/>
      <c r="AX41" s="399"/>
      <c r="AY41" s="384"/>
      <c r="AZ41" s="392" t="s">
        <v>716</v>
      </c>
      <c r="BA41" s="415">
        <v>2</v>
      </c>
      <c r="BB41" s="384"/>
      <c r="BC41" s="399"/>
      <c r="BD41" s="384"/>
      <c r="BE41" s="392" t="s">
        <v>716</v>
      </c>
      <c r="BF41" s="415">
        <v>0</v>
      </c>
      <c r="BG41" s="384"/>
      <c r="BH41" s="399"/>
      <c r="BI41" s="384"/>
      <c r="BJ41" s="392" t="s">
        <v>716</v>
      </c>
      <c r="BK41" s="415">
        <v>2</v>
      </c>
      <c r="BL41" s="384"/>
      <c r="BM41" s="399"/>
      <c r="BN41" s="384"/>
      <c r="BO41" s="392" t="s">
        <v>716</v>
      </c>
      <c r="BP41" s="415">
        <v>0</v>
      </c>
      <c r="BQ41" s="384"/>
      <c r="BR41" s="399"/>
      <c r="BS41" s="384"/>
      <c r="BT41" s="392" t="s">
        <v>716</v>
      </c>
      <c r="BU41" s="415">
        <v>2</v>
      </c>
      <c r="BV41" s="384"/>
      <c r="BW41" s="399"/>
      <c r="BX41" s="384"/>
      <c r="BY41" s="392" t="s">
        <v>716</v>
      </c>
      <c r="BZ41" s="415">
        <v>0</v>
      </c>
      <c r="CA41" s="384"/>
      <c r="CB41" s="399"/>
      <c r="CC41" s="384"/>
      <c r="CD41" s="392" t="s">
        <v>716</v>
      </c>
      <c r="CE41" s="415">
        <v>4</v>
      </c>
      <c r="CF41" s="384"/>
      <c r="CG41" s="399"/>
      <c r="CI41" s="392" t="s">
        <v>716</v>
      </c>
      <c r="CJ41" s="415">
        <v>2</v>
      </c>
      <c r="CK41" s="384"/>
      <c r="CL41" s="399"/>
      <c r="CN41" s="392" t="s">
        <v>716</v>
      </c>
      <c r="CO41" s="415">
        <v>2</v>
      </c>
      <c r="CP41" s="384"/>
      <c r="CQ41" s="399"/>
      <c r="CT41" s="400"/>
    </row>
    <row r="42" spans="1:98" x14ac:dyDescent="0.3">
      <c r="A42" s="380"/>
      <c r="B42" s="744" t="s">
        <v>756</v>
      </c>
      <c r="C42" s="738">
        <f>IF(AND(D42="",E42=""),"",IF(E42="",D42,E42))</f>
        <v>2</v>
      </c>
      <c r="D42" s="743">
        <f>IF(INDEX(42:42,$E$2)="","", INDEX(42:42, $E$2))</f>
        <v>2</v>
      </c>
      <c r="E42" s="740"/>
      <c r="F42" s="397"/>
      <c r="G42" s="381"/>
      <c r="L42" s="392" t="s">
        <v>719</v>
      </c>
      <c r="M42" s="415">
        <v>2</v>
      </c>
      <c r="N42" s="384"/>
      <c r="O42" s="399"/>
      <c r="P42" s="400"/>
      <c r="Q42" s="392" t="s">
        <v>719</v>
      </c>
      <c r="R42" s="415">
        <v>2</v>
      </c>
      <c r="S42" s="384"/>
      <c r="T42" s="399"/>
      <c r="U42" s="932"/>
      <c r="V42" s="392" t="s">
        <v>719</v>
      </c>
      <c r="W42" s="415">
        <v>2</v>
      </c>
      <c r="X42" s="384"/>
      <c r="Y42" s="399"/>
      <c r="Z42" s="932"/>
      <c r="AA42" s="392" t="s">
        <v>719</v>
      </c>
      <c r="AB42" s="415">
        <v>2</v>
      </c>
      <c r="AC42" s="384"/>
      <c r="AD42" s="399"/>
      <c r="AE42" s="400"/>
      <c r="AF42" s="392" t="s">
        <v>719</v>
      </c>
      <c r="AG42" s="415">
        <v>2</v>
      </c>
      <c r="AH42" s="384"/>
      <c r="AI42" s="399"/>
      <c r="AJ42" s="384"/>
      <c r="AK42" s="392" t="s">
        <v>719</v>
      </c>
      <c r="AL42" s="415">
        <v>2</v>
      </c>
      <c r="AM42" s="384"/>
      <c r="AN42" s="399"/>
      <c r="AO42" s="384"/>
      <c r="AP42" s="392" t="s">
        <v>719</v>
      </c>
      <c r="AQ42" s="415">
        <v>2</v>
      </c>
      <c r="AR42" s="384"/>
      <c r="AS42" s="399"/>
      <c r="AT42" s="384"/>
      <c r="AU42" s="392" t="s">
        <v>719</v>
      </c>
      <c r="AV42" s="415">
        <v>2</v>
      </c>
      <c r="AW42" s="384"/>
      <c r="AX42" s="399"/>
      <c r="AY42" s="384"/>
      <c r="AZ42" s="392" t="s">
        <v>719</v>
      </c>
      <c r="BA42" s="415">
        <v>2</v>
      </c>
      <c r="BB42" s="384"/>
      <c r="BC42" s="399"/>
      <c r="BD42" s="384"/>
      <c r="BE42" s="392" t="s">
        <v>719</v>
      </c>
      <c r="BF42" s="415">
        <v>2</v>
      </c>
      <c r="BG42" s="384"/>
      <c r="BH42" s="399"/>
      <c r="BI42" s="384"/>
      <c r="BJ42" s="392" t="s">
        <v>719</v>
      </c>
      <c r="BK42" s="415">
        <v>2</v>
      </c>
      <c r="BL42" s="384"/>
      <c r="BM42" s="399"/>
      <c r="BN42" s="384"/>
      <c r="BO42" s="392" t="s">
        <v>719</v>
      </c>
      <c r="BP42" s="415">
        <v>2</v>
      </c>
      <c r="BQ42" s="384"/>
      <c r="BR42" s="399"/>
      <c r="BS42" s="384"/>
      <c r="BT42" s="392" t="s">
        <v>719</v>
      </c>
      <c r="BU42" s="415">
        <v>2</v>
      </c>
      <c r="BV42" s="384"/>
      <c r="BW42" s="399"/>
      <c r="BX42" s="384"/>
      <c r="BY42" s="392" t="s">
        <v>719</v>
      </c>
      <c r="BZ42" s="415">
        <v>2</v>
      </c>
      <c r="CA42" s="384"/>
      <c r="CB42" s="399"/>
      <c r="CC42" s="384"/>
      <c r="CD42" s="392" t="s">
        <v>719</v>
      </c>
      <c r="CE42" s="415">
        <v>2</v>
      </c>
      <c r="CF42" s="384"/>
      <c r="CG42" s="399"/>
      <c r="CI42" s="392" t="s">
        <v>719</v>
      </c>
      <c r="CJ42" s="415">
        <v>2</v>
      </c>
      <c r="CK42" s="384"/>
      <c r="CL42" s="399"/>
      <c r="CN42" s="392" t="s">
        <v>719</v>
      </c>
      <c r="CO42" s="415">
        <v>2</v>
      </c>
      <c r="CP42" s="384"/>
      <c r="CQ42" s="399"/>
      <c r="CT42" s="400"/>
    </row>
    <row r="43" spans="1:98" x14ac:dyDescent="0.3">
      <c r="A43" s="380"/>
      <c r="B43" s="744" t="s">
        <v>757</v>
      </c>
      <c r="C43" s="738" t="str">
        <f>IF(AND(D43="",E43=""),"",IF(E43="",D43,E43))</f>
        <v>Water</v>
      </c>
      <c r="D43" s="743" t="str">
        <f>IF(INDEX(43:43,$E$2)="","", INDEX(43:43, $E$2))</f>
        <v>Water</v>
      </c>
      <c r="E43" s="740"/>
      <c r="F43" s="407"/>
      <c r="G43" s="381"/>
      <c r="L43" s="392" t="s">
        <v>721</v>
      </c>
      <c r="M43" s="415" t="s">
        <v>758</v>
      </c>
      <c r="N43" s="384"/>
      <c r="O43" s="385"/>
      <c r="Q43" s="392" t="s">
        <v>721</v>
      </c>
      <c r="R43" s="415" t="s">
        <v>758</v>
      </c>
      <c r="S43" s="384"/>
      <c r="T43" s="385"/>
      <c r="U43" s="932"/>
      <c r="V43" s="392" t="s">
        <v>721</v>
      </c>
      <c r="W43" s="415" t="s">
        <v>758</v>
      </c>
      <c r="X43" s="384"/>
      <c r="Y43" s="385"/>
      <c r="Z43" s="932"/>
      <c r="AA43" s="392" t="s">
        <v>721</v>
      </c>
      <c r="AB43" s="415" t="s">
        <v>758</v>
      </c>
      <c r="AC43" s="384"/>
      <c r="AD43" s="385"/>
      <c r="AE43" s="384"/>
      <c r="AF43" s="392" t="s">
        <v>721</v>
      </c>
      <c r="AG43" s="415" t="s">
        <v>758</v>
      </c>
      <c r="AH43" s="384"/>
      <c r="AI43" s="385"/>
      <c r="AJ43" s="384"/>
      <c r="AK43" s="392" t="s">
        <v>721</v>
      </c>
      <c r="AL43" s="415" t="s">
        <v>758</v>
      </c>
      <c r="AM43" s="384"/>
      <c r="AN43" s="385"/>
      <c r="AO43" s="384"/>
      <c r="AP43" s="392" t="s">
        <v>721</v>
      </c>
      <c r="AQ43" s="415" t="s">
        <v>758</v>
      </c>
      <c r="AR43" s="384"/>
      <c r="AS43" s="385"/>
      <c r="AT43" s="384"/>
      <c r="AU43" s="392" t="s">
        <v>721</v>
      </c>
      <c r="AV43" s="415" t="s">
        <v>758</v>
      </c>
      <c r="AW43" s="384"/>
      <c r="AX43" s="385"/>
      <c r="AY43" s="384"/>
      <c r="AZ43" s="392" t="s">
        <v>721</v>
      </c>
      <c r="BA43" s="415" t="s">
        <v>758</v>
      </c>
      <c r="BB43" s="384"/>
      <c r="BC43" s="385"/>
      <c r="BD43" s="384"/>
      <c r="BE43" s="392" t="s">
        <v>721</v>
      </c>
      <c r="BF43" s="415" t="s">
        <v>758</v>
      </c>
      <c r="BG43" s="384"/>
      <c r="BH43" s="385"/>
      <c r="BI43" s="384"/>
      <c r="BJ43" s="392" t="s">
        <v>721</v>
      </c>
      <c r="BK43" s="415" t="s">
        <v>758</v>
      </c>
      <c r="BL43" s="384"/>
      <c r="BM43" s="385"/>
      <c r="BN43" s="384"/>
      <c r="BO43" s="392" t="s">
        <v>721</v>
      </c>
      <c r="BP43" s="415" t="s">
        <v>758</v>
      </c>
      <c r="BQ43" s="384"/>
      <c r="BR43" s="385"/>
      <c r="BS43" s="384"/>
      <c r="BT43" s="392" t="s">
        <v>721</v>
      </c>
      <c r="BU43" s="415" t="s">
        <v>758</v>
      </c>
      <c r="BV43" s="384"/>
      <c r="BW43" s="385"/>
      <c r="BX43" s="384"/>
      <c r="BY43" s="392" t="s">
        <v>721</v>
      </c>
      <c r="BZ43" s="415" t="s">
        <v>758</v>
      </c>
      <c r="CA43" s="384"/>
      <c r="CB43" s="385"/>
      <c r="CC43" s="384"/>
      <c r="CD43" s="392" t="s">
        <v>721</v>
      </c>
      <c r="CE43" s="415" t="s">
        <v>722</v>
      </c>
      <c r="CF43" s="384"/>
      <c r="CG43" s="385"/>
      <c r="CI43" s="392" t="s">
        <v>721</v>
      </c>
      <c r="CJ43" s="415" t="s">
        <v>722</v>
      </c>
      <c r="CK43" s="384"/>
      <c r="CL43" s="385"/>
      <c r="CN43" s="392" t="s">
        <v>721</v>
      </c>
      <c r="CO43" s="415" t="s">
        <v>758</v>
      </c>
      <c r="CP43" s="384"/>
      <c r="CQ43" s="385"/>
      <c r="CT43" s="384"/>
    </row>
    <row r="44" spans="1:98" x14ac:dyDescent="0.3">
      <c r="A44" s="380"/>
      <c r="B44" s="744"/>
      <c r="C44" s="750"/>
      <c r="D44" s="743"/>
      <c r="E44" s="740"/>
      <c r="F44" s="402"/>
      <c r="G44" s="381"/>
      <c r="L44" s="401"/>
      <c r="M44" s="393"/>
      <c r="N44" s="405"/>
      <c r="O44" s="404"/>
      <c r="P44" s="405"/>
      <c r="Q44" s="401"/>
      <c r="R44" s="393"/>
      <c r="S44" s="405"/>
      <c r="T44" s="404"/>
      <c r="U44" s="932"/>
      <c r="V44" s="401"/>
      <c r="W44" s="393"/>
      <c r="X44" s="405"/>
      <c r="Y44" s="404"/>
      <c r="Z44" s="932"/>
      <c r="AA44" s="401"/>
      <c r="AB44" s="393"/>
      <c r="AC44" s="405"/>
      <c r="AD44" s="404"/>
      <c r="AE44" s="405"/>
      <c r="AF44" s="401"/>
      <c r="AG44" s="393"/>
      <c r="AH44" s="405"/>
      <c r="AI44" s="404"/>
      <c r="AJ44" s="384"/>
      <c r="AK44" s="401"/>
      <c r="AL44" s="393"/>
      <c r="AM44" s="405"/>
      <c r="AN44" s="404"/>
      <c r="AO44" s="384"/>
      <c r="AP44" s="401"/>
      <c r="AQ44" s="393"/>
      <c r="AR44" s="405"/>
      <c r="AS44" s="404"/>
      <c r="AT44" s="384"/>
      <c r="AU44" s="401"/>
      <c r="AV44" s="393"/>
      <c r="AW44" s="405"/>
      <c r="AX44" s="404"/>
      <c r="AY44" s="384"/>
      <c r="AZ44" s="401"/>
      <c r="BA44" s="393"/>
      <c r="BB44" s="405"/>
      <c r="BC44" s="404"/>
      <c r="BD44" s="384"/>
      <c r="BE44" s="401"/>
      <c r="BF44" s="393"/>
      <c r="BG44" s="405"/>
      <c r="BH44" s="404"/>
      <c r="BI44" s="384"/>
      <c r="BJ44" s="401"/>
      <c r="BK44" s="393"/>
      <c r="BL44" s="405"/>
      <c r="BM44" s="404"/>
      <c r="BN44" s="384"/>
      <c r="BO44" s="401"/>
      <c r="BP44" s="393"/>
      <c r="BQ44" s="405"/>
      <c r="BR44" s="404"/>
      <c r="BS44" s="384"/>
      <c r="BT44" s="401"/>
      <c r="BU44" s="393"/>
      <c r="BV44" s="405"/>
      <c r="BW44" s="404"/>
      <c r="BX44" s="384"/>
      <c r="BY44" s="401"/>
      <c r="BZ44" s="393"/>
      <c r="CA44" s="405"/>
      <c r="CB44" s="404"/>
      <c r="CC44" s="384"/>
      <c r="CD44" s="401"/>
      <c r="CE44" s="393"/>
      <c r="CF44" s="405"/>
      <c r="CG44" s="404"/>
      <c r="CI44" s="401"/>
      <c r="CJ44" s="393"/>
      <c r="CK44" s="405"/>
      <c r="CL44" s="404"/>
      <c r="CN44" s="401"/>
      <c r="CO44" s="393"/>
      <c r="CP44" s="405"/>
      <c r="CQ44" s="404"/>
      <c r="CT44" s="405"/>
    </row>
    <row r="45" spans="1:98" ht="16.5" x14ac:dyDescent="0.35">
      <c r="A45" s="380"/>
      <c r="B45" s="771" t="s">
        <v>759</v>
      </c>
      <c r="C45" s="738" t="str">
        <f>IF(AND(D45="",E45=""),"",IF(E45="",D45,E45))</f>
        <v/>
      </c>
      <c r="D45" s="743" t="str">
        <f>IF(INDEX(45:45,$E$2)="","", INDEX(45:45, $E$2))</f>
        <v/>
      </c>
      <c r="E45" s="740"/>
      <c r="F45" s="402"/>
      <c r="G45" s="381"/>
      <c r="L45" s="394" t="s">
        <v>760</v>
      </c>
      <c r="M45" s="406"/>
      <c r="N45" s="405"/>
      <c r="O45" s="404"/>
      <c r="P45" s="405"/>
      <c r="Q45" s="394" t="s">
        <v>760</v>
      </c>
      <c r="R45" s="406"/>
      <c r="S45" s="405"/>
      <c r="T45" s="404"/>
      <c r="U45" s="932"/>
      <c r="V45" s="394" t="s">
        <v>760</v>
      </c>
      <c r="W45" s="406"/>
      <c r="X45" s="405"/>
      <c r="Y45" s="404"/>
      <c r="Z45" s="932"/>
      <c r="AA45" s="394" t="s">
        <v>760</v>
      </c>
      <c r="AB45" s="406"/>
      <c r="AC45" s="405"/>
      <c r="AD45" s="404"/>
      <c r="AE45" s="405"/>
      <c r="AF45" s="394" t="s">
        <v>760</v>
      </c>
      <c r="AG45" s="406"/>
      <c r="AH45" s="405"/>
      <c r="AI45" s="404"/>
      <c r="AJ45" s="384"/>
      <c r="AK45" s="394" t="s">
        <v>760</v>
      </c>
      <c r="AL45" s="406"/>
      <c r="AM45" s="405"/>
      <c r="AN45" s="404"/>
      <c r="AO45" s="384"/>
      <c r="AP45" s="394" t="s">
        <v>760</v>
      </c>
      <c r="AQ45" s="406"/>
      <c r="AR45" s="405"/>
      <c r="AS45" s="404"/>
      <c r="AT45" s="384"/>
      <c r="AU45" s="394" t="s">
        <v>760</v>
      </c>
      <c r="AV45" s="406"/>
      <c r="AW45" s="405"/>
      <c r="AX45" s="404"/>
      <c r="AY45" s="384"/>
      <c r="AZ45" s="394" t="s">
        <v>760</v>
      </c>
      <c r="BA45" s="406"/>
      <c r="BB45" s="405"/>
      <c r="BC45" s="404"/>
      <c r="BD45" s="384"/>
      <c r="BE45" s="394" t="s">
        <v>760</v>
      </c>
      <c r="BF45" s="406"/>
      <c r="BG45" s="405"/>
      <c r="BH45" s="404"/>
      <c r="BI45" s="384"/>
      <c r="BJ45" s="394" t="s">
        <v>760</v>
      </c>
      <c r="BK45" s="406"/>
      <c r="BL45" s="405"/>
      <c r="BM45" s="404"/>
      <c r="BN45" s="384"/>
      <c r="BO45" s="394" t="s">
        <v>760</v>
      </c>
      <c r="BP45" s="406"/>
      <c r="BQ45" s="405"/>
      <c r="BR45" s="404"/>
      <c r="BS45" s="384"/>
      <c r="BT45" s="394" t="s">
        <v>760</v>
      </c>
      <c r="BU45" s="406"/>
      <c r="BV45" s="405"/>
      <c r="BW45" s="404"/>
      <c r="BX45" s="384"/>
      <c r="BY45" s="394" t="s">
        <v>760</v>
      </c>
      <c r="BZ45" s="406"/>
      <c r="CA45" s="405"/>
      <c r="CB45" s="404"/>
      <c r="CC45" s="384"/>
      <c r="CD45" s="394" t="s">
        <v>760</v>
      </c>
      <c r="CE45" s="406"/>
      <c r="CF45" s="405"/>
      <c r="CG45" s="404"/>
      <c r="CI45" s="394" t="s">
        <v>760</v>
      </c>
      <c r="CJ45" s="406"/>
      <c r="CK45" s="405"/>
      <c r="CL45" s="404"/>
      <c r="CN45" s="394" t="s">
        <v>760</v>
      </c>
      <c r="CO45" s="406"/>
      <c r="CP45" s="405"/>
      <c r="CQ45" s="404"/>
      <c r="CT45" s="405"/>
    </row>
    <row r="46" spans="1:98" x14ac:dyDescent="0.3">
      <c r="A46" s="380"/>
      <c r="B46" s="744" t="s">
        <v>761</v>
      </c>
      <c r="C46" s="749">
        <f>IF(AND(D46="",E46=""),"",IF(E46="",D46,E46))</f>
        <v>2.2400000000000002</v>
      </c>
      <c r="D46" s="739">
        <f>IF(INDEX(46:46,$E$2)="","", INDEX(46:46, $E$2))</f>
        <v>2.2400000000000002</v>
      </c>
      <c r="E46" s="740"/>
      <c r="F46" s="402"/>
      <c r="G46" s="381"/>
      <c r="L46" s="398" t="s">
        <v>696</v>
      </c>
      <c r="M46" s="390">
        <v>2.2400000000000002</v>
      </c>
      <c r="N46" s="405"/>
      <c r="O46" s="404"/>
      <c r="P46" s="405"/>
      <c r="Q46" s="398" t="s">
        <v>696</v>
      </c>
      <c r="R46" s="390">
        <v>2.2400000000000002</v>
      </c>
      <c r="S46" s="405"/>
      <c r="T46" s="404"/>
      <c r="U46" s="932"/>
      <c r="V46" s="398" t="s">
        <v>696</v>
      </c>
      <c r="W46" s="786">
        <v>2.2400000000000002</v>
      </c>
      <c r="X46" s="405"/>
      <c r="Y46" s="404"/>
      <c r="Z46" s="932"/>
      <c r="AA46" s="398" t="s">
        <v>696</v>
      </c>
      <c r="AB46" s="786">
        <v>2.2400000000000002</v>
      </c>
      <c r="AC46" s="405"/>
      <c r="AD46" s="404"/>
      <c r="AE46" s="405"/>
      <c r="AF46" s="398" t="s">
        <v>696</v>
      </c>
      <c r="AG46" s="390">
        <v>2.2400000000000002</v>
      </c>
      <c r="AH46" s="405"/>
      <c r="AI46" s="404"/>
      <c r="AJ46" s="384"/>
      <c r="AK46" s="398" t="s">
        <v>696</v>
      </c>
      <c r="AL46" s="390">
        <v>2.2400000000000002</v>
      </c>
      <c r="AM46" s="405"/>
      <c r="AN46" s="404"/>
      <c r="AO46" s="384"/>
      <c r="AP46" s="398" t="s">
        <v>696</v>
      </c>
      <c r="AQ46" s="390">
        <v>2.2400000000000002</v>
      </c>
      <c r="AR46" s="405"/>
      <c r="AS46" s="404"/>
      <c r="AT46" s="384"/>
      <c r="AU46" s="398" t="s">
        <v>696</v>
      </c>
      <c r="AV46" s="390">
        <v>2.2400000000000002</v>
      </c>
      <c r="AW46" s="405"/>
      <c r="AX46" s="404"/>
      <c r="AY46" s="384"/>
      <c r="AZ46" s="398" t="s">
        <v>696</v>
      </c>
      <c r="BA46" s="390">
        <v>2.2400000000000002</v>
      </c>
      <c r="BB46" s="405"/>
      <c r="BC46" s="404"/>
      <c r="BD46" s="384"/>
      <c r="BE46" s="398" t="s">
        <v>696</v>
      </c>
      <c r="BF46" s="390">
        <v>2.2400000000000002</v>
      </c>
      <c r="BG46" s="405"/>
      <c r="BH46" s="404"/>
      <c r="BI46" s="384"/>
      <c r="BJ46" s="398" t="s">
        <v>696</v>
      </c>
      <c r="BK46" s="390">
        <v>2.2400000000000002</v>
      </c>
      <c r="BL46" s="405"/>
      <c r="BM46" s="404"/>
      <c r="BN46" s="384"/>
      <c r="BO46" s="398" t="s">
        <v>696</v>
      </c>
      <c r="BP46" s="390">
        <v>2.2400000000000002</v>
      </c>
      <c r="BQ46" s="405"/>
      <c r="BR46" s="404"/>
      <c r="BS46" s="384"/>
      <c r="BT46" s="398" t="s">
        <v>696</v>
      </c>
      <c r="BU46" s="390">
        <v>2.2400000000000002</v>
      </c>
      <c r="BV46" s="405"/>
      <c r="BW46" s="404"/>
      <c r="BX46" s="384"/>
      <c r="BY46" s="398" t="s">
        <v>696</v>
      </c>
      <c r="BZ46" s="390">
        <v>2.2400000000000002</v>
      </c>
      <c r="CA46" s="405"/>
      <c r="CB46" s="404"/>
      <c r="CC46" s="384"/>
      <c r="CD46" s="398" t="s">
        <v>696</v>
      </c>
      <c r="CE46" s="390">
        <v>3.4</v>
      </c>
      <c r="CF46" s="405"/>
      <c r="CG46" s="404"/>
      <c r="CI46" s="398" t="s">
        <v>696</v>
      </c>
      <c r="CJ46" s="390">
        <v>3.4</v>
      </c>
      <c r="CK46" s="405"/>
      <c r="CL46" s="404"/>
      <c r="CN46" s="398" t="s">
        <v>696</v>
      </c>
      <c r="CO46" s="390">
        <v>2.2400000000000002</v>
      </c>
      <c r="CP46" s="405"/>
      <c r="CQ46" s="404"/>
      <c r="CT46" s="405"/>
    </row>
    <row r="47" spans="1:98" x14ac:dyDescent="0.3">
      <c r="A47" s="380"/>
      <c r="B47" s="744" t="s">
        <v>762</v>
      </c>
      <c r="C47" s="749">
        <f>IF(AND(D47="",E47=""),"",IF(E47="",D47,E47))</f>
        <v>1.95</v>
      </c>
      <c r="D47" s="739">
        <f>IF(INDEX(47:47,$E$2)="","", INDEX(47:47, $E$2))</f>
        <v>1.95</v>
      </c>
      <c r="E47" s="740"/>
      <c r="F47" s="402"/>
      <c r="G47" s="381"/>
      <c r="L47" s="392" t="s">
        <v>727</v>
      </c>
      <c r="M47" s="390">
        <v>1.95</v>
      </c>
      <c r="N47" s="405"/>
      <c r="O47" s="404"/>
      <c r="P47" s="405"/>
      <c r="Q47" s="392" t="s">
        <v>727</v>
      </c>
      <c r="R47" s="390">
        <v>1.95</v>
      </c>
      <c r="S47" s="405"/>
      <c r="T47" s="404"/>
      <c r="U47" s="932"/>
      <c r="V47" s="392" t="s">
        <v>727</v>
      </c>
      <c r="W47" s="786">
        <v>1.95</v>
      </c>
      <c r="X47" s="405"/>
      <c r="Y47" s="404"/>
      <c r="Z47" s="932"/>
      <c r="AA47" s="392" t="s">
        <v>727</v>
      </c>
      <c r="AB47" s="786">
        <v>1.95</v>
      </c>
      <c r="AC47" s="405"/>
      <c r="AD47" s="404"/>
      <c r="AE47" s="405"/>
      <c r="AF47" s="392" t="s">
        <v>727</v>
      </c>
      <c r="AG47" s="390">
        <v>1.95</v>
      </c>
      <c r="AH47" s="405"/>
      <c r="AI47" s="404"/>
      <c r="AJ47" s="384"/>
      <c r="AK47" s="392" t="s">
        <v>727</v>
      </c>
      <c r="AL47" s="390">
        <v>1.95</v>
      </c>
      <c r="AM47" s="405"/>
      <c r="AN47" s="404"/>
      <c r="AO47" s="384"/>
      <c r="AP47" s="392" t="s">
        <v>727</v>
      </c>
      <c r="AQ47" s="390">
        <v>1.95</v>
      </c>
      <c r="AR47" s="405"/>
      <c r="AS47" s="404"/>
      <c r="AT47" s="384"/>
      <c r="AU47" s="392" t="s">
        <v>727</v>
      </c>
      <c r="AV47" s="390">
        <v>1.95</v>
      </c>
      <c r="AW47" s="405"/>
      <c r="AX47" s="404"/>
      <c r="AY47" s="384"/>
      <c r="AZ47" s="392" t="s">
        <v>727</v>
      </c>
      <c r="BA47" s="390">
        <v>1.95</v>
      </c>
      <c r="BB47" s="405"/>
      <c r="BC47" s="404"/>
      <c r="BD47" s="384"/>
      <c r="BE47" s="392" t="s">
        <v>727</v>
      </c>
      <c r="BF47" s="390">
        <v>1.95</v>
      </c>
      <c r="BG47" s="405"/>
      <c r="BH47" s="404"/>
      <c r="BI47" s="384"/>
      <c r="BJ47" s="392" t="s">
        <v>727</v>
      </c>
      <c r="BK47" s="390">
        <v>1.95</v>
      </c>
      <c r="BL47" s="405"/>
      <c r="BM47" s="404"/>
      <c r="BN47" s="384"/>
      <c r="BO47" s="392" t="s">
        <v>727</v>
      </c>
      <c r="BP47" s="390">
        <v>1.95</v>
      </c>
      <c r="BQ47" s="405"/>
      <c r="BR47" s="404"/>
      <c r="BS47" s="384"/>
      <c r="BT47" s="392" t="s">
        <v>727</v>
      </c>
      <c r="BU47" s="390">
        <v>1.95</v>
      </c>
      <c r="BV47" s="405"/>
      <c r="BW47" s="404"/>
      <c r="BX47" s="384"/>
      <c r="BY47" s="392" t="s">
        <v>727</v>
      </c>
      <c r="BZ47" s="390">
        <v>1.95</v>
      </c>
      <c r="CA47" s="405"/>
      <c r="CB47" s="404"/>
      <c r="CC47" s="384"/>
      <c r="CD47" s="392" t="s">
        <v>727</v>
      </c>
      <c r="CE47" s="390">
        <v>1.95</v>
      </c>
      <c r="CF47" s="405"/>
      <c r="CG47" s="404"/>
      <c r="CI47" s="392" t="s">
        <v>727</v>
      </c>
      <c r="CJ47" s="390">
        <v>1.95</v>
      </c>
      <c r="CK47" s="405"/>
      <c r="CL47" s="404"/>
      <c r="CN47" s="392" t="s">
        <v>727</v>
      </c>
      <c r="CO47" s="390">
        <v>1.95</v>
      </c>
      <c r="CP47" s="405"/>
      <c r="CQ47" s="404"/>
      <c r="CT47" s="405"/>
    </row>
    <row r="48" spans="1:98" x14ac:dyDescent="0.3">
      <c r="A48" s="380"/>
      <c r="B48" s="744" t="s">
        <v>763</v>
      </c>
      <c r="C48" s="749">
        <f>IF(AND(D48="",E48=""),"",IF(E48="",D48,E48))</f>
        <v>1.1000000000000001</v>
      </c>
      <c r="D48" s="739">
        <f>IF(INDEX(48:48,$E$2)="","", INDEX(48:48, $E$2))</f>
        <v>1.1000000000000001</v>
      </c>
      <c r="E48" s="740"/>
      <c r="F48" s="402"/>
      <c r="G48" s="381"/>
      <c r="L48" s="392" t="s">
        <v>729</v>
      </c>
      <c r="M48" s="390">
        <v>1.1000000000000001</v>
      </c>
      <c r="N48" s="416"/>
      <c r="O48" s="404"/>
      <c r="P48" s="405"/>
      <c r="Q48" s="392" t="s">
        <v>729</v>
      </c>
      <c r="R48" s="390">
        <v>1.1000000000000001</v>
      </c>
      <c r="S48" s="416"/>
      <c r="T48" s="404"/>
      <c r="U48" s="932"/>
      <c r="V48" s="392" t="s">
        <v>729</v>
      </c>
      <c r="W48" s="786">
        <v>1.1000000000000001</v>
      </c>
      <c r="X48" s="416"/>
      <c r="Y48" s="404"/>
      <c r="Z48" s="932"/>
      <c r="AA48" s="392" t="s">
        <v>729</v>
      </c>
      <c r="AB48" s="786">
        <v>1.1000000000000001</v>
      </c>
      <c r="AC48" s="416"/>
      <c r="AD48" s="404"/>
      <c r="AE48" s="405"/>
      <c r="AF48" s="392" t="s">
        <v>729</v>
      </c>
      <c r="AG48" s="390">
        <v>1.1000000000000001</v>
      </c>
      <c r="AH48" s="416"/>
      <c r="AI48" s="404"/>
      <c r="AJ48" s="384"/>
      <c r="AK48" s="392" t="s">
        <v>729</v>
      </c>
      <c r="AL48" s="390">
        <v>1.1000000000000001</v>
      </c>
      <c r="AM48" s="416"/>
      <c r="AN48" s="404"/>
      <c r="AO48" s="384"/>
      <c r="AP48" s="392" t="s">
        <v>729</v>
      </c>
      <c r="AQ48" s="390">
        <v>1.1000000000000001</v>
      </c>
      <c r="AR48" s="416"/>
      <c r="AS48" s="404"/>
      <c r="AT48" s="384"/>
      <c r="AU48" s="392" t="s">
        <v>729</v>
      </c>
      <c r="AV48" s="390">
        <v>1.1000000000000001</v>
      </c>
      <c r="AW48" s="416"/>
      <c r="AX48" s="404"/>
      <c r="AY48" s="384"/>
      <c r="AZ48" s="392" t="s">
        <v>729</v>
      </c>
      <c r="BA48" s="390">
        <v>1.1000000000000001</v>
      </c>
      <c r="BB48" s="416"/>
      <c r="BC48" s="404"/>
      <c r="BD48" s="384"/>
      <c r="BE48" s="392" t="s">
        <v>729</v>
      </c>
      <c r="BF48" s="390">
        <v>1.1000000000000001</v>
      </c>
      <c r="BG48" s="416"/>
      <c r="BH48" s="404"/>
      <c r="BI48" s="384"/>
      <c r="BJ48" s="392" t="s">
        <v>729</v>
      </c>
      <c r="BK48" s="390">
        <v>1.1000000000000001</v>
      </c>
      <c r="BL48" s="416"/>
      <c r="BM48" s="404"/>
      <c r="BN48" s="384"/>
      <c r="BO48" s="392" t="s">
        <v>729</v>
      </c>
      <c r="BP48" s="390">
        <v>1.1000000000000001</v>
      </c>
      <c r="BQ48" s="416"/>
      <c r="BR48" s="404"/>
      <c r="BS48" s="384"/>
      <c r="BT48" s="392" t="s">
        <v>729</v>
      </c>
      <c r="BU48" s="390">
        <v>1.1000000000000001</v>
      </c>
      <c r="BV48" s="416"/>
      <c r="BW48" s="404"/>
      <c r="BX48" s="384"/>
      <c r="BY48" s="392" t="s">
        <v>729</v>
      </c>
      <c r="BZ48" s="390">
        <v>1.1000000000000001</v>
      </c>
      <c r="CA48" s="416"/>
      <c r="CB48" s="404"/>
      <c r="CC48" s="384"/>
      <c r="CD48" s="392" t="s">
        <v>729</v>
      </c>
      <c r="CE48" s="390">
        <v>1.1000000000000001</v>
      </c>
      <c r="CF48" s="416"/>
      <c r="CG48" s="404"/>
      <c r="CI48" s="392" t="s">
        <v>729</v>
      </c>
      <c r="CJ48" s="390">
        <v>1.1000000000000001</v>
      </c>
      <c r="CK48" s="416"/>
      <c r="CL48" s="404"/>
      <c r="CN48" s="392" t="s">
        <v>729</v>
      </c>
      <c r="CO48" s="390">
        <v>1.1000000000000001</v>
      </c>
      <c r="CP48" s="416"/>
      <c r="CQ48" s="404"/>
      <c r="CT48" s="405"/>
    </row>
    <row r="49" spans="1:98" x14ac:dyDescent="0.3">
      <c r="A49" s="380"/>
      <c r="B49" s="744"/>
      <c r="C49" s="750"/>
      <c r="D49" s="743"/>
      <c r="E49" s="740"/>
      <c r="F49" s="402"/>
      <c r="G49" s="381"/>
      <c r="L49" s="401"/>
      <c r="M49" s="393"/>
      <c r="N49" s="405"/>
      <c r="O49" s="404"/>
      <c r="P49" s="405"/>
      <c r="Q49" s="401"/>
      <c r="R49" s="393"/>
      <c r="S49" s="405"/>
      <c r="T49" s="404"/>
      <c r="U49" s="932"/>
      <c r="V49" s="401"/>
      <c r="W49" s="393"/>
      <c r="X49" s="405"/>
      <c r="Y49" s="404"/>
      <c r="Z49" s="932"/>
      <c r="AA49" s="401"/>
      <c r="AB49" s="393"/>
      <c r="AC49" s="405"/>
      <c r="AD49" s="404"/>
      <c r="AE49" s="405"/>
      <c r="AF49" s="401"/>
      <c r="AG49" s="393"/>
      <c r="AH49" s="405"/>
      <c r="AI49" s="404"/>
      <c r="AJ49" s="384"/>
      <c r="AK49" s="401"/>
      <c r="AL49" s="393"/>
      <c r="AM49" s="405"/>
      <c r="AN49" s="404"/>
      <c r="AO49" s="384"/>
      <c r="AP49" s="401"/>
      <c r="AQ49" s="393"/>
      <c r="AR49" s="405"/>
      <c r="AS49" s="404"/>
      <c r="AT49" s="384"/>
      <c r="AU49" s="401"/>
      <c r="AV49" s="393"/>
      <c r="AW49" s="405"/>
      <c r="AX49" s="404"/>
      <c r="AY49" s="384"/>
      <c r="AZ49" s="401"/>
      <c r="BA49" s="393"/>
      <c r="BB49" s="405"/>
      <c r="BC49" s="404"/>
      <c r="BD49" s="384"/>
      <c r="BE49" s="401"/>
      <c r="BF49" s="393"/>
      <c r="BG49" s="405"/>
      <c r="BH49" s="404"/>
      <c r="BI49" s="384"/>
      <c r="BJ49" s="401"/>
      <c r="BK49" s="393"/>
      <c r="BL49" s="405"/>
      <c r="BM49" s="404"/>
      <c r="BN49" s="384"/>
      <c r="BO49" s="401"/>
      <c r="BP49" s="393"/>
      <c r="BQ49" s="405"/>
      <c r="BR49" s="404"/>
      <c r="BS49" s="384"/>
      <c r="BT49" s="401"/>
      <c r="BU49" s="393"/>
      <c r="BV49" s="405"/>
      <c r="BW49" s="404"/>
      <c r="BX49" s="384"/>
      <c r="BY49" s="401"/>
      <c r="BZ49" s="393"/>
      <c r="CA49" s="405"/>
      <c r="CB49" s="404"/>
      <c r="CC49" s="384"/>
      <c r="CD49" s="401"/>
      <c r="CE49" s="393"/>
      <c r="CF49" s="405"/>
      <c r="CG49" s="404"/>
      <c r="CI49" s="401"/>
      <c r="CJ49" s="393"/>
      <c r="CK49" s="405"/>
      <c r="CL49" s="404"/>
      <c r="CN49" s="401"/>
      <c r="CO49" s="393"/>
      <c r="CP49" s="405"/>
      <c r="CQ49" s="404"/>
      <c r="CT49" s="405"/>
    </row>
    <row r="50" spans="1:98" ht="15.5" x14ac:dyDescent="0.35">
      <c r="A50" s="380"/>
      <c r="B50" s="770" t="s">
        <v>764</v>
      </c>
      <c r="C50" s="750"/>
      <c r="D50" s="743"/>
      <c r="E50" s="740"/>
      <c r="F50" s="402"/>
      <c r="G50" s="381"/>
      <c r="L50" s="394" t="s">
        <v>764</v>
      </c>
      <c r="M50" s="393"/>
      <c r="N50" s="405"/>
      <c r="O50" s="404"/>
      <c r="P50" s="405"/>
      <c r="Q50" s="394" t="s">
        <v>764</v>
      </c>
      <c r="R50" s="393"/>
      <c r="S50" s="405"/>
      <c r="T50" s="404"/>
      <c r="U50" s="932"/>
      <c r="V50" s="394" t="s">
        <v>764</v>
      </c>
      <c r="W50" s="393"/>
      <c r="X50" s="405"/>
      <c r="Y50" s="404"/>
      <c r="Z50" s="932"/>
      <c r="AA50" s="394" t="s">
        <v>764</v>
      </c>
      <c r="AB50" s="393"/>
      <c r="AC50" s="405"/>
      <c r="AD50" s="404"/>
      <c r="AE50" s="405"/>
      <c r="AF50" s="394" t="s">
        <v>764</v>
      </c>
      <c r="AG50" s="393"/>
      <c r="AH50" s="405"/>
      <c r="AI50" s="404"/>
      <c r="AJ50" s="384"/>
      <c r="AK50" s="394" t="s">
        <v>764</v>
      </c>
      <c r="AL50" s="393"/>
      <c r="AM50" s="405"/>
      <c r="AN50" s="404"/>
      <c r="AO50" s="384"/>
      <c r="AP50" s="394" t="s">
        <v>764</v>
      </c>
      <c r="AQ50" s="393"/>
      <c r="AR50" s="405"/>
      <c r="AS50" s="404"/>
      <c r="AT50" s="384"/>
      <c r="AU50" s="394" t="s">
        <v>764</v>
      </c>
      <c r="AV50" s="393"/>
      <c r="AW50" s="405"/>
      <c r="AX50" s="404"/>
      <c r="AY50" s="384"/>
      <c r="AZ50" s="394" t="s">
        <v>764</v>
      </c>
      <c r="BA50" s="393"/>
      <c r="BB50" s="405"/>
      <c r="BC50" s="404"/>
      <c r="BD50" s="384"/>
      <c r="BE50" s="394" t="s">
        <v>764</v>
      </c>
      <c r="BF50" s="393"/>
      <c r="BG50" s="405"/>
      <c r="BH50" s="404"/>
      <c r="BI50" s="384"/>
      <c r="BJ50" s="394" t="s">
        <v>764</v>
      </c>
      <c r="BK50" s="393"/>
      <c r="BL50" s="405"/>
      <c r="BM50" s="404"/>
      <c r="BN50" s="384"/>
      <c r="BO50" s="394" t="s">
        <v>764</v>
      </c>
      <c r="BP50" s="393"/>
      <c r="BQ50" s="405"/>
      <c r="BR50" s="404"/>
      <c r="BS50" s="384"/>
      <c r="BT50" s="394" t="s">
        <v>764</v>
      </c>
      <c r="BU50" s="393"/>
      <c r="BV50" s="405"/>
      <c r="BW50" s="404"/>
      <c r="BX50" s="384"/>
      <c r="BY50" s="394" t="s">
        <v>764</v>
      </c>
      <c r="BZ50" s="393"/>
      <c r="CA50" s="405"/>
      <c r="CB50" s="404"/>
      <c r="CC50" s="384"/>
      <c r="CD50" s="394" t="s">
        <v>764</v>
      </c>
      <c r="CE50" s="393"/>
      <c r="CF50" s="405"/>
      <c r="CG50" s="404"/>
      <c r="CI50" s="394" t="s">
        <v>764</v>
      </c>
      <c r="CJ50" s="393"/>
      <c r="CK50" s="405"/>
      <c r="CL50" s="404"/>
      <c r="CN50" s="394" t="s">
        <v>764</v>
      </c>
      <c r="CO50" s="393"/>
      <c r="CP50" s="405"/>
      <c r="CQ50" s="404"/>
      <c r="CT50" s="405"/>
    </row>
    <row r="51" spans="1:98" x14ac:dyDescent="0.3">
      <c r="A51" s="380"/>
      <c r="B51" s="744" t="s">
        <v>765</v>
      </c>
      <c r="C51" s="750">
        <f>IF(NOT(Dashboard!E23=""),Dashboard!E23,IF(AND(D51="",E51=""),"",IF(E51="",D51,E51)))</f>
        <v>25</v>
      </c>
      <c r="D51" s="743">
        <f>IF(INDEX(51:51,$E$2)="","", INDEX(51:51, $E$2))</f>
        <v>25</v>
      </c>
      <c r="E51" s="740"/>
      <c r="F51" s="402"/>
      <c r="G51" s="381"/>
      <c r="L51" s="392" t="s">
        <v>766</v>
      </c>
      <c r="M51" s="393">
        <v>35</v>
      </c>
      <c r="N51" s="405"/>
      <c r="O51" s="404"/>
      <c r="P51" s="405"/>
      <c r="Q51" s="392" t="s">
        <v>766</v>
      </c>
      <c r="R51" s="393">
        <v>25</v>
      </c>
      <c r="S51" s="405"/>
      <c r="T51" s="404"/>
      <c r="U51" s="932"/>
      <c r="V51" s="392" t="s">
        <v>766</v>
      </c>
      <c r="W51" s="393">
        <v>35</v>
      </c>
      <c r="X51" s="405"/>
      <c r="Y51" s="404"/>
      <c r="Z51" s="932"/>
      <c r="AA51" s="392" t="s">
        <v>766</v>
      </c>
      <c r="AB51" s="393">
        <v>25</v>
      </c>
      <c r="AC51" s="405"/>
      <c r="AD51" s="404"/>
      <c r="AE51" s="405"/>
      <c r="AF51" s="392" t="s">
        <v>766</v>
      </c>
      <c r="AG51" s="393">
        <v>35</v>
      </c>
      <c r="AH51" s="405"/>
      <c r="AI51" s="404"/>
      <c r="AJ51" s="384"/>
      <c r="AK51" s="392" t="s">
        <v>766</v>
      </c>
      <c r="AL51" s="393">
        <v>25</v>
      </c>
      <c r="AM51" s="405"/>
      <c r="AN51" s="404"/>
      <c r="AO51" s="384"/>
      <c r="AP51" s="392" t="s">
        <v>766</v>
      </c>
      <c r="AQ51" s="393">
        <v>35</v>
      </c>
      <c r="AR51" s="405"/>
      <c r="AS51" s="404"/>
      <c r="AT51" s="384"/>
      <c r="AU51" s="392" t="s">
        <v>766</v>
      </c>
      <c r="AV51" s="393">
        <v>25</v>
      </c>
      <c r="AW51" s="405"/>
      <c r="AX51" s="404"/>
      <c r="AY51" s="384"/>
      <c r="AZ51" s="392" t="s">
        <v>766</v>
      </c>
      <c r="BA51" s="393">
        <v>35</v>
      </c>
      <c r="BB51" s="405"/>
      <c r="BC51" s="404"/>
      <c r="BD51" s="384"/>
      <c r="BE51" s="392" t="s">
        <v>766</v>
      </c>
      <c r="BF51" s="393">
        <v>25</v>
      </c>
      <c r="BG51" s="405"/>
      <c r="BH51" s="404"/>
      <c r="BI51" s="384"/>
      <c r="BJ51" s="392" t="s">
        <v>766</v>
      </c>
      <c r="BK51" s="393">
        <v>35</v>
      </c>
      <c r="BL51" s="405"/>
      <c r="BM51" s="404"/>
      <c r="BN51" s="384"/>
      <c r="BO51" s="392" t="s">
        <v>766</v>
      </c>
      <c r="BP51" s="393">
        <v>25</v>
      </c>
      <c r="BQ51" s="405"/>
      <c r="BR51" s="404"/>
      <c r="BS51" s="384"/>
      <c r="BT51" s="392" t="s">
        <v>766</v>
      </c>
      <c r="BU51" s="393">
        <v>35</v>
      </c>
      <c r="BV51" s="405"/>
      <c r="BW51" s="404"/>
      <c r="BX51" s="384"/>
      <c r="BY51" s="392" t="s">
        <v>766</v>
      </c>
      <c r="BZ51" s="393">
        <v>25</v>
      </c>
      <c r="CA51" s="405"/>
      <c r="CB51" s="404"/>
      <c r="CC51" s="384"/>
      <c r="CD51" s="392" t="s">
        <v>766</v>
      </c>
      <c r="CE51" s="393">
        <v>35</v>
      </c>
      <c r="CF51" s="405"/>
      <c r="CG51" s="404"/>
      <c r="CI51" s="392" t="s">
        <v>766</v>
      </c>
      <c r="CJ51" s="393">
        <v>25</v>
      </c>
      <c r="CK51" s="405"/>
      <c r="CL51" s="404"/>
      <c r="CN51" s="392" t="s">
        <v>766</v>
      </c>
      <c r="CO51" s="393">
        <v>35</v>
      </c>
      <c r="CP51" s="405"/>
      <c r="CQ51" s="404"/>
      <c r="CT51" s="405"/>
    </row>
    <row r="52" spans="1:98" x14ac:dyDescent="0.3">
      <c r="A52" s="380"/>
      <c r="B52" s="742" t="s">
        <v>767</v>
      </c>
      <c r="C52" s="756">
        <f>IF(AND(D52="",E52=""),"",IF(E52="",D52,E52))</f>
        <v>6</v>
      </c>
      <c r="D52" s="743">
        <f>IF(INDEX(52:52,$E$2)="","", INDEX(52:52, $E$2))</f>
        <v>6</v>
      </c>
      <c r="E52"/>
      <c r="F52" s="402"/>
      <c r="G52" s="1042"/>
      <c r="L52" s="398" t="s">
        <v>734</v>
      </c>
      <c r="M52" s="393">
        <v>4</v>
      </c>
      <c r="N52" s="405"/>
      <c r="O52" s="404"/>
      <c r="P52" s="405"/>
      <c r="Q52" s="398" t="s">
        <v>734</v>
      </c>
      <c r="R52" s="393">
        <v>6</v>
      </c>
      <c r="S52" s="405"/>
      <c r="T52" s="404"/>
      <c r="U52" s="932"/>
      <c r="V52" s="398" t="s">
        <v>734</v>
      </c>
      <c r="W52" s="393">
        <v>4</v>
      </c>
      <c r="X52" s="405"/>
      <c r="Y52" s="404"/>
      <c r="Z52" s="932"/>
      <c r="AA52" s="398" t="s">
        <v>734</v>
      </c>
      <c r="AB52" s="393">
        <v>6</v>
      </c>
      <c r="AC52" s="405"/>
      <c r="AD52" s="404"/>
      <c r="AE52" s="405"/>
      <c r="AF52" s="398" t="s">
        <v>734</v>
      </c>
      <c r="AG52" s="393">
        <v>4</v>
      </c>
      <c r="AH52" s="405"/>
      <c r="AI52" s="404"/>
      <c r="AJ52" s="384"/>
      <c r="AK52" s="398" t="s">
        <v>734</v>
      </c>
      <c r="AL52" s="393">
        <v>6</v>
      </c>
      <c r="AM52" s="405"/>
      <c r="AN52" s="404"/>
      <c r="AO52" s="384"/>
      <c r="AP52" s="398" t="s">
        <v>734</v>
      </c>
      <c r="AQ52" s="393">
        <v>4</v>
      </c>
      <c r="AR52" s="405"/>
      <c r="AS52" s="404"/>
      <c r="AT52" s="384"/>
      <c r="AU52" s="398" t="s">
        <v>734</v>
      </c>
      <c r="AV52" s="393">
        <v>6</v>
      </c>
      <c r="AW52" s="405"/>
      <c r="AX52" s="404"/>
      <c r="AY52" s="384"/>
      <c r="AZ52" s="398" t="s">
        <v>734</v>
      </c>
      <c r="BA52" s="393">
        <v>4</v>
      </c>
      <c r="BB52" s="405"/>
      <c r="BC52" s="404"/>
      <c r="BD52" s="384"/>
      <c r="BE52" s="398" t="s">
        <v>734</v>
      </c>
      <c r="BF52" s="393">
        <v>6</v>
      </c>
      <c r="BG52" s="405"/>
      <c r="BH52" s="404"/>
      <c r="BI52" s="384"/>
      <c r="BJ52" s="398" t="s">
        <v>734</v>
      </c>
      <c r="BK52" s="393">
        <v>4</v>
      </c>
      <c r="BL52" s="405"/>
      <c r="BM52" s="404"/>
      <c r="BN52" s="384"/>
      <c r="BO52" s="398" t="s">
        <v>734</v>
      </c>
      <c r="BP52" s="393">
        <v>6</v>
      </c>
      <c r="BQ52" s="405"/>
      <c r="BR52" s="404"/>
      <c r="BS52" s="384"/>
      <c r="BT52" s="398" t="s">
        <v>734</v>
      </c>
      <c r="BU52" s="393">
        <v>4</v>
      </c>
      <c r="BV52" s="405"/>
      <c r="BW52" s="404"/>
      <c r="BX52" s="384"/>
      <c r="BY52" s="398" t="s">
        <v>734</v>
      </c>
      <c r="BZ52" s="393">
        <v>6</v>
      </c>
      <c r="CA52" s="405"/>
      <c r="CB52" s="404"/>
      <c r="CC52" s="384"/>
      <c r="CD52" s="398" t="s">
        <v>734</v>
      </c>
      <c r="CE52" s="393">
        <v>0.25</v>
      </c>
      <c r="CF52" s="405"/>
      <c r="CG52" s="404"/>
      <c r="CI52" s="398" t="s">
        <v>734</v>
      </c>
      <c r="CJ52" s="393">
        <v>0.5</v>
      </c>
      <c r="CK52" s="405"/>
      <c r="CL52" s="404"/>
      <c r="CN52" s="398" t="s">
        <v>734</v>
      </c>
      <c r="CO52" s="393">
        <v>4</v>
      </c>
      <c r="CP52" s="405"/>
      <c r="CQ52" s="404"/>
      <c r="CT52" s="405"/>
    </row>
    <row r="53" spans="1:98" ht="20.25" customHeight="1" x14ac:dyDescent="0.3">
      <c r="A53" s="380"/>
      <c r="B53" s="755" t="s">
        <v>768</v>
      </c>
      <c r="C53" s="756">
        <f>IF(AND(D53="",E53=""),"",IF(E53="",D53,E53))</f>
        <v>3600.3740648379044</v>
      </c>
      <c r="D53" s="743">
        <f>IF(INDEX(53:53,$E$2)="","", INDEX(53:53, $E$2))</f>
        <v>3600.3740648379044</v>
      </c>
      <c r="E53" s="740"/>
      <c r="F53" s="407"/>
      <c r="G53" s="381"/>
      <c r="L53" s="788" t="s">
        <v>768</v>
      </c>
      <c r="M53" s="409">
        <f>3*(1-M51/100)/(M52*10^-4)*(M40/M46)/(M40/M46 + M41/M47 + M42/M48)</f>
        <v>4571.6445642669769</v>
      </c>
      <c r="N53" s="410"/>
      <c r="O53" s="385"/>
      <c r="Q53" s="788" t="s">
        <v>768</v>
      </c>
      <c r="R53" s="409">
        <f>3*(1-R51/100)/(R52*10^-4)*(R40/R46)/(R40/R46 + R41/R47 + R42/R48)</f>
        <v>3600.3740648379044</v>
      </c>
      <c r="S53" s="410"/>
      <c r="T53" s="385"/>
      <c r="U53" s="932"/>
      <c r="V53" s="788" t="s">
        <v>768</v>
      </c>
      <c r="W53" s="409">
        <f>3*(1-W51/100)/(W52*10^-4)*(W40/W46)/(W40/W46 + W41/W47 + W42/W48)</f>
        <v>4571.6445642669769</v>
      </c>
      <c r="X53" s="410"/>
      <c r="Y53" s="385"/>
      <c r="Z53" s="932"/>
      <c r="AA53" s="788" t="s">
        <v>768</v>
      </c>
      <c r="AB53" s="409">
        <f>3*(1-AB51/100)/(AB52*10^-4)*(AB40/AB46)/(AB40/AB46 + AB41/AB47 + AB42/AB48)</f>
        <v>3600.3740648379044</v>
      </c>
      <c r="AC53" s="410"/>
      <c r="AD53" s="385"/>
      <c r="AE53" s="384"/>
      <c r="AF53" s="788" t="s">
        <v>768</v>
      </c>
      <c r="AG53" s="409">
        <f>3*(1-AG51/100)/(AG52*10^-4)*(AG40/AG46)/(AG40/AG46 + AG41/AG47 + AG42/AG48)</f>
        <v>4571.6445642669769</v>
      </c>
      <c r="AH53" s="410"/>
      <c r="AI53" s="385"/>
      <c r="AJ53" s="384"/>
      <c r="AK53" s="788" t="s">
        <v>768</v>
      </c>
      <c r="AL53" s="409">
        <f>3*(1-AL51/100)/(AL52*10^-4)*(AL40/AL46)/(AL40/AL46 + AL41/AL47 + AL42/AL48)</f>
        <v>3600.3740648379044</v>
      </c>
      <c r="AM53" s="410"/>
      <c r="AN53" s="385"/>
      <c r="AO53" s="384"/>
      <c r="AP53" s="788" t="s">
        <v>768</v>
      </c>
      <c r="AQ53" s="409">
        <f>3*(1-AQ51/100)/(AQ52*10^-4)*(AQ40/AQ46)/(AQ40/AQ46 + AQ41/AQ47 + AQ42/AQ48)</f>
        <v>4571.6445642669769</v>
      </c>
      <c r="AR53" s="410"/>
      <c r="AS53" s="385"/>
      <c r="AT53" s="384"/>
      <c r="AU53" s="788" t="s">
        <v>768</v>
      </c>
      <c r="AV53" s="409">
        <f>3*(1-AV51/100)/(AV52*10^-4)*(AV40/AV46)/(AV40/AV46 + AV41/AV47 + AV42/AV48)</f>
        <v>3600.3740648379044</v>
      </c>
      <c r="AW53" s="410"/>
      <c r="AX53" s="385"/>
      <c r="AY53" s="384"/>
      <c r="AZ53" s="788" t="s">
        <v>768</v>
      </c>
      <c r="BA53" s="409">
        <f>3*(1-BA51/100)/(BA52*10^-4)*(BA40/BA46)/(BA40/BA46 + BA41/BA47 + BA42/BA48)</f>
        <v>4571.6445642669769</v>
      </c>
      <c r="BB53" s="410"/>
      <c r="BC53" s="385"/>
      <c r="BD53" s="384"/>
      <c r="BE53" s="788" t="s">
        <v>768</v>
      </c>
      <c r="BF53" s="409">
        <f>3*(1-BF51/100)/(BF52*10^-4)*(BF40/BF46)/(BF40/BF46 + BF41/BF47 + BF42/BF48)</f>
        <v>3600.3740648379044</v>
      </c>
      <c r="BG53" s="410"/>
      <c r="BH53" s="385"/>
      <c r="BI53" s="384"/>
      <c r="BJ53" s="788" t="s">
        <v>768</v>
      </c>
      <c r="BK53" s="409">
        <f>3*(1-BK51/100)/(BK52*10^-4)*(BK40/BK46)/(BK40/BK46 + BK41/BK47 + BK42/BK48)</f>
        <v>4571.6445642669769</v>
      </c>
      <c r="BL53" s="410"/>
      <c r="BM53" s="385"/>
      <c r="BN53" s="384"/>
      <c r="BO53" s="788" t="s">
        <v>768</v>
      </c>
      <c r="BP53" s="409">
        <f>3*(1-BP51/100)/(BP52*10^-4)*(BP40/BP46)/(BP40/BP46 + BP41/BP47 + BP42/BP48)</f>
        <v>3600.3740648379044</v>
      </c>
      <c r="BQ53" s="410"/>
      <c r="BR53" s="385"/>
      <c r="BS53" s="384"/>
      <c r="BT53" s="788" t="s">
        <v>768</v>
      </c>
      <c r="BU53" s="409">
        <f>3*(1-BU51/100)/(BU52*10^-4)*(BU40/BU46)/(BU40/BU46 + BU41/BU47 + BU42/BU48)</f>
        <v>4571.6445642669769</v>
      </c>
      <c r="BV53" s="410"/>
      <c r="BW53" s="385"/>
      <c r="BX53" s="384"/>
      <c r="BY53" s="788" t="s">
        <v>768</v>
      </c>
      <c r="BZ53" s="409">
        <f>3*(1-BZ51/100)/(BZ52*10^-4)*(BZ40/BZ46)/(BZ40/BZ46 + BZ41/BZ47 + BZ42/BZ48)</f>
        <v>3600.3740648379044</v>
      </c>
      <c r="CA53" s="410"/>
      <c r="CB53" s="385"/>
      <c r="CC53" s="384"/>
      <c r="CD53" s="788" t="s">
        <v>768</v>
      </c>
      <c r="CE53" s="409">
        <f>3*(1-CE51/100)/(CE52*10^-4)*(CE40/CE46)/(CE40/CE46 + CE41/CE47 + CE42/CE48)</f>
        <v>68423.493582771378</v>
      </c>
      <c r="CF53" s="410"/>
      <c r="CG53" s="385"/>
      <c r="CI53" s="788" t="s">
        <v>768</v>
      </c>
      <c r="CJ53" s="409">
        <f>3*(1-CJ51/100)/(CJ52*10^-4)*(CJ40/CJ46)/(CJ40/CJ46 + CJ41/CJ47 + CJ42/CJ48)</f>
        <v>40882.378893496869</v>
      </c>
      <c r="CK53" s="410"/>
      <c r="CL53" s="385"/>
      <c r="CN53" s="788" t="s">
        <v>768</v>
      </c>
      <c r="CO53" s="409">
        <f>3*(1-CO51/100)/(CO52*10^-4)*(CO40/CO46)/(CO40/CO46 + CO41/CO47 + CO42/CO48)</f>
        <v>4571.6445642669769</v>
      </c>
      <c r="CP53" s="410"/>
      <c r="CQ53" s="385"/>
      <c r="CT53" s="384"/>
    </row>
    <row r="54" spans="1:98" ht="17.5" x14ac:dyDescent="0.45">
      <c r="A54" s="380"/>
      <c r="B54" s="744" t="s">
        <v>769</v>
      </c>
      <c r="C54" s="757">
        <f>IF(AND(D54="",E54=""),"",IF(E54="",D54,E54))</f>
        <v>0.5</v>
      </c>
      <c r="D54" s="743">
        <f>IF(INDEX(54:54,$E$2)="","", INDEX(54:54, $E$2))</f>
        <v>0.5</v>
      </c>
      <c r="E54" s="740"/>
      <c r="F54" s="402"/>
      <c r="G54" s="381"/>
      <c r="L54" s="392" t="s">
        <v>738</v>
      </c>
      <c r="M54" s="393">
        <v>0.5</v>
      </c>
      <c r="N54" s="405"/>
      <c r="O54" s="404"/>
      <c r="P54" s="405"/>
      <c r="Q54" s="392" t="s">
        <v>738</v>
      </c>
      <c r="R54" s="393">
        <v>0.5</v>
      </c>
      <c r="S54" s="405"/>
      <c r="T54" s="404"/>
      <c r="U54" s="932"/>
      <c r="V54" s="392" t="s">
        <v>738</v>
      </c>
      <c r="W54" s="393">
        <v>0.5</v>
      </c>
      <c r="X54" s="405"/>
      <c r="Y54" s="404"/>
      <c r="Z54" s="932"/>
      <c r="AA54" s="392" t="s">
        <v>738</v>
      </c>
      <c r="AB54" s="393">
        <v>0.5</v>
      </c>
      <c r="AC54" s="405"/>
      <c r="AD54" s="404"/>
      <c r="AE54" s="405"/>
      <c r="AF54" s="392" t="s">
        <v>738</v>
      </c>
      <c r="AG54" s="393">
        <v>0.5</v>
      </c>
      <c r="AH54" s="405"/>
      <c r="AI54" s="404"/>
      <c r="AJ54" s="384"/>
      <c r="AK54" s="392" t="s">
        <v>738</v>
      </c>
      <c r="AL54" s="393">
        <v>0.5</v>
      </c>
      <c r="AM54" s="405"/>
      <c r="AN54" s="404"/>
      <c r="AO54" s="384"/>
      <c r="AP54" s="392" t="s">
        <v>738</v>
      </c>
      <c r="AQ54" s="393">
        <v>0.5</v>
      </c>
      <c r="AR54" s="405"/>
      <c r="AS54" s="404"/>
      <c r="AT54" s="384"/>
      <c r="AU54" s="392" t="s">
        <v>738</v>
      </c>
      <c r="AV54" s="393">
        <v>0.5</v>
      </c>
      <c r="AW54" s="405"/>
      <c r="AX54" s="404"/>
      <c r="AY54" s="384"/>
      <c r="AZ54" s="392" t="s">
        <v>738</v>
      </c>
      <c r="BA54" s="393">
        <v>0.5</v>
      </c>
      <c r="BB54" s="405"/>
      <c r="BC54" s="404"/>
      <c r="BD54" s="384"/>
      <c r="BE54" s="392" t="s">
        <v>738</v>
      </c>
      <c r="BF54" s="393">
        <v>0.5</v>
      </c>
      <c r="BG54" s="405"/>
      <c r="BH54" s="404"/>
      <c r="BI54" s="384"/>
      <c r="BJ54" s="392" t="s">
        <v>738</v>
      </c>
      <c r="BK54" s="393">
        <v>0.5</v>
      </c>
      <c r="BL54" s="405"/>
      <c r="BM54" s="404"/>
      <c r="BN54" s="384"/>
      <c r="BO54" s="392" t="s">
        <v>738</v>
      </c>
      <c r="BP54" s="393">
        <v>0.5</v>
      </c>
      <c r="BQ54" s="405"/>
      <c r="BR54" s="404"/>
      <c r="BS54" s="384"/>
      <c r="BT54" s="392" t="s">
        <v>738</v>
      </c>
      <c r="BU54" s="393">
        <v>0.5</v>
      </c>
      <c r="BV54" s="405"/>
      <c r="BW54" s="404"/>
      <c r="BX54" s="384"/>
      <c r="BY54" s="392" t="s">
        <v>738</v>
      </c>
      <c r="BZ54" s="393">
        <v>0.5</v>
      </c>
      <c r="CA54" s="405"/>
      <c r="CB54" s="404"/>
      <c r="CC54" s="384"/>
      <c r="CD54" s="392" t="s">
        <v>738</v>
      </c>
      <c r="CE54" s="393">
        <v>0.1</v>
      </c>
      <c r="CF54" s="405"/>
      <c r="CG54" s="404"/>
      <c r="CI54" s="392" t="s">
        <v>738</v>
      </c>
      <c r="CJ54" s="393">
        <v>0.1</v>
      </c>
      <c r="CK54" s="405"/>
      <c r="CL54" s="404"/>
      <c r="CN54" s="392" t="s">
        <v>738</v>
      </c>
      <c r="CO54" s="393">
        <v>0.5</v>
      </c>
      <c r="CP54" s="405"/>
      <c r="CQ54" s="404"/>
      <c r="CT54" s="405"/>
    </row>
    <row r="55" spans="1:98" x14ac:dyDescent="0.3">
      <c r="A55" s="380"/>
      <c r="B55" s="744"/>
      <c r="C55" s="757"/>
      <c r="D55" s="743"/>
      <c r="E55" s="740"/>
      <c r="F55" s="402"/>
      <c r="G55" s="381"/>
      <c r="L55" s="401"/>
      <c r="M55" s="393"/>
      <c r="N55" s="405"/>
      <c r="O55" s="404"/>
      <c r="P55" s="405"/>
      <c r="Q55" s="401"/>
      <c r="R55" s="393"/>
      <c r="S55" s="405"/>
      <c r="T55" s="404"/>
      <c r="U55" s="932"/>
      <c r="V55" s="401"/>
      <c r="W55" s="393"/>
      <c r="X55" s="405"/>
      <c r="Y55" s="404"/>
      <c r="Z55" s="932"/>
      <c r="AA55" s="401"/>
      <c r="AB55" s="393"/>
      <c r="AC55" s="405"/>
      <c r="AD55" s="404"/>
      <c r="AE55" s="405"/>
      <c r="AF55" s="401"/>
      <c r="AG55" s="393"/>
      <c r="AH55" s="405"/>
      <c r="AI55" s="404"/>
      <c r="AJ55" s="384"/>
      <c r="AK55" s="401"/>
      <c r="AL55" s="393"/>
      <c r="AM55" s="405"/>
      <c r="AN55" s="404"/>
      <c r="AO55" s="384"/>
      <c r="AP55" s="401"/>
      <c r="AQ55" s="393"/>
      <c r="AR55" s="405"/>
      <c r="AS55" s="404"/>
      <c r="AT55" s="384"/>
      <c r="AU55" s="401"/>
      <c r="AV55" s="393"/>
      <c r="AW55" s="405"/>
      <c r="AX55" s="404"/>
      <c r="AY55" s="384"/>
      <c r="AZ55" s="401"/>
      <c r="BA55" s="393"/>
      <c r="BB55" s="405"/>
      <c r="BC55" s="404"/>
      <c r="BD55" s="384"/>
      <c r="BE55" s="401"/>
      <c r="BF55" s="393"/>
      <c r="BG55" s="405"/>
      <c r="BH55" s="404"/>
      <c r="BI55" s="384"/>
      <c r="BJ55" s="401"/>
      <c r="BK55" s="393"/>
      <c r="BL55" s="405"/>
      <c r="BM55" s="404"/>
      <c r="BN55" s="384"/>
      <c r="BO55" s="401"/>
      <c r="BP55" s="393"/>
      <c r="BQ55" s="405"/>
      <c r="BR55" s="404"/>
      <c r="BS55" s="384"/>
      <c r="BT55" s="401"/>
      <c r="BU55" s="393"/>
      <c r="BV55" s="405"/>
      <c r="BW55" s="404"/>
      <c r="BX55" s="384"/>
      <c r="BY55" s="401"/>
      <c r="BZ55" s="393"/>
      <c r="CA55" s="405"/>
      <c r="CB55" s="404"/>
      <c r="CC55" s="384"/>
      <c r="CD55" s="401"/>
      <c r="CE55" s="393"/>
      <c r="CF55" s="405"/>
      <c r="CG55" s="404"/>
      <c r="CI55" s="401"/>
      <c r="CJ55" s="393"/>
      <c r="CK55" s="405"/>
      <c r="CL55" s="404"/>
      <c r="CN55" s="401"/>
      <c r="CO55" s="393"/>
      <c r="CP55" s="405"/>
      <c r="CQ55" s="404"/>
      <c r="CT55" s="405"/>
    </row>
    <row r="56" spans="1:98" ht="15.5" x14ac:dyDescent="0.35">
      <c r="A56" s="380"/>
      <c r="B56" s="770" t="s">
        <v>770</v>
      </c>
      <c r="C56" s="738" t="str">
        <f>IF(AND(D56="",E56=""),"",IF(E56="",D56,E56))</f>
        <v/>
      </c>
      <c r="D56" s="743" t="str">
        <f>IF(INDEX(56:56,$E$2)="","", INDEX(56:56, $E$2))</f>
        <v/>
      </c>
      <c r="E56" s="740"/>
      <c r="F56" s="407"/>
      <c r="L56" s="394" t="s">
        <v>770</v>
      </c>
      <c r="M56" s="406"/>
      <c r="N56" s="410"/>
      <c r="O56" s="385"/>
      <c r="Q56" s="394" t="s">
        <v>770</v>
      </c>
      <c r="R56" s="406"/>
      <c r="S56" s="410"/>
      <c r="T56" s="385"/>
      <c r="U56" s="932"/>
      <c r="V56" s="394" t="s">
        <v>770</v>
      </c>
      <c r="W56" s="406"/>
      <c r="X56" s="410"/>
      <c r="Y56" s="385"/>
      <c r="Z56" s="932"/>
      <c r="AA56" s="394" t="s">
        <v>770</v>
      </c>
      <c r="AB56" s="406"/>
      <c r="AC56" s="410"/>
      <c r="AD56" s="385"/>
      <c r="AE56" s="384"/>
      <c r="AF56" s="394" t="s">
        <v>770</v>
      </c>
      <c r="AG56" s="406"/>
      <c r="AH56" s="410"/>
      <c r="AI56" s="385"/>
      <c r="AJ56" s="384"/>
      <c r="AK56" s="394" t="s">
        <v>770</v>
      </c>
      <c r="AL56" s="406"/>
      <c r="AM56" s="410"/>
      <c r="AN56" s="385"/>
      <c r="AO56" s="384"/>
      <c r="AP56" s="394" t="s">
        <v>770</v>
      </c>
      <c r="AQ56" s="406"/>
      <c r="AR56" s="410"/>
      <c r="AS56" s="385"/>
      <c r="AT56" s="384"/>
      <c r="AU56" s="394" t="s">
        <v>770</v>
      </c>
      <c r="AV56" s="406"/>
      <c r="AW56" s="410"/>
      <c r="AX56" s="385"/>
      <c r="AY56" s="384"/>
      <c r="AZ56" s="394" t="s">
        <v>770</v>
      </c>
      <c r="BA56" s="406"/>
      <c r="BB56" s="410"/>
      <c r="BC56" s="385"/>
      <c r="BD56" s="384"/>
      <c r="BE56" s="394" t="s">
        <v>770</v>
      </c>
      <c r="BF56" s="406"/>
      <c r="BG56" s="410"/>
      <c r="BH56" s="385"/>
      <c r="BI56" s="384"/>
      <c r="BJ56" s="394" t="s">
        <v>770</v>
      </c>
      <c r="BK56" s="406"/>
      <c r="BL56" s="410"/>
      <c r="BM56" s="385"/>
      <c r="BN56" s="384"/>
      <c r="BO56" s="394" t="s">
        <v>770</v>
      </c>
      <c r="BP56" s="406"/>
      <c r="BQ56" s="410"/>
      <c r="BR56" s="385"/>
      <c r="BS56" s="384"/>
      <c r="BT56" s="394" t="s">
        <v>770</v>
      </c>
      <c r="BU56" s="406"/>
      <c r="BV56" s="410"/>
      <c r="BW56" s="385"/>
      <c r="BX56" s="384"/>
      <c r="BY56" s="394" t="s">
        <v>770</v>
      </c>
      <c r="BZ56" s="406"/>
      <c r="CA56" s="410"/>
      <c r="CB56" s="385"/>
      <c r="CC56" s="384"/>
      <c r="CD56" s="394" t="s">
        <v>770</v>
      </c>
      <c r="CE56" s="406"/>
      <c r="CF56" s="410"/>
      <c r="CG56" s="385"/>
      <c r="CI56" s="394" t="s">
        <v>770</v>
      </c>
      <c r="CJ56" s="406"/>
      <c r="CK56" s="410"/>
      <c r="CL56" s="385"/>
      <c r="CN56" s="394" t="s">
        <v>770</v>
      </c>
      <c r="CO56" s="406"/>
      <c r="CP56" s="410"/>
      <c r="CQ56" s="385"/>
      <c r="CT56" s="384"/>
    </row>
    <row r="57" spans="1:98" x14ac:dyDescent="0.3">
      <c r="A57" s="380"/>
      <c r="B57" s="744" t="s">
        <v>771</v>
      </c>
      <c r="C57" s="738" t="str">
        <f>IF(AND(D57="",E57=""),"",IF(E57="",D57,E57))</f>
        <v>Copper</v>
      </c>
      <c r="D57" s="743" t="str">
        <f>IF(INDEX(57:57,$E$2)="","", INDEX(57:57, $E$2))</f>
        <v>Copper</v>
      </c>
      <c r="E57" s="740"/>
      <c r="F57" s="407"/>
      <c r="L57" s="392" t="s">
        <v>743</v>
      </c>
      <c r="M57" s="393" t="s">
        <v>772</v>
      </c>
      <c r="N57" s="410"/>
      <c r="O57" s="385"/>
      <c r="Q57" s="392" t="s">
        <v>743</v>
      </c>
      <c r="R57" s="393" t="s">
        <v>772</v>
      </c>
      <c r="S57" s="410"/>
      <c r="T57" s="385"/>
      <c r="U57" s="932"/>
      <c r="V57" s="392" t="s">
        <v>743</v>
      </c>
      <c r="W57" s="393" t="s">
        <v>772</v>
      </c>
      <c r="X57" s="410"/>
      <c r="Y57" s="385"/>
      <c r="Z57" s="932"/>
      <c r="AA57" s="392" t="s">
        <v>743</v>
      </c>
      <c r="AB57" s="393" t="s">
        <v>772</v>
      </c>
      <c r="AC57" s="410"/>
      <c r="AD57" s="385"/>
      <c r="AE57" s="384"/>
      <c r="AF57" s="392" t="s">
        <v>743</v>
      </c>
      <c r="AG57" s="393" t="s">
        <v>772</v>
      </c>
      <c r="AH57" s="410"/>
      <c r="AI57" s="385"/>
      <c r="AJ57" s="384"/>
      <c r="AK57" s="392" t="s">
        <v>743</v>
      </c>
      <c r="AL57" s="393" t="s">
        <v>772</v>
      </c>
      <c r="AM57" s="410"/>
      <c r="AN57" s="385"/>
      <c r="AO57" s="384"/>
      <c r="AP57" s="392" t="s">
        <v>743</v>
      </c>
      <c r="AQ57" s="393" t="s">
        <v>772</v>
      </c>
      <c r="AR57" s="410"/>
      <c r="AS57" s="385"/>
      <c r="AT57" s="384"/>
      <c r="AU57" s="392" t="s">
        <v>743</v>
      </c>
      <c r="AV57" s="393" t="s">
        <v>772</v>
      </c>
      <c r="AW57" s="410"/>
      <c r="AX57" s="385"/>
      <c r="AY57" s="384"/>
      <c r="AZ57" s="392" t="s">
        <v>743</v>
      </c>
      <c r="BA57" s="393" t="s">
        <v>772</v>
      </c>
      <c r="BB57" s="410"/>
      <c r="BC57" s="385"/>
      <c r="BD57" s="384"/>
      <c r="BE57" s="392" t="s">
        <v>743</v>
      </c>
      <c r="BF57" s="393" t="s">
        <v>772</v>
      </c>
      <c r="BG57" s="410"/>
      <c r="BH57" s="385"/>
      <c r="BI57" s="384"/>
      <c r="BJ57" s="392" t="s">
        <v>743</v>
      </c>
      <c r="BK57" s="393" t="s">
        <v>772</v>
      </c>
      <c r="BL57" s="410"/>
      <c r="BM57" s="385"/>
      <c r="BN57" s="384"/>
      <c r="BO57" s="392" t="s">
        <v>743</v>
      </c>
      <c r="BP57" s="393" t="s">
        <v>772</v>
      </c>
      <c r="BQ57" s="410"/>
      <c r="BR57" s="385"/>
      <c r="BS57" s="384"/>
      <c r="BT57" s="392" t="s">
        <v>743</v>
      </c>
      <c r="BU57" s="393" t="s">
        <v>772</v>
      </c>
      <c r="BV57" s="410"/>
      <c r="BW57" s="385"/>
      <c r="BX57" s="384"/>
      <c r="BY57" s="392" t="s">
        <v>743</v>
      </c>
      <c r="BZ57" s="393" t="s">
        <v>772</v>
      </c>
      <c r="CA57" s="410"/>
      <c r="CB57" s="385"/>
      <c r="CC57" s="384"/>
      <c r="CD57" s="392" t="s">
        <v>743</v>
      </c>
      <c r="CE57" s="393" t="s">
        <v>744</v>
      </c>
      <c r="CF57" s="410"/>
      <c r="CG57" s="385"/>
      <c r="CI57" s="392" t="s">
        <v>743</v>
      </c>
      <c r="CJ57" s="393" t="s">
        <v>744</v>
      </c>
      <c r="CK57" s="410"/>
      <c r="CL57" s="385"/>
      <c r="CN57" s="392" t="s">
        <v>743</v>
      </c>
      <c r="CO57" s="393" t="s">
        <v>772</v>
      </c>
      <c r="CP57" s="410"/>
      <c r="CQ57" s="385"/>
      <c r="CT57" s="384"/>
    </row>
    <row r="58" spans="1:98" ht="14.5" x14ac:dyDescent="0.35">
      <c r="A58" s="380"/>
      <c r="B58" s="744" t="s">
        <v>773</v>
      </c>
      <c r="C58" s="750">
        <f>IF(NOT(Dashboard!E24=""),Dashboard!E24,IF(AND(D58="",E58=""),"",IF(E58="",D58,E58)))</f>
        <v>10</v>
      </c>
      <c r="D58" s="743">
        <f>IF(INDEX(58:58,$E$2)="","", INDEX(58:58, $E$2))</f>
        <v>10</v>
      </c>
      <c r="E58" s="740"/>
      <c r="F58" s="407"/>
      <c r="L58" s="392" t="s">
        <v>746</v>
      </c>
      <c r="M58" s="393">
        <v>15</v>
      </c>
      <c r="N58" s="410"/>
      <c r="O58" s="385"/>
      <c r="Q58" s="392" t="s">
        <v>746</v>
      </c>
      <c r="R58" s="393">
        <v>10</v>
      </c>
      <c r="S58" s="410"/>
      <c r="T58" s="385"/>
      <c r="U58" s="932"/>
      <c r="V58" s="392" t="s">
        <v>746</v>
      </c>
      <c r="W58" s="393">
        <v>15</v>
      </c>
      <c r="X58" s="410"/>
      <c r="Y58" s="385"/>
      <c r="Z58" s="932"/>
      <c r="AA58" s="392" t="s">
        <v>746</v>
      </c>
      <c r="AB58" s="393">
        <v>10</v>
      </c>
      <c r="AC58" s="410"/>
      <c r="AD58" s="385"/>
      <c r="AE58" s="384"/>
      <c r="AF58" s="392" t="s">
        <v>746</v>
      </c>
      <c r="AG58" s="393">
        <v>15</v>
      </c>
      <c r="AH58" s="410"/>
      <c r="AI58" s="385"/>
      <c r="AJ58" s="384"/>
      <c r="AK58" s="392" t="s">
        <v>746</v>
      </c>
      <c r="AL58" s="393">
        <v>10</v>
      </c>
      <c r="AM58" s="410"/>
      <c r="AN58" s="385"/>
      <c r="AO58" s="384"/>
      <c r="AP58" s="392" t="s">
        <v>746</v>
      </c>
      <c r="AQ58" s="393">
        <v>15</v>
      </c>
      <c r="AR58" s="410"/>
      <c r="AS58" s="385"/>
      <c r="AT58" s="384"/>
      <c r="AU58" s="392" t="s">
        <v>746</v>
      </c>
      <c r="AV58" s="393">
        <v>10</v>
      </c>
      <c r="AW58" s="410"/>
      <c r="AX58" s="385"/>
      <c r="AY58" s="384"/>
      <c r="AZ58" s="392" t="s">
        <v>746</v>
      </c>
      <c r="BA58" s="393">
        <v>15</v>
      </c>
      <c r="BB58" s="410"/>
      <c r="BC58" s="385"/>
      <c r="BD58" s="384"/>
      <c r="BE58" s="392" t="s">
        <v>746</v>
      </c>
      <c r="BF58" s="393">
        <v>10</v>
      </c>
      <c r="BG58" s="410"/>
      <c r="BH58" s="385"/>
      <c r="BI58" s="384"/>
      <c r="BJ58" s="392" t="s">
        <v>746</v>
      </c>
      <c r="BK58" s="393">
        <v>15</v>
      </c>
      <c r="BL58" s="410"/>
      <c r="BM58" s="385"/>
      <c r="BN58" s="384"/>
      <c r="BO58" s="392" t="s">
        <v>746</v>
      </c>
      <c r="BP58" s="393">
        <v>10</v>
      </c>
      <c r="BQ58" s="410"/>
      <c r="BR58" s="385"/>
      <c r="BS58" s="384"/>
      <c r="BT58" s="392" t="s">
        <v>746</v>
      </c>
      <c r="BU58" s="393">
        <v>15</v>
      </c>
      <c r="BV58" s="410"/>
      <c r="BW58" s="385"/>
      <c r="BX58" s="384"/>
      <c r="BY58" s="392" t="s">
        <v>746</v>
      </c>
      <c r="BZ58" s="393">
        <v>10</v>
      </c>
      <c r="CA58" s="410"/>
      <c r="CB58" s="385"/>
      <c r="CC58" s="384"/>
      <c r="CD58" s="392" t="s">
        <v>746</v>
      </c>
      <c r="CE58" s="393">
        <v>20</v>
      </c>
      <c r="CF58" s="410"/>
      <c r="CG58" s="385"/>
      <c r="CI58" s="392" t="s">
        <v>746</v>
      </c>
      <c r="CJ58" s="393">
        <v>15</v>
      </c>
      <c r="CK58" s="410"/>
      <c r="CL58" s="385"/>
      <c r="CN58" s="392" t="s">
        <v>746</v>
      </c>
      <c r="CO58" s="393">
        <v>15</v>
      </c>
      <c r="CP58" s="410"/>
      <c r="CQ58" s="385"/>
      <c r="CT58" s="384"/>
    </row>
    <row r="59" spans="1:98" ht="14.5" thickBot="1" x14ac:dyDescent="0.35">
      <c r="A59" s="380"/>
      <c r="B59" s="741"/>
      <c r="C59" s="738"/>
      <c r="D59" s="739"/>
      <c r="E59" s="740"/>
      <c r="F59" s="407"/>
      <c r="G59" s="381"/>
      <c r="L59" s="383"/>
      <c r="M59" s="384"/>
      <c r="N59" s="384"/>
      <c r="O59" s="385"/>
      <c r="Q59" s="383"/>
      <c r="R59" s="384"/>
      <c r="S59" s="384"/>
      <c r="T59" s="385"/>
      <c r="U59" s="932"/>
      <c r="V59" s="383"/>
      <c r="W59" s="384"/>
      <c r="X59" s="384"/>
      <c r="Y59" s="385"/>
      <c r="Z59" s="932"/>
      <c r="AA59" s="383"/>
      <c r="AB59" s="384"/>
      <c r="AC59" s="384"/>
      <c r="AD59" s="385"/>
      <c r="AE59" s="384"/>
      <c r="AF59" s="383"/>
      <c r="AG59" s="384"/>
      <c r="AH59" s="384"/>
      <c r="AI59" s="385"/>
      <c r="AJ59" s="384"/>
      <c r="AK59" s="383"/>
      <c r="AL59" s="384"/>
      <c r="AM59" s="384"/>
      <c r="AN59" s="385"/>
      <c r="AO59" s="384"/>
      <c r="AP59" s="383"/>
      <c r="AQ59" s="384"/>
      <c r="AR59" s="384"/>
      <c r="AS59" s="385"/>
      <c r="AT59" s="384"/>
      <c r="AU59" s="383"/>
      <c r="AV59" s="384"/>
      <c r="AW59" s="384"/>
      <c r="AX59" s="385"/>
      <c r="AY59" s="384"/>
      <c r="AZ59" s="383"/>
      <c r="BA59" s="384"/>
      <c r="BB59" s="384"/>
      <c r="BC59" s="385"/>
      <c r="BD59" s="384"/>
      <c r="BE59" s="383"/>
      <c r="BF59" s="384"/>
      <c r="BG59" s="384"/>
      <c r="BH59" s="385"/>
      <c r="BI59" s="384"/>
      <c r="BJ59" s="383"/>
      <c r="BK59" s="384"/>
      <c r="BL59" s="384"/>
      <c r="BM59" s="385"/>
      <c r="BN59" s="384"/>
      <c r="BO59" s="383"/>
      <c r="BP59" s="384"/>
      <c r="BQ59" s="384"/>
      <c r="BR59" s="385"/>
      <c r="BS59" s="384"/>
      <c r="BT59" s="383"/>
      <c r="BU59" s="384"/>
      <c r="BV59" s="384"/>
      <c r="BW59" s="385"/>
      <c r="BX59" s="384"/>
      <c r="BY59" s="383"/>
      <c r="BZ59" s="384"/>
      <c r="CA59" s="384"/>
      <c r="CB59" s="385"/>
      <c r="CC59" s="384"/>
      <c r="CD59" s="383"/>
      <c r="CE59" s="384"/>
      <c r="CF59" s="384"/>
      <c r="CG59" s="385"/>
      <c r="CI59" s="383"/>
      <c r="CJ59" s="384"/>
      <c r="CK59" s="384"/>
      <c r="CL59" s="385"/>
      <c r="CN59" s="383"/>
      <c r="CO59" s="384"/>
      <c r="CP59" s="384"/>
      <c r="CQ59" s="385"/>
      <c r="CT59" s="384"/>
    </row>
    <row r="60" spans="1:98" ht="18.5" thickBot="1" x14ac:dyDescent="0.45">
      <c r="A60" s="380"/>
      <c r="B60" s="591" t="s">
        <v>774</v>
      </c>
      <c r="C60" s="753"/>
      <c r="D60" s="753"/>
      <c r="E60" s="753"/>
      <c r="F60" s="590"/>
      <c r="G60" s="381"/>
      <c r="L60" s="417" t="s">
        <v>774</v>
      </c>
      <c r="M60" s="393"/>
      <c r="N60" s="410"/>
      <c r="O60" s="385"/>
      <c r="Q60" s="417" t="s">
        <v>774</v>
      </c>
      <c r="R60" s="393"/>
      <c r="S60" s="410"/>
      <c r="T60" s="385"/>
      <c r="U60" s="932"/>
      <c r="V60" s="417" t="s">
        <v>774</v>
      </c>
      <c r="W60" s="393"/>
      <c r="X60" s="410"/>
      <c r="Y60" s="385"/>
      <c r="Z60" s="932"/>
      <c r="AA60" s="417" t="s">
        <v>774</v>
      </c>
      <c r="AB60" s="393"/>
      <c r="AC60" s="410"/>
      <c r="AD60" s="385"/>
      <c r="AE60" s="384"/>
      <c r="AF60" s="417" t="s">
        <v>774</v>
      </c>
      <c r="AG60" s="393"/>
      <c r="AH60" s="410"/>
      <c r="AI60" s="385"/>
      <c r="AJ60" s="384"/>
      <c r="AK60" s="417" t="s">
        <v>774</v>
      </c>
      <c r="AL60" s="393"/>
      <c r="AM60" s="410"/>
      <c r="AN60" s="385"/>
      <c r="AO60" s="384"/>
      <c r="AP60" s="417" t="s">
        <v>774</v>
      </c>
      <c r="AQ60" s="393"/>
      <c r="AR60" s="410"/>
      <c r="AS60" s="385"/>
      <c r="AT60" s="384"/>
      <c r="AU60" s="417" t="s">
        <v>774</v>
      </c>
      <c r="AV60" s="393"/>
      <c r="AW60" s="410"/>
      <c r="AX60" s="385"/>
      <c r="AY60" s="384"/>
      <c r="AZ60" s="417" t="s">
        <v>774</v>
      </c>
      <c r="BA60" s="393"/>
      <c r="BB60" s="410"/>
      <c r="BC60" s="385"/>
      <c r="BD60" s="384"/>
      <c r="BE60" s="417" t="s">
        <v>774</v>
      </c>
      <c r="BF60" s="393"/>
      <c r="BG60" s="410"/>
      <c r="BH60" s="385"/>
      <c r="BI60" s="384"/>
      <c r="BJ60" s="417" t="s">
        <v>774</v>
      </c>
      <c r="BK60" s="393"/>
      <c r="BL60" s="410"/>
      <c r="BM60" s="385"/>
      <c r="BN60" s="384"/>
      <c r="BO60" s="417" t="s">
        <v>774</v>
      </c>
      <c r="BP60" s="393"/>
      <c r="BQ60" s="410"/>
      <c r="BR60" s="385"/>
      <c r="BS60" s="384"/>
      <c r="BT60" s="417" t="s">
        <v>774</v>
      </c>
      <c r="BU60" s="393"/>
      <c r="BV60" s="410"/>
      <c r="BW60" s="385"/>
      <c r="BX60" s="384"/>
      <c r="BY60" s="417" t="s">
        <v>774</v>
      </c>
      <c r="BZ60" s="393"/>
      <c r="CA60" s="410"/>
      <c r="CB60" s="385"/>
      <c r="CC60" s="384"/>
      <c r="CD60" s="417" t="s">
        <v>774</v>
      </c>
      <c r="CE60" s="393"/>
      <c r="CF60" s="410"/>
      <c r="CG60" s="385"/>
      <c r="CI60" s="417" t="s">
        <v>774</v>
      </c>
      <c r="CJ60" s="393"/>
      <c r="CK60" s="410"/>
      <c r="CL60" s="385"/>
      <c r="CN60" s="417" t="s">
        <v>774</v>
      </c>
      <c r="CO60" s="393"/>
      <c r="CP60" s="410"/>
      <c r="CQ60" s="385"/>
      <c r="CT60" s="384"/>
    </row>
    <row r="61" spans="1:98" ht="14.5" x14ac:dyDescent="0.35">
      <c r="A61" s="380"/>
      <c r="B61" s="744" t="s">
        <v>775</v>
      </c>
      <c r="C61" s="749">
        <f>IF(NOT(Dashboard!E26=""),Dashboard!E26,IF(AND(D61="",E61=""),"",IF(E61="",D61,E61)))</f>
        <v>15</v>
      </c>
      <c r="D61" s="747">
        <f>IF(INDEX(61:61,$E$2)="","", INDEX(61:61, $E$2))</f>
        <v>15</v>
      </c>
      <c r="E61" s="740"/>
      <c r="F61" s="407"/>
      <c r="G61" s="381"/>
      <c r="L61" s="392" t="s">
        <v>746</v>
      </c>
      <c r="M61" s="393">
        <v>15</v>
      </c>
      <c r="N61" s="410"/>
      <c r="O61" s="385"/>
      <c r="Q61" s="392" t="s">
        <v>746</v>
      </c>
      <c r="R61" s="393">
        <v>15</v>
      </c>
      <c r="S61" s="410"/>
      <c r="T61" s="385"/>
      <c r="U61" s="932"/>
      <c r="V61" s="392" t="s">
        <v>746</v>
      </c>
      <c r="W61" s="393">
        <v>15</v>
      </c>
      <c r="X61" s="410"/>
      <c r="Y61" s="385"/>
      <c r="Z61" s="932"/>
      <c r="AA61" s="392" t="s">
        <v>746</v>
      </c>
      <c r="AB61" s="393">
        <v>15</v>
      </c>
      <c r="AC61" s="410"/>
      <c r="AD61" s="385"/>
      <c r="AE61" s="384"/>
      <c r="AF61" s="392" t="s">
        <v>746</v>
      </c>
      <c r="AG61" s="393">
        <v>15</v>
      </c>
      <c r="AH61" s="410"/>
      <c r="AI61" s="385"/>
      <c r="AJ61" s="384"/>
      <c r="AK61" s="392" t="s">
        <v>746</v>
      </c>
      <c r="AL61" s="393">
        <v>15</v>
      </c>
      <c r="AM61" s="410"/>
      <c r="AN61" s="385"/>
      <c r="AO61" s="384"/>
      <c r="AP61" s="392" t="s">
        <v>746</v>
      </c>
      <c r="AQ61" s="393">
        <v>15</v>
      </c>
      <c r="AR61" s="410"/>
      <c r="AS61" s="385"/>
      <c r="AT61" s="384"/>
      <c r="AU61" s="392" t="s">
        <v>746</v>
      </c>
      <c r="AV61" s="393">
        <v>15</v>
      </c>
      <c r="AW61" s="410"/>
      <c r="AX61" s="385"/>
      <c r="AY61" s="384"/>
      <c r="AZ61" s="392" t="s">
        <v>746</v>
      </c>
      <c r="BA61" s="393">
        <v>15</v>
      </c>
      <c r="BB61" s="410"/>
      <c r="BC61" s="385"/>
      <c r="BD61" s="384"/>
      <c r="BE61" s="392" t="s">
        <v>746</v>
      </c>
      <c r="BF61" s="393">
        <v>15</v>
      </c>
      <c r="BG61" s="410"/>
      <c r="BH61" s="385"/>
      <c r="BI61" s="384"/>
      <c r="BJ61" s="392" t="s">
        <v>746</v>
      </c>
      <c r="BK61" s="393">
        <v>15</v>
      </c>
      <c r="BL61" s="410"/>
      <c r="BM61" s="385"/>
      <c r="BN61" s="384"/>
      <c r="BO61" s="392" t="s">
        <v>746</v>
      </c>
      <c r="BP61" s="393">
        <v>15</v>
      </c>
      <c r="BQ61" s="410"/>
      <c r="BR61" s="385"/>
      <c r="BS61" s="384"/>
      <c r="BT61" s="392" t="s">
        <v>746</v>
      </c>
      <c r="BU61" s="393">
        <v>15</v>
      </c>
      <c r="BV61" s="410"/>
      <c r="BW61" s="385"/>
      <c r="BX61" s="384"/>
      <c r="BY61" s="392" t="s">
        <v>746</v>
      </c>
      <c r="BZ61" s="393">
        <v>15</v>
      </c>
      <c r="CA61" s="410"/>
      <c r="CB61" s="385"/>
      <c r="CC61" s="384"/>
      <c r="CD61" s="392" t="s">
        <v>746</v>
      </c>
      <c r="CE61" s="393">
        <v>15</v>
      </c>
      <c r="CF61" s="410"/>
      <c r="CG61" s="385"/>
      <c r="CI61" s="392" t="s">
        <v>746</v>
      </c>
      <c r="CJ61" s="393">
        <v>15</v>
      </c>
      <c r="CK61" s="410"/>
      <c r="CL61" s="385"/>
      <c r="CN61" s="392" t="s">
        <v>746</v>
      </c>
      <c r="CO61" s="393">
        <v>15</v>
      </c>
      <c r="CP61" s="410"/>
      <c r="CQ61" s="385"/>
      <c r="CT61" s="384"/>
    </row>
    <row r="62" spans="1:98" x14ac:dyDescent="0.3">
      <c r="A62" s="380"/>
      <c r="B62" s="744" t="s">
        <v>776</v>
      </c>
      <c r="C62" s="750">
        <f>IF(AND(D62="",E62=""),"",IF(E62="",D62,E62))</f>
        <v>50</v>
      </c>
      <c r="D62" s="743">
        <f>IF(INDEX(62:62,$E$2)="","", INDEX(62:62, $E$2))</f>
        <v>50</v>
      </c>
      <c r="E62" s="740"/>
      <c r="F62" s="407"/>
      <c r="G62" s="381"/>
      <c r="L62" s="392" t="s">
        <v>777</v>
      </c>
      <c r="M62" s="393">
        <v>50</v>
      </c>
      <c r="N62" s="410"/>
      <c r="O62" s="385"/>
      <c r="Q62" s="392" t="s">
        <v>777</v>
      </c>
      <c r="R62" s="393">
        <v>50</v>
      </c>
      <c r="S62" s="410"/>
      <c r="T62" s="385"/>
      <c r="U62" s="932"/>
      <c r="V62" s="392" t="s">
        <v>777</v>
      </c>
      <c r="W62" s="393">
        <v>50</v>
      </c>
      <c r="X62" s="410"/>
      <c r="Y62" s="385"/>
      <c r="Z62" s="932"/>
      <c r="AA62" s="392" t="s">
        <v>777</v>
      </c>
      <c r="AB62" s="393">
        <v>50</v>
      </c>
      <c r="AC62" s="410"/>
      <c r="AD62" s="385"/>
      <c r="AE62" s="384"/>
      <c r="AF62" s="392" t="s">
        <v>777</v>
      </c>
      <c r="AG62" s="393">
        <v>50</v>
      </c>
      <c r="AH62" s="410"/>
      <c r="AI62" s="385"/>
      <c r="AJ62" s="384"/>
      <c r="AK62" s="392" t="s">
        <v>777</v>
      </c>
      <c r="AL62" s="393">
        <v>50</v>
      </c>
      <c r="AM62" s="410"/>
      <c r="AN62" s="385"/>
      <c r="AO62" s="384"/>
      <c r="AP62" s="392" t="s">
        <v>777</v>
      </c>
      <c r="AQ62" s="393">
        <v>50</v>
      </c>
      <c r="AR62" s="410"/>
      <c r="AS62" s="385"/>
      <c r="AT62" s="384"/>
      <c r="AU62" s="392" t="s">
        <v>777</v>
      </c>
      <c r="AV62" s="393">
        <v>50</v>
      </c>
      <c r="AW62" s="410"/>
      <c r="AX62" s="385"/>
      <c r="AY62" s="384"/>
      <c r="AZ62" s="392" t="s">
        <v>777</v>
      </c>
      <c r="BA62" s="393">
        <v>50</v>
      </c>
      <c r="BB62" s="410"/>
      <c r="BC62" s="385"/>
      <c r="BD62" s="384"/>
      <c r="BE62" s="392" t="s">
        <v>777</v>
      </c>
      <c r="BF62" s="393">
        <v>50</v>
      </c>
      <c r="BG62" s="410"/>
      <c r="BH62" s="385"/>
      <c r="BI62" s="384"/>
      <c r="BJ62" s="392" t="s">
        <v>777</v>
      </c>
      <c r="BK62" s="393">
        <v>50</v>
      </c>
      <c r="BL62" s="410"/>
      <c r="BM62" s="385"/>
      <c r="BN62" s="384"/>
      <c r="BO62" s="392" t="s">
        <v>777</v>
      </c>
      <c r="BP62" s="393">
        <v>50</v>
      </c>
      <c r="BQ62" s="410"/>
      <c r="BR62" s="385"/>
      <c r="BS62" s="384"/>
      <c r="BT62" s="392" t="s">
        <v>777</v>
      </c>
      <c r="BU62" s="393">
        <v>50</v>
      </c>
      <c r="BV62" s="410"/>
      <c r="BW62" s="385"/>
      <c r="BX62" s="384"/>
      <c r="BY62" s="392" t="s">
        <v>777</v>
      </c>
      <c r="BZ62" s="393">
        <v>50</v>
      </c>
      <c r="CA62" s="410"/>
      <c r="CB62" s="385"/>
      <c r="CC62" s="384"/>
      <c r="CD62" s="392" t="s">
        <v>777</v>
      </c>
      <c r="CE62" s="393">
        <v>50</v>
      </c>
      <c r="CF62" s="410"/>
      <c r="CG62" s="385"/>
      <c r="CI62" s="392" t="s">
        <v>777</v>
      </c>
      <c r="CJ62" s="393">
        <v>50</v>
      </c>
      <c r="CK62" s="410"/>
      <c r="CL62" s="385"/>
      <c r="CN62" s="392" t="s">
        <v>777</v>
      </c>
      <c r="CO62" s="393">
        <v>50</v>
      </c>
      <c r="CP62" s="410"/>
      <c r="CQ62" s="385"/>
      <c r="CT62" s="384"/>
    </row>
    <row r="63" spans="1:98" ht="16" x14ac:dyDescent="0.3">
      <c r="A63" s="380"/>
      <c r="B63" s="745" t="s">
        <v>778</v>
      </c>
      <c r="C63" s="749">
        <f>IF(AND(D63="",E63=""),"",IF(E63="",D63,E63))</f>
        <v>0.47299999999999998</v>
      </c>
      <c r="D63" s="739">
        <f>IF(INDEX(63:63,$E$2)="","", INDEX(63:63, $E$2))</f>
        <v>0.47299999999999998</v>
      </c>
      <c r="E63" s="740"/>
      <c r="F63" s="407"/>
      <c r="G63" s="381"/>
      <c r="L63" s="408" t="s">
        <v>779</v>
      </c>
      <c r="M63" s="390">
        <f>(1-M62/100)*_rho_PP</f>
        <v>0.47299999999999998</v>
      </c>
      <c r="N63" s="410"/>
      <c r="O63" s="385"/>
      <c r="Q63" s="408" t="s">
        <v>779</v>
      </c>
      <c r="R63" s="390">
        <f>(1-R62/100)*_rho_PP</f>
        <v>0.47299999999999998</v>
      </c>
      <c r="S63" s="410"/>
      <c r="T63" s="385"/>
      <c r="U63" s="932"/>
      <c r="V63" s="408" t="s">
        <v>779</v>
      </c>
      <c r="W63" s="390">
        <f>(1-W62/100)*_rho_PP</f>
        <v>0.47299999999999998</v>
      </c>
      <c r="X63" s="410"/>
      <c r="Y63" s="385"/>
      <c r="Z63" s="932"/>
      <c r="AA63" s="408" t="s">
        <v>779</v>
      </c>
      <c r="AB63" s="390">
        <f>(1-AB62/100)*_rho_PP</f>
        <v>0.47299999999999998</v>
      </c>
      <c r="AC63" s="410"/>
      <c r="AD63" s="385"/>
      <c r="AE63" s="384"/>
      <c r="AF63" s="408" t="s">
        <v>779</v>
      </c>
      <c r="AG63" s="390">
        <f>(1-AG62/100)*_rho_PP</f>
        <v>0.47299999999999998</v>
      </c>
      <c r="AH63" s="410"/>
      <c r="AI63" s="385"/>
      <c r="AJ63" s="384"/>
      <c r="AK63" s="408" t="s">
        <v>779</v>
      </c>
      <c r="AL63" s="390">
        <f>(1-AL62/100)*_rho_PP</f>
        <v>0.47299999999999998</v>
      </c>
      <c r="AM63" s="410"/>
      <c r="AN63" s="385"/>
      <c r="AO63" s="384"/>
      <c r="AP63" s="408" t="s">
        <v>779</v>
      </c>
      <c r="AQ63" s="390">
        <f>(1-AQ62/100)*_rho_PP</f>
        <v>0.47299999999999998</v>
      </c>
      <c r="AR63" s="410"/>
      <c r="AS63" s="385"/>
      <c r="AT63" s="384"/>
      <c r="AU63" s="408" t="s">
        <v>779</v>
      </c>
      <c r="AV63" s="390">
        <f>(1-AV62/100)*_rho_PP</f>
        <v>0.47299999999999998</v>
      </c>
      <c r="AW63" s="410"/>
      <c r="AX63" s="385"/>
      <c r="AY63" s="384"/>
      <c r="AZ63" s="408" t="s">
        <v>779</v>
      </c>
      <c r="BA63" s="390">
        <f>(1-BA62/100)*_rho_PP</f>
        <v>0.47299999999999998</v>
      </c>
      <c r="BB63" s="410"/>
      <c r="BC63" s="385"/>
      <c r="BD63" s="384"/>
      <c r="BE63" s="408" t="s">
        <v>779</v>
      </c>
      <c r="BF63" s="390">
        <f>(1-BF62/100)*_rho_PP</f>
        <v>0.47299999999999998</v>
      </c>
      <c r="BG63" s="410"/>
      <c r="BH63" s="385"/>
      <c r="BI63" s="384"/>
      <c r="BJ63" s="408" t="s">
        <v>779</v>
      </c>
      <c r="BK63" s="390">
        <f>(1-BK62/100)*_rho_PP</f>
        <v>0.47299999999999998</v>
      </c>
      <c r="BL63" s="410"/>
      <c r="BM63" s="385"/>
      <c r="BN63" s="384"/>
      <c r="BO63" s="408" t="s">
        <v>779</v>
      </c>
      <c r="BP63" s="390">
        <f>(1-BP62/100)*_rho_PP</f>
        <v>0.47299999999999998</v>
      </c>
      <c r="BQ63" s="410"/>
      <c r="BR63" s="385"/>
      <c r="BS63" s="384"/>
      <c r="BT63" s="408" t="s">
        <v>779</v>
      </c>
      <c r="BU63" s="390">
        <f>(1-BU62/100)*_rho_PP</f>
        <v>0.47299999999999998</v>
      </c>
      <c r="BV63" s="410"/>
      <c r="BW63" s="385"/>
      <c r="BX63" s="384"/>
      <c r="BY63" s="408" t="s">
        <v>779</v>
      </c>
      <c r="BZ63" s="390">
        <f>(1-BZ62/100)*_rho_PP</f>
        <v>0.47299999999999998</v>
      </c>
      <c r="CA63" s="410"/>
      <c r="CB63" s="385"/>
      <c r="CC63" s="384"/>
      <c r="CD63" s="408" t="s">
        <v>779</v>
      </c>
      <c r="CE63" s="390">
        <f>(1-CE62/100)*_rho_PP</f>
        <v>0.47299999999999998</v>
      </c>
      <c r="CF63" s="410"/>
      <c r="CG63" s="385"/>
      <c r="CI63" s="408" t="s">
        <v>779</v>
      </c>
      <c r="CJ63" s="390">
        <f>(1-CJ62/100)*_rho_PP</f>
        <v>0.47299999999999998</v>
      </c>
      <c r="CK63" s="410"/>
      <c r="CL63" s="385"/>
      <c r="CN63" s="408" t="s">
        <v>779</v>
      </c>
      <c r="CO63" s="390">
        <f>(1-CO62/100)*_rho_PP</f>
        <v>0.47299999999999998</v>
      </c>
      <c r="CP63" s="410"/>
      <c r="CQ63" s="385"/>
      <c r="CT63" s="384"/>
    </row>
    <row r="64" spans="1:98" ht="14.5" thickBot="1" x14ac:dyDescent="0.35">
      <c r="A64" s="380"/>
      <c r="B64" s="745"/>
      <c r="C64" s="738"/>
      <c r="D64" s="739"/>
      <c r="E64" s="740"/>
      <c r="F64" s="407"/>
      <c r="G64" s="381"/>
      <c r="L64" s="408"/>
      <c r="M64" s="390"/>
      <c r="N64" s="410"/>
      <c r="O64" s="385"/>
      <c r="Q64" s="408"/>
      <c r="R64" s="390"/>
      <c r="S64" s="410"/>
      <c r="T64" s="385"/>
      <c r="U64" s="932"/>
      <c r="V64" s="408"/>
      <c r="W64" s="390"/>
      <c r="X64" s="410"/>
      <c r="Y64" s="385"/>
      <c r="Z64" s="932"/>
      <c r="AA64" s="408"/>
      <c r="AB64" s="390"/>
      <c r="AC64" s="410"/>
      <c r="AD64" s="385"/>
      <c r="AE64" s="384"/>
      <c r="AF64" s="408"/>
      <c r="AG64" s="390"/>
      <c r="AH64" s="410"/>
      <c r="AI64" s="385"/>
      <c r="AJ64" s="384"/>
      <c r="AK64" s="408"/>
      <c r="AL64" s="390"/>
      <c r="AM64" s="410"/>
      <c r="AN64" s="385"/>
      <c r="AO64" s="384"/>
      <c r="AP64" s="408"/>
      <c r="AQ64" s="390"/>
      <c r="AR64" s="410"/>
      <c r="AS64" s="385"/>
      <c r="AT64" s="384"/>
      <c r="AU64" s="408"/>
      <c r="AV64" s="390"/>
      <c r="AW64" s="410"/>
      <c r="AX64" s="385"/>
      <c r="AY64" s="384"/>
      <c r="AZ64" s="408"/>
      <c r="BA64" s="390"/>
      <c r="BB64" s="410"/>
      <c r="BC64" s="385"/>
      <c r="BD64" s="384"/>
      <c r="BE64" s="408"/>
      <c r="BF64" s="390"/>
      <c r="BG64" s="410"/>
      <c r="BH64" s="385"/>
      <c r="BI64" s="384"/>
      <c r="BJ64" s="408"/>
      <c r="BK64" s="390"/>
      <c r="BL64" s="410"/>
      <c r="BM64" s="385"/>
      <c r="BN64" s="384"/>
      <c r="BO64" s="408"/>
      <c r="BP64" s="390"/>
      <c r="BQ64" s="410"/>
      <c r="BR64" s="385"/>
      <c r="BS64" s="384"/>
      <c r="BT64" s="408"/>
      <c r="BU64" s="390"/>
      <c r="BV64" s="410"/>
      <c r="BW64" s="385"/>
      <c r="BX64" s="384"/>
      <c r="BY64" s="408"/>
      <c r="BZ64" s="390"/>
      <c r="CA64" s="410"/>
      <c r="CB64" s="385"/>
      <c r="CC64" s="384"/>
      <c r="CD64" s="408"/>
      <c r="CE64" s="390"/>
      <c r="CF64" s="410"/>
      <c r="CG64" s="385"/>
      <c r="CI64" s="408"/>
      <c r="CJ64" s="390"/>
      <c r="CK64" s="410"/>
      <c r="CL64" s="385"/>
      <c r="CN64" s="408"/>
      <c r="CO64" s="390"/>
      <c r="CP64" s="410"/>
      <c r="CQ64" s="385"/>
      <c r="CT64" s="384"/>
    </row>
    <row r="65" spans="1:98" ht="18.5" thickBot="1" x14ac:dyDescent="0.45">
      <c r="A65" s="380"/>
      <c r="B65" s="591" t="s">
        <v>780</v>
      </c>
      <c r="C65" s="753"/>
      <c r="D65" s="753"/>
      <c r="E65" s="753"/>
      <c r="F65" s="590"/>
      <c r="G65" s="381"/>
      <c r="L65" s="417" t="s">
        <v>781</v>
      </c>
      <c r="M65" s="390"/>
      <c r="N65" s="410"/>
      <c r="O65" s="385"/>
      <c r="Q65" s="417" t="s">
        <v>781</v>
      </c>
      <c r="R65" s="390"/>
      <c r="S65" s="410"/>
      <c r="T65" s="385"/>
      <c r="U65" s="932"/>
      <c r="V65" s="417" t="s">
        <v>781</v>
      </c>
      <c r="W65" s="390"/>
      <c r="X65" s="410"/>
      <c r="Y65" s="385"/>
      <c r="Z65" s="932"/>
      <c r="AA65" s="417" t="s">
        <v>781</v>
      </c>
      <c r="AB65" s="390"/>
      <c r="AC65" s="410"/>
      <c r="AD65" s="385"/>
      <c r="AE65" s="384"/>
      <c r="AF65" s="417" t="s">
        <v>781</v>
      </c>
      <c r="AG65" s="390"/>
      <c r="AH65" s="410"/>
      <c r="AI65" s="385"/>
      <c r="AJ65" s="384"/>
      <c r="AK65" s="417" t="s">
        <v>781</v>
      </c>
      <c r="AL65" s="390"/>
      <c r="AM65" s="410"/>
      <c r="AN65" s="385"/>
      <c r="AO65" s="384"/>
      <c r="AP65" s="417" t="s">
        <v>781</v>
      </c>
      <c r="AQ65" s="390"/>
      <c r="AR65" s="410"/>
      <c r="AS65" s="385"/>
      <c r="AT65" s="384"/>
      <c r="AU65" s="417" t="s">
        <v>781</v>
      </c>
      <c r="AV65" s="390"/>
      <c r="AW65" s="410"/>
      <c r="AX65" s="385"/>
      <c r="AY65" s="384"/>
      <c r="AZ65" s="417" t="s">
        <v>781</v>
      </c>
      <c r="BA65" s="390"/>
      <c r="BB65" s="410"/>
      <c r="BC65" s="385"/>
      <c r="BD65" s="384"/>
      <c r="BE65" s="417" t="s">
        <v>781</v>
      </c>
      <c r="BF65" s="390"/>
      <c r="BG65" s="410"/>
      <c r="BH65" s="385"/>
      <c r="BI65" s="384"/>
      <c r="BJ65" s="417" t="s">
        <v>781</v>
      </c>
      <c r="BK65" s="390"/>
      <c r="BL65" s="410"/>
      <c r="BM65" s="385"/>
      <c r="BN65" s="384"/>
      <c r="BO65" s="417" t="s">
        <v>781</v>
      </c>
      <c r="BP65" s="390"/>
      <c r="BQ65" s="410"/>
      <c r="BR65" s="385"/>
      <c r="BS65" s="384"/>
      <c r="BT65" s="417" t="s">
        <v>781</v>
      </c>
      <c r="BU65" s="390"/>
      <c r="BV65" s="410"/>
      <c r="BW65" s="385"/>
      <c r="BX65" s="384"/>
      <c r="BY65" s="417" t="s">
        <v>781</v>
      </c>
      <c r="BZ65" s="390"/>
      <c r="CA65" s="410"/>
      <c r="CB65" s="385"/>
      <c r="CC65" s="384"/>
      <c r="CD65" s="417" t="s">
        <v>781</v>
      </c>
      <c r="CE65" s="390"/>
      <c r="CF65" s="410"/>
      <c r="CG65" s="385"/>
      <c r="CI65" s="417" t="s">
        <v>781</v>
      </c>
      <c r="CJ65" s="390"/>
      <c r="CK65" s="410"/>
      <c r="CL65" s="385"/>
      <c r="CN65" s="417" t="s">
        <v>781</v>
      </c>
      <c r="CO65" s="390"/>
      <c r="CP65" s="410"/>
      <c r="CQ65" s="385"/>
      <c r="CT65" s="384"/>
    </row>
    <row r="66" spans="1:98" x14ac:dyDescent="0.3">
      <c r="A66" s="380"/>
      <c r="B66" s="741" t="s">
        <v>782</v>
      </c>
      <c r="C66" s="738">
        <f>IF(AND(D66="",E66=""),"",IF(E66="",D66,E66))</f>
        <v>1.2</v>
      </c>
      <c r="D66" s="739">
        <f>IF(INDEX(66:66,$E$2)="","", INDEX(66:66, $E$2))</f>
        <v>1.2</v>
      </c>
      <c r="E66" s="740"/>
      <c r="F66" s="407"/>
      <c r="G66" s="381"/>
      <c r="L66" s="383" t="s">
        <v>782</v>
      </c>
      <c r="M66" s="390">
        <v>1.2</v>
      </c>
      <c r="N66" s="410"/>
      <c r="O66" s="385"/>
      <c r="Q66" s="383" t="s">
        <v>782</v>
      </c>
      <c r="R66" s="390">
        <v>1.2</v>
      </c>
      <c r="S66" s="410"/>
      <c r="T66" s="385"/>
      <c r="U66" s="932"/>
      <c r="V66" s="383" t="s">
        <v>782</v>
      </c>
      <c r="W66" s="390">
        <v>1.2</v>
      </c>
      <c r="X66" s="410"/>
      <c r="Y66" s="385"/>
      <c r="Z66" s="932"/>
      <c r="AA66" s="383" t="s">
        <v>782</v>
      </c>
      <c r="AB66" s="390">
        <v>1.2</v>
      </c>
      <c r="AC66" s="410"/>
      <c r="AD66" s="385"/>
      <c r="AE66" s="384"/>
      <c r="AF66" s="383" t="s">
        <v>782</v>
      </c>
      <c r="AG66" s="390">
        <v>1.2</v>
      </c>
      <c r="AH66" s="410"/>
      <c r="AI66" s="385"/>
      <c r="AJ66" s="384"/>
      <c r="AK66" s="383" t="s">
        <v>782</v>
      </c>
      <c r="AL66" s="390">
        <v>1.2</v>
      </c>
      <c r="AM66" s="410"/>
      <c r="AN66" s="385"/>
      <c r="AO66" s="384"/>
      <c r="AP66" s="383" t="s">
        <v>782</v>
      </c>
      <c r="AQ66" s="390">
        <v>1.2</v>
      </c>
      <c r="AR66" s="410"/>
      <c r="AS66" s="385"/>
      <c r="AT66" s="384"/>
      <c r="AU66" s="383" t="s">
        <v>782</v>
      </c>
      <c r="AV66" s="390">
        <v>1.2</v>
      </c>
      <c r="AW66" s="410"/>
      <c r="AX66" s="385"/>
      <c r="AY66" s="384"/>
      <c r="AZ66" s="383" t="s">
        <v>782</v>
      </c>
      <c r="BA66" s="390">
        <v>1.2</v>
      </c>
      <c r="BB66" s="410"/>
      <c r="BC66" s="385"/>
      <c r="BD66" s="384"/>
      <c r="BE66" s="383" t="s">
        <v>782</v>
      </c>
      <c r="BF66" s="390">
        <v>1.2</v>
      </c>
      <c r="BG66" s="410"/>
      <c r="BH66" s="385"/>
      <c r="BI66" s="384"/>
      <c r="BJ66" s="383" t="s">
        <v>782</v>
      </c>
      <c r="BK66" s="390">
        <v>1.2</v>
      </c>
      <c r="BL66" s="410"/>
      <c r="BM66" s="385"/>
      <c r="BN66" s="384"/>
      <c r="BO66" s="383" t="s">
        <v>782</v>
      </c>
      <c r="BP66" s="390">
        <v>1.2</v>
      </c>
      <c r="BQ66" s="410"/>
      <c r="BR66" s="385"/>
      <c r="BS66" s="384"/>
      <c r="BT66" s="383" t="s">
        <v>782</v>
      </c>
      <c r="BU66" s="390">
        <v>1.2</v>
      </c>
      <c r="BV66" s="410"/>
      <c r="BW66" s="385"/>
      <c r="BX66" s="384"/>
      <c r="BY66" s="383" t="s">
        <v>782</v>
      </c>
      <c r="BZ66" s="390">
        <v>1.2</v>
      </c>
      <c r="CA66" s="410"/>
      <c r="CB66" s="385"/>
      <c r="CC66" s="384"/>
      <c r="CD66" s="383" t="s">
        <v>782</v>
      </c>
      <c r="CE66" s="390">
        <v>1.2</v>
      </c>
      <c r="CF66" s="410"/>
      <c r="CG66" s="385"/>
      <c r="CI66" s="383" t="s">
        <v>782</v>
      </c>
      <c r="CJ66" s="390">
        <v>1.2</v>
      </c>
      <c r="CK66" s="410"/>
      <c r="CL66" s="385"/>
      <c r="CN66" s="383" t="s">
        <v>782</v>
      </c>
      <c r="CO66" s="390">
        <v>1.2</v>
      </c>
      <c r="CP66" s="410"/>
      <c r="CQ66" s="385"/>
      <c r="CT66" s="384"/>
    </row>
    <row r="67" spans="1:98" x14ac:dyDescent="0.3">
      <c r="A67" s="380"/>
      <c r="B67" s="741" t="s">
        <v>783</v>
      </c>
      <c r="C67" s="738">
        <f>IF(AND(D67="",E67=""),"",IF(E67="",D67,E67))</f>
        <v>8.3279999999999994</v>
      </c>
      <c r="D67" s="739">
        <f>IF(INDEX(67:67,$E$2)="","", INDEX(67:67, $E$2))</f>
        <v>8.3279999999999994</v>
      </c>
      <c r="E67" s="740"/>
      <c r="F67" s="419"/>
      <c r="L67" s="383" t="s">
        <v>783</v>
      </c>
      <c r="M67" s="927">
        <f>1.2*6.94</f>
        <v>8.3279999999999994</v>
      </c>
      <c r="N67" s="410"/>
      <c r="O67" s="421"/>
      <c r="P67" s="410"/>
      <c r="Q67" s="383" t="s">
        <v>783</v>
      </c>
      <c r="R67" s="927">
        <f>1.2*6.94</f>
        <v>8.3279999999999994</v>
      </c>
      <c r="S67" s="410"/>
      <c r="T67" s="421"/>
      <c r="U67" s="932"/>
      <c r="V67" s="383" t="s">
        <v>783</v>
      </c>
      <c r="W67" s="927">
        <f>1.2*6.94</f>
        <v>8.3279999999999994</v>
      </c>
      <c r="X67" s="410"/>
      <c r="Y67" s="421"/>
      <c r="Z67" s="932"/>
      <c r="AA67" s="383" t="s">
        <v>783</v>
      </c>
      <c r="AB67" s="927">
        <f>1.2*6.94</f>
        <v>8.3279999999999994</v>
      </c>
      <c r="AC67" s="410"/>
      <c r="AD67" s="421"/>
      <c r="AE67" s="410"/>
      <c r="AF67" s="383" t="s">
        <v>783</v>
      </c>
      <c r="AG67" s="927">
        <f>1.2*6.94</f>
        <v>8.3279999999999994</v>
      </c>
      <c r="AH67" s="410"/>
      <c r="AI67" s="421"/>
      <c r="AJ67" s="384"/>
      <c r="AK67" s="383" t="s">
        <v>783</v>
      </c>
      <c r="AL67" s="927">
        <f>1.2*6.94</f>
        <v>8.3279999999999994</v>
      </c>
      <c r="AM67" s="410"/>
      <c r="AN67" s="421"/>
      <c r="AO67" s="384"/>
      <c r="AP67" s="383" t="s">
        <v>783</v>
      </c>
      <c r="AQ67" s="927">
        <f>1.2*6.94</f>
        <v>8.3279999999999994</v>
      </c>
      <c r="AR67" s="410"/>
      <c r="AS67" s="421"/>
      <c r="AT67" s="384"/>
      <c r="AU67" s="383" t="s">
        <v>783</v>
      </c>
      <c r="AV67" s="927">
        <f>1.2*6.94</f>
        <v>8.3279999999999994</v>
      </c>
      <c r="AW67" s="410"/>
      <c r="AX67" s="421"/>
      <c r="AY67" s="384"/>
      <c r="AZ67" s="383" t="s">
        <v>783</v>
      </c>
      <c r="BA67" s="927">
        <f>1.2*6.94</f>
        <v>8.3279999999999994</v>
      </c>
      <c r="BB67" s="410"/>
      <c r="BC67" s="421"/>
      <c r="BD67" s="384"/>
      <c r="BE67" s="383" t="s">
        <v>783</v>
      </c>
      <c r="BF67" s="927">
        <f>1.2*6.94</f>
        <v>8.3279999999999994</v>
      </c>
      <c r="BG67" s="410"/>
      <c r="BH67" s="421"/>
      <c r="BI67" s="384"/>
      <c r="BJ67" s="383" t="s">
        <v>783</v>
      </c>
      <c r="BK67" s="927">
        <f>1.2*6.94</f>
        <v>8.3279999999999994</v>
      </c>
      <c r="BL67" s="410"/>
      <c r="BM67" s="421"/>
      <c r="BN67" s="384"/>
      <c r="BO67" s="383" t="s">
        <v>783</v>
      </c>
      <c r="BP67" s="927">
        <f>1.2*6.94</f>
        <v>8.3279999999999994</v>
      </c>
      <c r="BQ67" s="410"/>
      <c r="BR67" s="421"/>
      <c r="BS67" s="384"/>
      <c r="BT67" s="383" t="s">
        <v>783</v>
      </c>
      <c r="BU67" s="927">
        <f>1.2*6.94</f>
        <v>8.3279999999999994</v>
      </c>
      <c r="BV67" s="410"/>
      <c r="BW67" s="421"/>
      <c r="BX67" s="384"/>
      <c r="BY67" s="383" t="s">
        <v>783</v>
      </c>
      <c r="BZ67" s="927">
        <f>1.2*6.94</f>
        <v>8.3279999999999994</v>
      </c>
      <c r="CA67" s="410"/>
      <c r="CB67" s="421"/>
      <c r="CC67" s="384"/>
      <c r="CD67" s="383" t="s">
        <v>783</v>
      </c>
      <c r="CE67" s="927">
        <f>1.2*6.94</f>
        <v>8.3279999999999994</v>
      </c>
      <c r="CF67" s="410"/>
      <c r="CG67" s="421"/>
      <c r="CI67" s="383" t="s">
        <v>783</v>
      </c>
      <c r="CJ67" s="927">
        <f>1.2*6.94</f>
        <v>8.3279999999999994</v>
      </c>
      <c r="CK67" s="410"/>
      <c r="CL67" s="421"/>
      <c r="CN67" s="383" t="s">
        <v>783</v>
      </c>
      <c r="CO67" s="927">
        <f>1.2*6.94</f>
        <v>8.3279999999999994</v>
      </c>
      <c r="CP67" s="410"/>
      <c r="CQ67" s="421"/>
      <c r="CT67" s="410"/>
    </row>
    <row r="68" spans="1:98" x14ac:dyDescent="0.3">
      <c r="A68" s="380"/>
      <c r="B68" s="745" t="s">
        <v>784</v>
      </c>
      <c r="C68" s="738">
        <f>IF(AND(D68="",E68=""),"",IF(E68="",D68,E68))</f>
        <v>100</v>
      </c>
      <c r="D68" s="739">
        <f>IF(INDEX(68:68,$E$2)="","", INDEX(68:68, $E$2))</f>
        <v>100</v>
      </c>
      <c r="E68" s="740"/>
      <c r="F68" s="407"/>
      <c r="G68" s="381"/>
      <c r="L68" s="408" t="s">
        <v>784</v>
      </c>
      <c r="M68" s="415">
        <v>100</v>
      </c>
      <c r="N68" s="410"/>
      <c r="O68" s="385"/>
      <c r="Q68" s="408" t="s">
        <v>784</v>
      </c>
      <c r="R68" s="415">
        <v>100</v>
      </c>
      <c r="S68" s="410"/>
      <c r="T68" s="385"/>
      <c r="U68" s="932"/>
      <c r="V68" s="408" t="s">
        <v>784</v>
      </c>
      <c r="W68" s="415">
        <v>100</v>
      </c>
      <c r="X68" s="410"/>
      <c r="Y68" s="385"/>
      <c r="Z68" s="932"/>
      <c r="AA68" s="408" t="s">
        <v>784</v>
      </c>
      <c r="AB68" s="415">
        <v>100</v>
      </c>
      <c r="AC68" s="410"/>
      <c r="AD68" s="385"/>
      <c r="AE68" s="384"/>
      <c r="AF68" s="408" t="s">
        <v>784</v>
      </c>
      <c r="AG68" s="415">
        <v>100</v>
      </c>
      <c r="AH68" s="410"/>
      <c r="AI68" s="385"/>
      <c r="AJ68" s="384"/>
      <c r="AK68" s="408" t="s">
        <v>784</v>
      </c>
      <c r="AL68" s="415">
        <v>100</v>
      </c>
      <c r="AM68" s="410"/>
      <c r="AN68" s="385"/>
      <c r="AO68" s="384"/>
      <c r="AP68" s="408" t="s">
        <v>784</v>
      </c>
      <c r="AQ68" s="415">
        <v>100</v>
      </c>
      <c r="AR68" s="410"/>
      <c r="AS68" s="385"/>
      <c r="AT68" s="384"/>
      <c r="AU68" s="408" t="s">
        <v>784</v>
      </c>
      <c r="AV68" s="415">
        <v>100</v>
      </c>
      <c r="AW68" s="410"/>
      <c r="AX68" s="385"/>
      <c r="AY68" s="384"/>
      <c r="AZ68" s="408" t="s">
        <v>784</v>
      </c>
      <c r="BA68" s="415">
        <v>100</v>
      </c>
      <c r="BB68" s="410"/>
      <c r="BC68" s="385"/>
      <c r="BD68" s="384"/>
      <c r="BE68" s="408" t="s">
        <v>784</v>
      </c>
      <c r="BF68" s="415">
        <v>100</v>
      </c>
      <c r="BG68" s="410"/>
      <c r="BH68" s="385"/>
      <c r="BI68" s="384"/>
      <c r="BJ68" s="408" t="s">
        <v>784</v>
      </c>
      <c r="BK68" s="415">
        <v>100</v>
      </c>
      <c r="BL68" s="410"/>
      <c r="BM68" s="385"/>
      <c r="BN68" s="384"/>
      <c r="BO68" s="408" t="s">
        <v>784</v>
      </c>
      <c r="BP68" s="415">
        <v>100</v>
      </c>
      <c r="BQ68" s="410"/>
      <c r="BR68" s="385"/>
      <c r="BS68" s="384"/>
      <c r="BT68" s="408" t="s">
        <v>784</v>
      </c>
      <c r="BU68" s="415">
        <v>100</v>
      </c>
      <c r="BV68" s="410"/>
      <c r="BW68" s="385"/>
      <c r="BX68" s="384"/>
      <c r="BY68" s="408" t="s">
        <v>784</v>
      </c>
      <c r="BZ68" s="415">
        <v>100</v>
      </c>
      <c r="CA68" s="410"/>
      <c r="CB68" s="385"/>
      <c r="CC68" s="384"/>
      <c r="CD68" s="408" t="s">
        <v>784</v>
      </c>
      <c r="CE68" s="415">
        <v>100</v>
      </c>
      <c r="CF68" s="410"/>
      <c r="CG68" s="385"/>
      <c r="CI68" s="408" t="s">
        <v>784</v>
      </c>
      <c r="CJ68" s="415">
        <v>100</v>
      </c>
      <c r="CK68" s="410"/>
      <c r="CL68" s="385"/>
      <c r="CN68" s="408" t="s">
        <v>784</v>
      </c>
      <c r="CO68" s="415">
        <v>100</v>
      </c>
      <c r="CP68" s="410"/>
      <c r="CQ68" s="385"/>
      <c r="CT68" s="384"/>
    </row>
    <row r="69" spans="1:98" ht="14.5" thickBot="1" x14ac:dyDescent="0.35">
      <c r="A69" s="380"/>
      <c r="B69" s="745"/>
      <c r="C69" s="738"/>
      <c r="D69" s="739"/>
      <c r="E69" s="740"/>
      <c r="F69" s="407"/>
      <c r="G69" s="381"/>
      <c r="L69" s="408"/>
      <c r="M69" s="390"/>
      <c r="N69" s="410"/>
      <c r="O69" s="385"/>
      <c r="Q69" s="408"/>
      <c r="R69" s="390"/>
      <c r="S69" s="410"/>
      <c r="T69" s="385"/>
      <c r="U69" s="932"/>
      <c r="V69" s="408"/>
      <c r="W69" s="390"/>
      <c r="X69" s="410"/>
      <c r="Y69" s="385"/>
      <c r="Z69" s="932"/>
      <c r="AA69" s="408"/>
      <c r="AB69" s="390"/>
      <c r="AC69" s="410"/>
      <c r="AD69" s="385"/>
      <c r="AE69" s="384"/>
      <c r="AF69" s="408"/>
      <c r="AG69" s="390"/>
      <c r="AH69" s="410"/>
      <c r="AI69" s="385"/>
      <c r="AJ69" s="384"/>
      <c r="AK69" s="408"/>
      <c r="AL69" s="390"/>
      <c r="AM69" s="410"/>
      <c r="AN69" s="385"/>
      <c r="AO69" s="384"/>
      <c r="AP69" s="408"/>
      <c r="AQ69" s="390"/>
      <c r="AR69" s="410"/>
      <c r="AS69" s="385"/>
      <c r="AT69" s="384"/>
      <c r="AU69" s="408"/>
      <c r="AV69" s="390"/>
      <c r="AW69" s="410"/>
      <c r="AX69" s="385"/>
      <c r="AY69" s="384"/>
      <c r="AZ69" s="408"/>
      <c r="BA69" s="390"/>
      <c r="BB69" s="410"/>
      <c r="BC69" s="385"/>
      <c r="BD69" s="384"/>
      <c r="BE69" s="408"/>
      <c r="BF69" s="390"/>
      <c r="BG69" s="410"/>
      <c r="BH69" s="385"/>
      <c r="BI69" s="384"/>
      <c r="BJ69" s="408"/>
      <c r="BK69" s="390"/>
      <c r="BL69" s="410"/>
      <c r="BM69" s="385"/>
      <c r="BN69" s="384"/>
      <c r="BO69" s="408"/>
      <c r="BP69" s="390"/>
      <c r="BQ69" s="410"/>
      <c r="BR69" s="385"/>
      <c r="BS69" s="384"/>
      <c r="BT69" s="408"/>
      <c r="BU69" s="390"/>
      <c r="BV69" s="410"/>
      <c r="BW69" s="385"/>
      <c r="BX69" s="384"/>
      <c r="BY69" s="408"/>
      <c r="BZ69" s="390"/>
      <c r="CA69" s="410"/>
      <c r="CB69" s="385"/>
      <c r="CC69" s="384"/>
      <c r="CD69" s="408"/>
      <c r="CE69" s="390"/>
      <c r="CF69" s="410"/>
      <c r="CG69" s="385"/>
      <c r="CI69" s="408"/>
      <c r="CJ69" s="390"/>
      <c r="CK69" s="410"/>
      <c r="CL69" s="385"/>
      <c r="CN69" s="408"/>
      <c r="CO69" s="390"/>
      <c r="CP69" s="410"/>
      <c r="CQ69" s="385"/>
      <c r="CT69" s="384"/>
    </row>
    <row r="70" spans="1:98" ht="18.5" thickBot="1" x14ac:dyDescent="0.45">
      <c r="A70" s="380"/>
      <c r="B70" s="591" t="s">
        <v>315</v>
      </c>
      <c r="C70" s="753"/>
      <c r="D70" s="753"/>
      <c r="E70" s="753"/>
      <c r="F70" s="590"/>
      <c r="G70" s="381"/>
      <c r="L70" s="408"/>
      <c r="M70" s="390"/>
      <c r="N70" s="410"/>
      <c r="O70" s="385"/>
      <c r="Q70" s="408"/>
      <c r="R70" s="390"/>
      <c r="S70" s="410"/>
      <c r="T70" s="385"/>
      <c r="U70" s="932"/>
      <c r="V70" s="408"/>
      <c r="W70" s="390"/>
      <c r="X70" s="410"/>
      <c r="Y70" s="385"/>
      <c r="Z70" s="932"/>
      <c r="AA70" s="408"/>
      <c r="AB70" s="390"/>
      <c r="AC70" s="410"/>
      <c r="AD70" s="385"/>
      <c r="AE70" s="384"/>
      <c r="AF70" s="408"/>
      <c r="AG70" s="390"/>
      <c r="AH70" s="410"/>
      <c r="AI70" s="385"/>
      <c r="AJ70" s="384"/>
      <c r="AK70" s="408"/>
      <c r="AL70" s="390"/>
      <c r="AM70" s="410"/>
      <c r="AN70" s="385"/>
      <c r="AO70" s="384"/>
      <c r="AP70" s="408"/>
      <c r="AQ70" s="390"/>
      <c r="AR70" s="410"/>
      <c r="AS70" s="385"/>
      <c r="AT70" s="384"/>
      <c r="AU70" s="408"/>
      <c r="AV70" s="390"/>
      <c r="AW70" s="410"/>
      <c r="AX70" s="385"/>
      <c r="AY70" s="384"/>
      <c r="AZ70" s="408"/>
      <c r="BA70" s="390"/>
      <c r="BB70" s="410"/>
      <c r="BC70" s="385"/>
      <c r="BD70" s="384"/>
      <c r="BE70" s="408"/>
      <c r="BF70" s="390"/>
      <c r="BG70" s="410"/>
      <c r="BH70" s="385"/>
      <c r="BI70" s="384"/>
      <c r="BJ70" s="408"/>
      <c r="BK70" s="390"/>
      <c r="BL70" s="410"/>
      <c r="BM70" s="385"/>
      <c r="BN70" s="384"/>
      <c r="BO70" s="408"/>
      <c r="BP70" s="390"/>
      <c r="BQ70" s="410"/>
      <c r="BR70" s="385"/>
      <c r="BS70" s="384"/>
      <c r="BT70" s="408"/>
      <c r="BU70" s="390"/>
      <c r="BV70" s="410"/>
      <c r="BW70" s="385"/>
      <c r="BX70" s="384"/>
      <c r="BY70" s="408"/>
      <c r="BZ70" s="390"/>
      <c r="CA70" s="410"/>
      <c r="CB70" s="385"/>
      <c r="CC70" s="384"/>
      <c r="CD70" s="408"/>
      <c r="CE70" s="390"/>
      <c r="CF70" s="410"/>
      <c r="CG70" s="385"/>
      <c r="CI70" s="408"/>
      <c r="CJ70" s="390"/>
      <c r="CK70" s="410"/>
      <c r="CL70" s="385"/>
      <c r="CN70" s="408"/>
      <c r="CO70" s="390"/>
      <c r="CP70" s="410"/>
      <c r="CQ70" s="385"/>
      <c r="CT70" s="384"/>
    </row>
    <row r="71" spans="1:98" x14ac:dyDescent="0.3">
      <c r="A71" s="380"/>
      <c r="B71" s="758" t="s">
        <v>785</v>
      </c>
      <c r="C71" s="738"/>
      <c r="D71" s="739"/>
      <c r="E71" s="740"/>
      <c r="F71" s="407"/>
      <c r="G71" s="381"/>
      <c r="L71" s="408"/>
      <c r="M71" s="390"/>
      <c r="N71" s="410"/>
      <c r="O71" s="385"/>
      <c r="Q71" s="408"/>
      <c r="R71" s="390"/>
      <c r="S71" s="410"/>
      <c r="T71" s="385"/>
      <c r="U71" s="932"/>
      <c r="V71" s="408"/>
      <c r="W71" s="390"/>
      <c r="X71" s="410"/>
      <c r="Y71" s="385"/>
      <c r="Z71" s="932"/>
      <c r="AA71" s="408"/>
      <c r="AB71" s="390"/>
      <c r="AC71" s="410"/>
      <c r="AD71" s="385"/>
      <c r="AE71" s="384"/>
      <c r="AF71" s="408"/>
      <c r="AG71" s="390"/>
      <c r="AH71" s="410"/>
      <c r="AI71" s="385"/>
      <c r="AJ71" s="384"/>
      <c r="AK71" s="408"/>
      <c r="AL71" s="390"/>
      <c r="AM71" s="410"/>
      <c r="AN71" s="385"/>
      <c r="AO71" s="384"/>
      <c r="AP71" s="408"/>
      <c r="AQ71" s="390"/>
      <c r="AR71" s="410"/>
      <c r="AS71" s="385"/>
      <c r="AT71" s="384"/>
      <c r="AU71" s="408"/>
      <c r="AV71" s="390"/>
      <c r="AW71" s="410"/>
      <c r="AX71" s="385"/>
      <c r="AY71" s="384"/>
      <c r="AZ71" s="408"/>
      <c r="BA71" s="390"/>
      <c r="BB71" s="410"/>
      <c r="BC71" s="385"/>
      <c r="BD71" s="384"/>
      <c r="BE71" s="408"/>
      <c r="BF71" s="390"/>
      <c r="BG71" s="410"/>
      <c r="BH71" s="385"/>
      <c r="BI71" s="384"/>
      <c r="BJ71" s="408"/>
      <c r="BK71" s="390"/>
      <c r="BL71" s="410"/>
      <c r="BM71" s="385"/>
      <c r="BN71" s="384"/>
      <c r="BO71" s="408"/>
      <c r="BP71" s="390"/>
      <c r="BQ71" s="410"/>
      <c r="BR71" s="385"/>
      <c r="BS71" s="384"/>
      <c r="BT71" s="408"/>
      <c r="BU71" s="390"/>
      <c r="BV71" s="410"/>
      <c r="BW71" s="385"/>
      <c r="BX71" s="384"/>
      <c r="BY71" s="408"/>
      <c r="BZ71" s="390"/>
      <c r="CA71" s="410"/>
      <c r="CB71" s="385"/>
      <c r="CC71" s="384"/>
      <c r="CD71" s="408"/>
      <c r="CE71" s="390"/>
      <c r="CF71" s="410"/>
      <c r="CG71" s="385"/>
      <c r="CI71" s="408"/>
      <c r="CJ71" s="390"/>
      <c r="CK71" s="410"/>
      <c r="CL71" s="385"/>
      <c r="CN71" s="408"/>
      <c r="CO71" s="390"/>
      <c r="CP71" s="410"/>
      <c r="CQ71" s="385"/>
      <c r="CT71" s="384"/>
    </row>
    <row r="72" spans="1:98" x14ac:dyDescent="0.3">
      <c r="A72" s="380"/>
      <c r="B72" s="759" t="s">
        <v>786</v>
      </c>
      <c r="C72" s="749" t="str">
        <f t="shared" ref="C72:C82" si="0">IF(AND(D72="",E72=""),"",IF(E72="",D72,E72))</f>
        <v/>
      </c>
      <c r="D72" s="739"/>
      <c r="E72" s="740"/>
      <c r="F72" s="407"/>
      <c r="G72" s="381"/>
      <c r="L72" s="417" t="s">
        <v>786</v>
      </c>
      <c r="M72" s="390"/>
      <c r="N72" s="410"/>
      <c r="O72" s="385"/>
      <c r="Q72" s="417" t="s">
        <v>786</v>
      </c>
      <c r="R72" s="390"/>
      <c r="S72" s="410"/>
      <c r="T72" s="385"/>
      <c r="U72" s="932"/>
      <c r="V72" s="417" t="s">
        <v>786</v>
      </c>
      <c r="W72" s="390"/>
      <c r="X72" s="410"/>
      <c r="Y72" s="385"/>
      <c r="Z72" s="932"/>
      <c r="AA72" s="417" t="s">
        <v>786</v>
      </c>
      <c r="AB72" s="390"/>
      <c r="AC72" s="410"/>
      <c r="AD72" s="385"/>
      <c r="AE72" s="384"/>
      <c r="AF72" s="417" t="s">
        <v>786</v>
      </c>
      <c r="AG72" s="390"/>
      <c r="AH72" s="410"/>
      <c r="AI72" s="385"/>
      <c r="AJ72" s="384"/>
      <c r="AK72" s="417" t="s">
        <v>786</v>
      </c>
      <c r="AL72" s="390"/>
      <c r="AM72" s="410"/>
      <c r="AN72" s="385"/>
      <c r="AO72" s="384"/>
      <c r="AP72" s="417" t="s">
        <v>786</v>
      </c>
      <c r="AQ72" s="390"/>
      <c r="AR72" s="410"/>
      <c r="AS72" s="385"/>
      <c r="AT72" s="384"/>
      <c r="AU72" s="417" t="s">
        <v>786</v>
      </c>
      <c r="AV72" s="390"/>
      <c r="AW72" s="410"/>
      <c r="AX72" s="385"/>
      <c r="AY72" s="384"/>
      <c r="AZ72" s="417" t="s">
        <v>786</v>
      </c>
      <c r="BA72" s="390"/>
      <c r="BB72" s="410"/>
      <c r="BC72" s="385"/>
      <c r="BD72" s="384"/>
      <c r="BE72" s="417" t="s">
        <v>786</v>
      </c>
      <c r="BF72" s="390"/>
      <c r="BG72" s="410"/>
      <c r="BH72" s="385"/>
      <c r="BI72" s="384"/>
      <c r="BJ72" s="417" t="s">
        <v>786</v>
      </c>
      <c r="BK72" s="390"/>
      <c r="BL72" s="410"/>
      <c r="BM72" s="385"/>
      <c r="BN72" s="384"/>
      <c r="BO72" s="417" t="s">
        <v>786</v>
      </c>
      <c r="BP72" s="390"/>
      <c r="BQ72" s="410"/>
      <c r="BR72" s="385"/>
      <c r="BS72" s="384"/>
      <c r="BT72" s="417" t="s">
        <v>786</v>
      </c>
      <c r="BU72" s="390"/>
      <c r="BV72" s="410"/>
      <c r="BW72" s="385"/>
      <c r="BX72" s="384"/>
      <c r="BY72" s="417" t="s">
        <v>786</v>
      </c>
      <c r="BZ72" s="390"/>
      <c r="CA72" s="410"/>
      <c r="CB72" s="385"/>
      <c r="CC72" s="384"/>
      <c r="CD72" s="417" t="s">
        <v>786</v>
      </c>
      <c r="CE72" s="390"/>
      <c r="CF72" s="410"/>
      <c r="CG72" s="385"/>
      <c r="CI72" s="417" t="s">
        <v>786</v>
      </c>
      <c r="CJ72" s="390"/>
      <c r="CK72" s="410"/>
      <c r="CL72" s="385"/>
      <c r="CN72" s="417" t="s">
        <v>786</v>
      </c>
      <c r="CO72" s="390"/>
      <c r="CP72" s="410"/>
      <c r="CQ72" s="385"/>
      <c r="CT72" s="384"/>
    </row>
    <row r="73" spans="1:98" x14ac:dyDescent="0.3">
      <c r="A73" s="380"/>
      <c r="B73" s="745" t="s">
        <v>787</v>
      </c>
      <c r="C73" s="738" t="str">
        <f t="shared" si="0"/>
        <v>None</v>
      </c>
      <c r="D73" s="743" t="str" cm="1">
        <f t="array" ref="D73">IF(INDEX(73:73,$E$2)="","", INDEX(73:73, $E$2))</f>
        <v>None</v>
      </c>
      <c r="E73" s="740"/>
      <c r="F73" s="769"/>
      <c r="G73" s="381"/>
      <c r="L73" s="408" t="s">
        <v>787</v>
      </c>
      <c r="M73" s="390" t="s">
        <v>788</v>
      </c>
      <c r="N73" s="410"/>
      <c r="O73" s="385"/>
      <c r="Q73" s="408" t="s">
        <v>787</v>
      </c>
      <c r="R73" s="390" t="s">
        <v>788</v>
      </c>
      <c r="S73" s="410"/>
      <c r="T73" s="385"/>
      <c r="U73" s="932"/>
      <c r="V73" s="408" t="s">
        <v>787</v>
      </c>
      <c r="W73" s="390" t="s">
        <v>788</v>
      </c>
      <c r="X73" s="410"/>
      <c r="Y73" s="385"/>
      <c r="Z73" s="932"/>
      <c r="AA73" s="408" t="s">
        <v>787</v>
      </c>
      <c r="AB73" s="390" t="s">
        <v>788</v>
      </c>
      <c r="AC73" s="410"/>
      <c r="AD73" s="385"/>
      <c r="AE73" s="384"/>
      <c r="AF73" s="408" t="s">
        <v>787</v>
      </c>
      <c r="AG73" s="390" t="s">
        <v>788</v>
      </c>
      <c r="AH73" s="410"/>
      <c r="AI73" s="385"/>
      <c r="AJ73" s="384"/>
      <c r="AK73" s="408" t="s">
        <v>787</v>
      </c>
      <c r="AL73" s="390" t="s">
        <v>788</v>
      </c>
      <c r="AM73" s="410"/>
      <c r="AN73" s="385"/>
      <c r="AO73" s="384"/>
      <c r="AP73" s="408" t="s">
        <v>787</v>
      </c>
      <c r="AQ73" s="390" t="s">
        <v>788</v>
      </c>
      <c r="AR73" s="410"/>
      <c r="AS73" s="385"/>
      <c r="AT73" s="384"/>
      <c r="AU73" s="408" t="s">
        <v>787</v>
      </c>
      <c r="AV73" s="390" t="s">
        <v>788</v>
      </c>
      <c r="AW73" s="410"/>
      <c r="AX73" s="385"/>
      <c r="AY73" s="384"/>
      <c r="AZ73" s="408" t="s">
        <v>787</v>
      </c>
      <c r="BA73" s="390" t="s">
        <v>788</v>
      </c>
      <c r="BB73" s="410"/>
      <c r="BC73" s="385"/>
      <c r="BD73" s="384"/>
      <c r="BE73" s="408" t="s">
        <v>787</v>
      </c>
      <c r="BF73" s="390" t="s">
        <v>788</v>
      </c>
      <c r="BG73" s="410"/>
      <c r="BH73" s="385"/>
      <c r="BI73" s="384"/>
      <c r="BJ73" s="408" t="s">
        <v>787</v>
      </c>
      <c r="BK73" s="390" t="s">
        <v>788</v>
      </c>
      <c r="BL73" s="384"/>
      <c r="BM73" s="385"/>
      <c r="BN73" s="384"/>
      <c r="BO73" s="408" t="s">
        <v>787</v>
      </c>
      <c r="BP73" s="390" t="s">
        <v>788</v>
      </c>
      <c r="BQ73" s="384"/>
      <c r="BR73" s="385"/>
      <c r="BS73" s="384"/>
      <c r="BT73" s="408" t="s">
        <v>787</v>
      </c>
      <c r="BU73" s="390" t="s">
        <v>788</v>
      </c>
      <c r="BV73" s="410"/>
      <c r="BW73" s="385"/>
      <c r="BX73" s="384"/>
      <c r="BY73" s="408" t="s">
        <v>787</v>
      </c>
      <c r="BZ73" s="390" t="s">
        <v>788</v>
      </c>
      <c r="CA73" s="410"/>
      <c r="CB73" s="385"/>
      <c r="CC73" s="384"/>
      <c r="CD73" s="408" t="s">
        <v>787</v>
      </c>
      <c r="CE73" s="390" t="s">
        <v>788</v>
      </c>
      <c r="CF73" s="410"/>
      <c r="CG73" s="385"/>
      <c r="CI73" s="408" t="s">
        <v>787</v>
      </c>
      <c r="CJ73" s="390" t="s">
        <v>788</v>
      </c>
      <c r="CK73" s="410"/>
      <c r="CL73" s="385"/>
      <c r="CN73" s="408" t="s">
        <v>787</v>
      </c>
      <c r="CO73" s="1038" t="s">
        <v>788</v>
      </c>
      <c r="CP73" s="410"/>
      <c r="CQ73" s="385"/>
      <c r="CT73" s="384"/>
    </row>
    <row r="74" spans="1:98" x14ac:dyDescent="0.3">
      <c r="A74" s="380"/>
      <c r="B74" s="745" t="s">
        <v>789</v>
      </c>
      <c r="C74" s="760">
        <f t="shared" si="0"/>
        <v>0</v>
      </c>
      <c r="D74" s="743" cm="1">
        <f t="array" ref="D74">IF(INDEX(74:74,$E$2)="","", INDEX(74:74, $E$2))</f>
        <v>0</v>
      </c>
      <c r="E74" s="761"/>
      <c r="F74" s="769"/>
      <c r="G74" s="381"/>
      <c r="L74" s="408" t="s">
        <v>790</v>
      </c>
      <c r="M74" s="390">
        <v>0</v>
      </c>
      <c r="N74" s="410"/>
      <c r="O74" s="385"/>
      <c r="Q74" s="408" t="s">
        <v>790</v>
      </c>
      <c r="R74" s="390">
        <v>0</v>
      </c>
      <c r="S74" s="410"/>
      <c r="T74" s="385"/>
      <c r="U74" s="932"/>
      <c r="V74" s="408" t="s">
        <v>790</v>
      </c>
      <c r="W74" s="390">
        <v>0</v>
      </c>
      <c r="X74" s="410"/>
      <c r="Y74" s="385"/>
      <c r="Z74" s="932"/>
      <c r="AA74" s="408" t="s">
        <v>790</v>
      </c>
      <c r="AB74" s="390">
        <v>0</v>
      </c>
      <c r="AC74" s="410"/>
      <c r="AD74" s="385"/>
      <c r="AE74" s="384"/>
      <c r="AF74" s="408" t="s">
        <v>790</v>
      </c>
      <c r="AG74" s="390">
        <v>0</v>
      </c>
      <c r="AH74" s="410"/>
      <c r="AI74" s="385"/>
      <c r="AJ74" s="384"/>
      <c r="AK74" s="408" t="s">
        <v>790</v>
      </c>
      <c r="AL74" s="390">
        <v>0</v>
      </c>
      <c r="AM74" s="410"/>
      <c r="AN74" s="385"/>
      <c r="AO74" s="384"/>
      <c r="AP74" s="408" t="s">
        <v>790</v>
      </c>
      <c r="AQ74" s="390">
        <v>0</v>
      </c>
      <c r="AR74" s="410"/>
      <c r="AS74" s="385"/>
      <c r="AT74" s="384"/>
      <c r="AU74" s="408" t="s">
        <v>790</v>
      </c>
      <c r="AV74" s="390">
        <v>0</v>
      </c>
      <c r="AW74" s="410"/>
      <c r="AX74" s="385"/>
      <c r="AY74" s="384"/>
      <c r="AZ74" s="408" t="s">
        <v>790</v>
      </c>
      <c r="BA74" s="390">
        <v>0</v>
      </c>
      <c r="BB74" s="410"/>
      <c r="BC74" s="385"/>
      <c r="BD74" s="384"/>
      <c r="BE74" s="408" t="s">
        <v>790</v>
      </c>
      <c r="BF74" s="390">
        <v>0</v>
      </c>
      <c r="BG74" s="410"/>
      <c r="BH74" s="385"/>
      <c r="BI74" s="384"/>
      <c r="BJ74" s="408" t="s">
        <v>790</v>
      </c>
      <c r="BK74" s="390">
        <v>0</v>
      </c>
      <c r="BL74" s="384"/>
      <c r="BM74" s="385"/>
      <c r="BN74" s="384"/>
      <c r="BO74" s="408" t="s">
        <v>790</v>
      </c>
      <c r="BP74" s="390">
        <v>0</v>
      </c>
      <c r="BQ74" s="384"/>
      <c r="BR74" s="385"/>
      <c r="BS74" s="384"/>
      <c r="BT74" s="408" t="s">
        <v>790</v>
      </c>
      <c r="BU74" s="390">
        <v>0</v>
      </c>
      <c r="BV74" s="410"/>
      <c r="BW74" s="385"/>
      <c r="BX74" s="384"/>
      <c r="BY74" s="408" t="s">
        <v>790</v>
      </c>
      <c r="BZ74" s="390">
        <v>0</v>
      </c>
      <c r="CA74" s="410"/>
      <c r="CB74" s="385"/>
      <c r="CC74" s="384"/>
      <c r="CD74" s="408" t="s">
        <v>790</v>
      </c>
      <c r="CE74" s="390">
        <v>0</v>
      </c>
      <c r="CF74" s="410"/>
      <c r="CG74" s="385"/>
      <c r="CI74" s="408" t="s">
        <v>790</v>
      </c>
      <c r="CJ74" s="390">
        <v>0</v>
      </c>
      <c r="CK74" s="410"/>
      <c r="CL74" s="385"/>
      <c r="CN74" s="408" t="s">
        <v>790</v>
      </c>
      <c r="CO74" s="1038">
        <v>0</v>
      </c>
      <c r="CP74" s="410"/>
      <c r="CQ74" s="385"/>
      <c r="CT74" s="384"/>
    </row>
    <row r="75" spans="1:98" x14ac:dyDescent="0.3">
      <c r="A75" s="380"/>
      <c r="B75" s="745" t="s">
        <v>791</v>
      </c>
      <c r="C75" s="760">
        <f t="shared" si="0"/>
        <v>0</v>
      </c>
      <c r="D75" s="743" cm="1">
        <f t="array" ref="D75">IF(INDEX(75:75,$E$2)="","", INDEX(75:75, $E$2))</f>
        <v>0</v>
      </c>
      <c r="E75" s="761"/>
      <c r="F75" s="769"/>
      <c r="G75" s="381"/>
      <c r="L75" s="408" t="s">
        <v>791</v>
      </c>
      <c r="M75" s="390">
        <v>0</v>
      </c>
      <c r="N75" s="410"/>
      <c r="O75" s="385"/>
      <c r="Q75" s="408" t="s">
        <v>791</v>
      </c>
      <c r="R75" s="390">
        <v>0</v>
      </c>
      <c r="S75" s="410"/>
      <c r="T75" s="385"/>
      <c r="U75" s="932"/>
      <c r="V75" s="408" t="s">
        <v>791</v>
      </c>
      <c r="W75" s="390">
        <v>0</v>
      </c>
      <c r="X75" s="410"/>
      <c r="Y75" s="385"/>
      <c r="Z75" s="932"/>
      <c r="AA75" s="408" t="s">
        <v>791</v>
      </c>
      <c r="AB75" s="390">
        <v>0</v>
      </c>
      <c r="AC75" s="410"/>
      <c r="AD75" s="385"/>
      <c r="AE75" s="384"/>
      <c r="AF75" s="408" t="s">
        <v>791</v>
      </c>
      <c r="AG75" s="390">
        <v>0</v>
      </c>
      <c r="AH75" s="410"/>
      <c r="AI75" s="385"/>
      <c r="AJ75" s="384"/>
      <c r="AK75" s="408" t="s">
        <v>791</v>
      </c>
      <c r="AL75" s="390">
        <v>0</v>
      </c>
      <c r="AM75" s="410"/>
      <c r="AN75" s="385"/>
      <c r="AO75" s="384"/>
      <c r="AP75" s="408" t="s">
        <v>791</v>
      </c>
      <c r="AQ75" s="390">
        <v>0</v>
      </c>
      <c r="AR75" s="410"/>
      <c r="AS75" s="385"/>
      <c r="AT75" s="384"/>
      <c r="AU75" s="408" t="s">
        <v>791</v>
      </c>
      <c r="AV75" s="390">
        <v>0</v>
      </c>
      <c r="AW75" s="410"/>
      <c r="AX75" s="385"/>
      <c r="AY75" s="384"/>
      <c r="AZ75" s="408" t="s">
        <v>791</v>
      </c>
      <c r="BA75" s="390">
        <v>0</v>
      </c>
      <c r="BB75" s="410"/>
      <c r="BC75" s="385"/>
      <c r="BD75" s="384"/>
      <c r="BE75" s="408" t="s">
        <v>791</v>
      </c>
      <c r="BF75" s="390">
        <v>0</v>
      </c>
      <c r="BG75" s="410"/>
      <c r="BH75" s="385"/>
      <c r="BI75" s="384"/>
      <c r="BJ75" s="408" t="s">
        <v>791</v>
      </c>
      <c r="BK75" s="390">
        <v>0</v>
      </c>
      <c r="BL75" s="384"/>
      <c r="BM75" s="385"/>
      <c r="BN75" s="384"/>
      <c r="BO75" s="408" t="s">
        <v>791</v>
      </c>
      <c r="BP75" s="390">
        <v>0</v>
      </c>
      <c r="BQ75" s="384"/>
      <c r="BR75" s="385"/>
      <c r="BS75" s="384"/>
      <c r="BT75" s="408" t="s">
        <v>791</v>
      </c>
      <c r="BU75" s="390">
        <v>0</v>
      </c>
      <c r="BV75" s="410"/>
      <c r="BW75" s="385"/>
      <c r="BX75" s="384"/>
      <c r="BY75" s="408" t="s">
        <v>791</v>
      </c>
      <c r="BZ75" s="390">
        <v>0</v>
      </c>
      <c r="CA75" s="410"/>
      <c r="CB75" s="385"/>
      <c r="CC75" s="384"/>
      <c r="CD75" s="408" t="s">
        <v>791</v>
      </c>
      <c r="CE75" s="390">
        <v>0</v>
      </c>
      <c r="CF75" s="410"/>
      <c r="CG75" s="385"/>
      <c r="CI75" s="408" t="s">
        <v>791</v>
      </c>
      <c r="CJ75" s="390">
        <v>0</v>
      </c>
      <c r="CK75" s="410"/>
      <c r="CL75" s="385"/>
      <c r="CN75" s="408" t="s">
        <v>791</v>
      </c>
      <c r="CO75" s="1038">
        <v>0</v>
      </c>
      <c r="CP75" s="410"/>
      <c r="CQ75" s="385"/>
      <c r="CT75" s="384"/>
    </row>
    <row r="76" spans="1:98" x14ac:dyDescent="0.3">
      <c r="A76" s="380"/>
      <c r="B76" s="745" t="s">
        <v>792</v>
      </c>
      <c r="C76" s="749">
        <f t="shared" si="0"/>
        <v>0</v>
      </c>
      <c r="D76" s="743" cm="1">
        <f t="array" ref="D76">IF(INDEX(76:76,$E$2)="","", INDEX(76:76, $E$2))</f>
        <v>0</v>
      </c>
      <c r="E76" s="740"/>
      <c r="F76" s="769"/>
      <c r="G76" s="381"/>
      <c r="L76" s="408" t="s">
        <v>793</v>
      </c>
      <c r="M76" s="390">
        <v>0</v>
      </c>
      <c r="N76" s="410"/>
      <c r="O76" s="385"/>
      <c r="Q76" s="408" t="s">
        <v>793</v>
      </c>
      <c r="R76" s="390">
        <v>0</v>
      </c>
      <c r="S76" s="410"/>
      <c r="T76" s="385"/>
      <c r="U76" s="932"/>
      <c r="V76" s="408" t="s">
        <v>793</v>
      </c>
      <c r="W76" s="390">
        <v>0</v>
      </c>
      <c r="X76" s="410"/>
      <c r="Y76" s="385"/>
      <c r="Z76" s="932"/>
      <c r="AA76" s="408" t="s">
        <v>793</v>
      </c>
      <c r="AB76" s="390">
        <v>0</v>
      </c>
      <c r="AC76" s="410"/>
      <c r="AD76" s="385"/>
      <c r="AE76" s="384"/>
      <c r="AF76" s="408" t="s">
        <v>793</v>
      </c>
      <c r="AG76" s="390">
        <v>0</v>
      </c>
      <c r="AH76" s="410"/>
      <c r="AI76" s="385"/>
      <c r="AJ76" s="384"/>
      <c r="AK76" s="408" t="s">
        <v>793</v>
      </c>
      <c r="AL76" s="390">
        <v>0</v>
      </c>
      <c r="AM76" s="410"/>
      <c r="AN76" s="385"/>
      <c r="AO76" s="384"/>
      <c r="AP76" s="408" t="s">
        <v>793</v>
      </c>
      <c r="AQ76" s="390">
        <v>0</v>
      </c>
      <c r="AR76" s="410"/>
      <c r="AS76" s="385"/>
      <c r="AT76" s="384"/>
      <c r="AU76" s="408" t="s">
        <v>793</v>
      </c>
      <c r="AV76" s="390">
        <v>0</v>
      </c>
      <c r="AW76" s="410"/>
      <c r="AX76" s="385"/>
      <c r="AY76" s="384"/>
      <c r="AZ76" s="408" t="s">
        <v>793</v>
      </c>
      <c r="BA76" s="390">
        <v>0</v>
      </c>
      <c r="BB76" s="410"/>
      <c r="BC76" s="385"/>
      <c r="BD76" s="384"/>
      <c r="BE76" s="408" t="s">
        <v>793</v>
      </c>
      <c r="BF76" s="390">
        <v>0</v>
      </c>
      <c r="BG76" s="410"/>
      <c r="BH76" s="385"/>
      <c r="BI76" s="384"/>
      <c r="BJ76" s="408" t="s">
        <v>793</v>
      </c>
      <c r="BK76" s="390">
        <v>0</v>
      </c>
      <c r="BL76" s="384"/>
      <c r="BM76" s="385"/>
      <c r="BN76" s="384"/>
      <c r="BO76" s="408" t="s">
        <v>793</v>
      </c>
      <c r="BP76" s="390">
        <v>0</v>
      </c>
      <c r="BQ76" s="384"/>
      <c r="BR76" s="385"/>
      <c r="BS76" s="384"/>
      <c r="BT76" s="408" t="s">
        <v>793</v>
      </c>
      <c r="BU76" s="390">
        <v>0</v>
      </c>
      <c r="BV76" s="410"/>
      <c r="BW76" s="385"/>
      <c r="BX76" s="384"/>
      <c r="BY76" s="408" t="s">
        <v>793</v>
      </c>
      <c r="BZ76" s="390">
        <v>0</v>
      </c>
      <c r="CA76" s="410"/>
      <c r="CB76" s="385"/>
      <c r="CC76" s="384"/>
      <c r="CD76" s="408" t="s">
        <v>793</v>
      </c>
      <c r="CE76" s="390">
        <v>0</v>
      </c>
      <c r="CF76" s="410"/>
      <c r="CG76" s="385"/>
      <c r="CI76" s="408" t="s">
        <v>793</v>
      </c>
      <c r="CJ76" s="390">
        <v>0</v>
      </c>
      <c r="CK76" s="410"/>
      <c r="CL76" s="385"/>
      <c r="CN76" s="408" t="s">
        <v>793</v>
      </c>
      <c r="CO76" s="1038">
        <v>0</v>
      </c>
      <c r="CP76" s="410"/>
      <c r="CQ76" s="385"/>
      <c r="CT76" s="384"/>
    </row>
    <row r="77" spans="1:98" x14ac:dyDescent="0.3">
      <c r="A77" s="380"/>
      <c r="B77" s="745"/>
      <c r="C77" s="749" t="str">
        <f t="shared" si="0"/>
        <v/>
      </c>
      <c r="D77" s="743" t="str" cm="1">
        <f t="array" ref="D77">IF(INDEX(77:77,$E$2)="","", INDEX(77:77, $E$2))</f>
        <v/>
      </c>
      <c r="E77" s="740"/>
      <c r="F77" s="769"/>
      <c r="G77" s="381"/>
      <c r="L77" s="408"/>
      <c r="M77" s="390"/>
      <c r="N77" s="410"/>
      <c r="O77" s="385"/>
      <c r="Q77" s="408"/>
      <c r="R77" s="390"/>
      <c r="S77" s="410"/>
      <c r="T77" s="385"/>
      <c r="U77" s="932"/>
      <c r="V77" s="408"/>
      <c r="W77" s="390"/>
      <c r="X77" s="410"/>
      <c r="Y77" s="385"/>
      <c r="Z77" s="932"/>
      <c r="AA77" s="408"/>
      <c r="AB77" s="390"/>
      <c r="AC77" s="410"/>
      <c r="AD77" s="385"/>
      <c r="AE77" s="384"/>
      <c r="AF77" s="408"/>
      <c r="AG77" s="390"/>
      <c r="AH77" s="410"/>
      <c r="AI77" s="385"/>
      <c r="AJ77" s="384"/>
      <c r="AK77" s="408"/>
      <c r="AL77" s="390"/>
      <c r="AM77" s="410"/>
      <c r="AN77" s="385"/>
      <c r="AO77" s="384"/>
      <c r="AP77" s="408"/>
      <c r="AQ77" s="390"/>
      <c r="AR77" s="410"/>
      <c r="AS77" s="385"/>
      <c r="AT77" s="384"/>
      <c r="AU77" s="408"/>
      <c r="AV77" s="390"/>
      <c r="AW77" s="410"/>
      <c r="AX77" s="385"/>
      <c r="AY77" s="384"/>
      <c r="AZ77" s="408"/>
      <c r="BA77" s="390"/>
      <c r="BB77" s="410"/>
      <c r="BC77" s="385"/>
      <c r="BD77" s="384"/>
      <c r="BE77" s="408"/>
      <c r="BF77" s="390"/>
      <c r="BG77" s="410"/>
      <c r="BH77" s="385"/>
      <c r="BI77" s="384"/>
      <c r="BJ77" s="408"/>
      <c r="BK77" s="390"/>
      <c r="BL77" s="384"/>
      <c r="BM77" s="385"/>
      <c r="BN77" s="384"/>
      <c r="BO77" s="408"/>
      <c r="BP77" s="390"/>
      <c r="BQ77" s="384"/>
      <c r="BR77" s="385"/>
      <c r="BS77" s="384"/>
      <c r="BT77" s="408"/>
      <c r="BU77" s="390"/>
      <c r="BV77" s="410"/>
      <c r="BW77" s="385"/>
      <c r="BX77" s="384"/>
      <c r="BY77" s="408"/>
      <c r="BZ77" s="390"/>
      <c r="CA77" s="410"/>
      <c r="CB77" s="385"/>
      <c r="CC77" s="384"/>
      <c r="CD77" s="408"/>
      <c r="CE77" s="390"/>
      <c r="CF77" s="410"/>
      <c r="CG77" s="385"/>
      <c r="CI77" s="408"/>
      <c r="CJ77" s="390"/>
      <c r="CK77" s="410"/>
      <c r="CL77" s="385"/>
      <c r="CN77" s="408"/>
      <c r="CO77" s="390"/>
      <c r="CP77" s="410"/>
      <c r="CQ77" s="385"/>
      <c r="CT77" s="384"/>
    </row>
    <row r="78" spans="1:98" x14ac:dyDescent="0.3">
      <c r="A78" s="380"/>
      <c r="B78" s="759" t="s">
        <v>794</v>
      </c>
      <c r="C78" s="749" t="str">
        <f t="shared" si="0"/>
        <v/>
      </c>
      <c r="D78" s="743" t="str" cm="1">
        <f t="array" ref="D78">IF(INDEX(78:78,$E$2)="","", INDEX(78:78, $E$2))</f>
        <v/>
      </c>
      <c r="E78" s="740"/>
      <c r="F78" s="769"/>
      <c r="G78" s="381"/>
      <c r="L78" s="417" t="s">
        <v>794</v>
      </c>
      <c r="M78" s="390"/>
      <c r="N78" s="410"/>
      <c r="O78" s="385"/>
      <c r="Q78" s="417" t="s">
        <v>794</v>
      </c>
      <c r="R78" s="390"/>
      <c r="S78" s="410"/>
      <c r="T78" s="385"/>
      <c r="U78" s="932"/>
      <c r="V78" s="417" t="s">
        <v>794</v>
      </c>
      <c r="W78" s="390"/>
      <c r="X78" s="410"/>
      <c r="Y78" s="385"/>
      <c r="Z78" s="932"/>
      <c r="AA78" s="417" t="s">
        <v>794</v>
      </c>
      <c r="AB78" s="390"/>
      <c r="AC78" s="410"/>
      <c r="AD78" s="385"/>
      <c r="AE78" s="384"/>
      <c r="AF78" s="417" t="s">
        <v>794</v>
      </c>
      <c r="AG78" s="390"/>
      <c r="AH78" s="410"/>
      <c r="AI78" s="385"/>
      <c r="AJ78" s="384"/>
      <c r="AK78" s="417" t="s">
        <v>794</v>
      </c>
      <c r="AL78" s="390"/>
      <c r="AM78" s="410"/>
      <c r="AN78" s="385"/>
      <c r="AO78" s="384"/>
      <c r="AP78" s="417" t="s">
        <v>794</v>
      </c>
      <c r="AQ78" s="390"/>
      <c r="AR78" s="410"/>
      <c r="AS78" s="385"/>
      <c r="AT78" s="384"/>
      <c r="AU78" s="417" t="s">
        <v>794</v>
      </c>
      <c r="AV78" s="390"/>
      <c r="AW78" s="410"/>
      <c r="AX78" s="385"/>
      <c r="AY78" s="384"/>
      <c r="AZ78" s="417" t="s">
        <v>794</v>
      </c>
      <c r="BA78" s="390"/>
      <c r="BB78" s="410"/>
      <c r="BC78" s="385"/>
      <c r="BD78" s="384"/>
      <c r="BE78" s="417" t="s">
        <v>794</v>
      </c>
      <c r="BF78" s="390"/>
      <c r="BG78" s="410"/>
      <c r="BH78" s="385"/>
      <c r="BI78" s="384"/>
      <c r="BJ78" s="417" t="s">
        <v>794</v>
      </c>
      <c r="BK78" s="390"/>
      <c r="BL78" s="384"/>
      <c r="BM78" s="385"/>
      <c r="BN78" s="384"/>
      <c r="BO78" s="417" t="s">
        <v>794</v>
      </c>
      <c r="BP78" s="390"/>
      <c r="BQ78" s="384"/>
      <c r="BR78" s="385"/>
      <c r="BS78" s="384"/>
      <c r="BT78" s="417" t="s">
        <v>794</v>
      </c>
      <c r="BU78" s="390"/>
      <c r="BV78" s="410"/>
      <c r="BW78" s="385"/>
      <c r="BX78" s="384"/>
      <c r="BY78" s="417" t="s">
        <v>794</v>
      </c>
      <c r="BZ78" s="390"/>
      <c r="CA78" s="410"/>
      <c r="CB78" s="385"/>
      <c r="CC78" s="384"/>
      <c r="CD78" s="417" t="s">
        <v>794</v>
      </c>
      <c r="CE78" s="390"/>
      <c r="CF78" s="410"/>
      <c r="CG78" s="385"/>
      <c r="CI78" s="417" t="s">
        <v>794</v>
      </c>
      <c r="CJ78" s="390"/>
      <c r="CK78" s="410"/>
      <c r="CL78" s="385"/>
      <c r="CN78" s="417" t="s">
        <v>794</v>
      </c>
      <c r="CO78" s="390"/>
      <c r="CP78" s="410"/>
      <c r="CQ78" s="385"/>
      <c r="CT78" s="384"/>
    </row>
    <row r="79" spans="1:98" x14ac:dyDescent="0.3">
      <c r="A79" s="380"/>
      <c r="B79" s="745" t="s">
        <v>787</v>
      </c>
      <c r="C79" s="738" t="str">
        <f t="shared" si="0"/>
        <v>None</v>
      </c>
      <c r="D79" s="743" t="str" cm="1">
        <f t="array" ref="D79">IF(INDEX(79:79,$E$2)="","", INDEX(79:79, $E$2))</f>
        <v>None</v>
      </c>
      <c r="E79" s="740"/>
      <c r="F79" s="769"/>
      <c r="G79" s="381"/>
      <c r="L79" s="408" t="s">
        <v>787</v>
      </c>
      <c r="M79" s="390" t="s">
        <v>788</v>
      </c>
      <c r="N79" s="410"/>
      <c r="O79" s="385"/>
      <c r="Q79" s="408" t="s">
        <v>787</v>
      </c>
      <c r="R79" s="390" t="s">
        <v>788</v>
      </c>
      <c r="S79" s="410"/>
      <c r="T79" s="385"/>
      <c r="U79" s="932"/>
      <c r="V79" s="408" t="s">
        <v>787</v>
      </c>
      <c r="W79" s="390" t="s">
        <v>788</v>
      </c>
      <c r="X79" s="410"/>
      <c r="Y79" s="385"/>
      <c r="Z79" s="932"/>
      <c r="AA79" s="408" t="s">
        <v>787</v>
      </c>
      <c r="AB79" s="390" t="s">
        <v>788</v>
      </c>
      <c r="AC79" s="410"/>
      <c r="AD79" s="385"/>
      <c r="AE79" s="384"/>
      <c r="AF79" s="408" t="s">
        <v>787</v>
      </c>
      <c r="AG79" s="390" t="s">
        <v>788</v>
      </c>
      <c r="AH79" s="410"/>
      <c r="AI79" s="385"/>
      <c r="AJ79" s="384"/>
      <c r="AK79" s="408" t="s">
        <v>787</v>
      </c>
      <c r="AL79" s="390" t="s">
        <v>788</v>
      </c>
      <c r="AM79" s="410"/>
      <c r="AN79" s="385"/>
      <c r="AO79" s="384"/>
      <c r="AP79" s="408" t="s">
        <v>787</v>
      </c>
      <c r="AQ79" s="390" t="s">
        <v>788</v>
      </c>
      <c r="AR79" s="410"/>
      <c r="AS79" s="385"/>
      <c r="AT79" s="384"/>
      <c r="AU79" s="408" t="s">
        <v>787</v>
      </c>
      <c r="AV79" s="390" t="s">
        <v>788</v>
      </c>
      <c r="AW79" s="410"/>
      <c r="AX79" s="385"/>
      <c r="AY79" s="384"/>
      <c r="AZ79" s="408" t="s">
        <v>787</v>
      </c>
      <c r="BA79" s="390" t="s">
        <v>788</v>
      </c>
      <c r="BB79" s="410"/>
      <c r="BC79" s="385"/>
      <c r="BD79" s="384"/>
      <c r="BE79" s="408" t="s">
        <v>787</v>
      </c>
      <c r="BF79" s="390" t="s">
        <v>788</v>
      </c>
      <c r="BG79" s="410"/>
      <c r="BH79" s="385"/>
      <c r="BI79" s="384"/>
      <c r="BJ79" s="408" t="s">
        <v>787</v>
      </c>
      <c r="BK79" s="390" t="s">
        <v>788</v>
      </c>
      <c r="BL79" s="384"/>
      <c r="BM79" s="385"/>
      <c r="BN79" s="384"/>
      <c r="BO79" s="408" t="s">
        <v>787</v>
      </c>
      <c r="BP79" s="390" t="s">
        <v>788</v>
      </c>
      <c r="BQ79" s="384"/>
      <c r="BR79" s="385"/>
      <c r="BS79" s="384"/>
      <c r="BT79" s="408" t="s">
        <v>787</v>
      </c>
      <c r="BU79" s="390" t="s">
        <v>788</v>
      </c>
      <c r="BV79" s="410"/>
      <c r="BW79" s="385"/>
      <c r="BX79" s="384"/>
      <c r="BY79" s="408" t="s">
        <v>787</v>
      </c>
      <c r="BZ79" s="390" t="s">
        <v>788</v>
      </c>
      <c r="CA79" s="410"/>
      <c r="CB79" s="385"/>
      <c r="CC79" s="384"/>
      <c r="CD79" s="408" t="s">
        <v>787</v>
      </c>
      <c r="CE79" s="390" t="s">
        <v>788</v>
      </c>
      <c r="CF79" s="410"/>
      <c r="CG79" s="385"/>
      <c r="CI79" s="408" t="s">
        <v>787</v>
      </c>
      <c r="CJ79" s="390" t="s">
        <v>788</v>
      </c>
      <c r="CK79" s="410"/>
      <c r="CL79" s="385"/>
      <c r="CN79" s="408" t="s">
        <v>787</v>
      </c>
      <c r="CO79" s="1038" t="s">
        <v>788</v>
      </c>
      <c r="CP79" s="410"/>
      <c r="CQ79" s="385"/>
      <c r="CT79" s="384"/>
    </row>
    <row r="80" spans="1:98" x14ac:dyDescent="0.3">
      <c r="A80" s="380"/>
      <c r="B80" s="745" t="s">
        <v>795</v>
      </c>
      <c r="C80" s="760">
        <f t="shared" si="0"/>
        <v>0</v>
      </c>
      <c r="D80" s="743" cm="1">
        <f t="array" ref="D80">IF(INDEX(80:80,$E$2)="","", INDEX(80:80, $E$2))</f>
        <v>0</v>
      </c>
      <c r="E80" s="761"/>
      <c r="F80" s="769"/>
      <c r="G80" s="381"/>
      <c r="L80" s="408" t="s">
        <v>796</v>
      </c>
      <c r="M80" s="390">
        <v>0</v>
      </c>
      <c r="N80" s="410"/>
      <c r="O80" s="385"/>
      <c r="Q80" s="408" t="s">
        <v>796</v>
      </c>
      <c r="R80" s="390">
        <v>0</v>
      </c>
      <c r="S80" s="410"/>
      <c r="T80" s="385"/>
      <c r="U80" s="932"/>
      <c r="V80" s="408" t="s">
        <v>796</v>
      </c>
      <c r="W80" s="390">
        <v>0</v>
      </c>
      <c r="X80" s="410"/>
      <c r="Y80" s="385"/>
      <c r="Z80" s="932"/>
      <c r="AA80" s="408" t="s">
        <v>796</v>
      </c>
      <c r="AB80" s="390">
        <v>0</v>
      </c>
      <c r="AC80" s="410"/>
      <c r="AD80" s="385"/>
      <c r="AE80" s="384"/>
      <c r="AF80" s="408" t="s">
        <v>796</v>
      </c>
      <c r="AG80" s="390">
        <v>0</v>
      </c>
      <c r="AH80" s="410"/>
      <c r="AI80" s="385"/>
      <c r="AJ80" s="384"/>
      <c r="AK80" s="408" t="s">
        <v>796</v>
      </c>
      <c r="AL80" s="390">
        <v>0</v>
      </c>
      <c r="AM80" s="410"/>
      <c r="AN80" s="385"/>
      <c r="AO80" s="384"/>
      <c r="AP80" s="408" t="s">
        <v>796</v>
      </c>
      <c r="AQ80" s="390">
        <v>0</v>
      </c>
      <c r="AR80" s="410"/>
      <c r="AS80" s="385"/>
      <c r="AT80" s="384"/>
      <c r="AU80" s="408" t="s">
        <v>796</v>
      </c>
      <c r="AV80" s="390">
        <v>0</v>
      </c>
      <c r="AW80" s="410"/>
      <c r="AX80" s="385"/>
      <c r="AY80" s="384"/>
      <c r="AZ80" s="408" t="s">
        <v>796</v>
      </c>
      <c r="BA80" s="390">
        <v>0</v>
      </c>
      <c r="BB80" s="410"/>
      <c r="BC80" s="385"/>
      <c r="BD80" s="384"/>
      <c r="BE80" s="408" t="s">
        <v>796</v>
      </c>
      <c r="BF80" s="390">
        <v>0</v>
      </c>
      <c r="BG80" s="410"/>
      <c r="BH80" s="385"/>
      <c r="BI80" s="384"/>
      <c r="BJ80" s="408" t="s">
        <v>796</v>
      </c>
      <c r="BK80" s="390">
        <v>0</v>
      </c>
      <c r="BL80" s="384"/>
      <c r="BM80" s="385"/>
      <c r="BN80" s="384"/>
      <c r="BO80" s="408" t="s">
        <v>796</v>
      </c>
      <c r="BP80" s="390">
        <v>0</v>
      </c>
      <c r="BQ80" s="384"/>
      <c r="BR80" s="385"/>
      <c r="BS80" s="384"/>
      <c r="BT80" s="408" t="s">
        <v>796</v>
      </c>
      <c r="BU80" s="390">
        <v>0</v>
      </c>
      <c r="BV80" s="410"/>
      <c r="BW80" s="385"/>
      <c r="BX80" s="384"/>
      <c r="BY80" s="408" t="s">
        <v>796</v>
      </c>
      <c r="BZ80" s="390">
        <v>0</v>
      </c>
      <c r="CA80" s="410"/>
      <c r="CB80" s="385"/>
      <c r="CC80" s="384"/>
      <c r="CD80" s="408" t="s">
        <v>796</v>
      </c>
      <c r="CE80" s="390">
        <v>0</v>
      </c>
      <c r="CF80" s="410"/>
      <c r="CG80" s="385"/>
      <c r="CI80" s="408" t="s">
        <v>796</v>
      </c>
      <c r="CJ80" s="390">
        <v>0</v>
      </c>
      <c r="CK80" s="410"/>
      <c r="CL80" s="385"/>
      <c r="CN80" s="408" t="s">
        <v>796</v>
      </c>
      <c r="CO80" s="1038">
        <v>0</v>
      </c>
      <c r="CP80" s="410"/>
      <c r="CQ80" s="385"/>
      <c r="CT80" s="384"/>
    </row>
    <row r="81" spans="1:98" x14ac:dyDescent="0.3">
      <c r="A81" s="380"/>
      <c r="B81" s="745" t="s">
        <v>791</v>
      </c>
      <c r="C81" s="760">
        <f t="shared" si="0"/>
        <v>0</v>
      </c>
      <c r="D81" s="743" cm="1">
        <f t="array" ref="D81">IF(INDEX(81:81,$E$2)="","", INDEX(81:81, $E$2))</f>
        <v>0</v>
      </c>
      <c r="E81" s="761"/>
      <c r="F81" s="769"/>
      <c r="G81" s="381"/>
      <c r="L81" s="408" t="s">
        <v>791</v>
      </c>
      <c r="M81" s="390">
        <v>0</v>
      </c>
      <c r="N81" s="410"/>
      <c r="O81" s="385"/>
      <c r="Q81" s="408" t="s">
        <v>791</v>
      </c>
      <c r="R81" s="390">
        <v>0</v>
      </c>
      <c r="S81" s="410"/>
      <c r="T81" s="385"/>
      <c r="U81" s="932"/>
      <c r="V81" s="408" t="s">
        <v>791</v>
      </c>
      <c r="W81" s="390">
        <v>0</v>
      </c>
      <c r="X81" s="410"/>
      <c r="Y81" s="385"/>
      <c r="Z81" s="932"/>
      <c r="AA81" s="408" t="s">
        <v>791</v>
      </c>
      <c r="AB81" s="390">
        <v>0</v>
      </c>
      <c r="AC81" s="410"/>
      <c r="AD81" s="385"/>
      <c r="AE81" s="384"/>
      <c r="AF81" s="408" t="s">
        <v>791</v>
      </c>
      <c r="AG81" s="390">
        <v>0</v>
      </c>
      <c r="AH81" s="410"/>
      <c r="AI81" s="385"/>
      <c r="AJ81" s="384"/>
      <c r="AK81" s="408" t="s">
        <v>791</v>
      </c>
      <c r="AL81" s="390">
        <v>0</v>
      </c>
      <c r="AM81" s="410"/>
      <c r="AN81" s="385"/>
      <c r="AO81" s="384"/>
      <c r="AP81" s="408" t="s">
        <v>791</v>
      </c>
      <c r="AQ81" s="390">
        <v>0</v>
      </c>
      <c r="AR81" s="410"/>
      <c r="AS81" s="385"/>
      <c r="AT81" s="384"/>
      <c r="AU81" s="408" t="s">
        <v>791</v>
      </c>
      <c r="AV81" s="390">
        <v>0</v>
      </c>
      <c r="AW81" s="410"/>
      <c r="AX81" s="385"/>
      <c r="AY81" s="384"/>
      <c r="AZ81" s="408" t="s">
        <v>791</v>
      </c>
      <c r="BA81" s="390">
        <v>0</v>
      </c>
      <c r="BB81" s="410"/>
      <c r="BC81" s="385"/>
      <c r="BD81" s="384"/>
      <c r="BE81" s="408" t="s">
        <v>791</v>
      </c>
      <c r="BF81" s="390">
        <v>0</v>
      </c>
      <c r="BG81" s="410"/>
      <c r="BH81" s="385"/>
      <c r="BI81" s="384"/>
      <c r="BJ81" s="408" t="s">
        <v>791</v>
      </c>
      <c r="BK81" s="390">
        <v>0</v>
      </c>
      <c r="BL81" s="384"/>
      <c r="BM81" s="385"/>
      <c r="BN81" s="384"/>
      <c r="BO81" s="408" t="s">
        <v>791</v>
      </c>
      <c r="BP81" s="390">
        <v>0</v>
      </c>
      <c r="BQ81" s="384"/>
      <c r="BR81" s="385"/>
      <c r="BS81" s="384"/>
      <c r="BT81" s="408" t="s">
        <v>791</v>
      </c>
      <c r="BU81" s="390">
        <v>0</v>
      </c>
      <c r="BV81" s="410"/>
      <c r="BW81" s="385"/>
      <c r="BX81" s="384"/>
      <c r="BY81" s="408" t="s">
        <v>791</v>
      </c>
      <c r="BZ81" s="390">
        <v>0</v>
      </c>
      <c r="CA81" s="410"/>
      <c r="CB81" s="385"/>
      <c r="CC81" s="384"/>
      <c r="CD81" s="408" t="s">
        <v>791</v>
      </c>
      <c r="CE81" s="390">
        <v>0</v>
      </c>
      <c r="CF81" s="410"/>
      <c r="CG81" s="385"/>
      <c r="CI81" s="408" t="s">
        <v>791</v>
      </c>
      <c r="CJ81" s="390">
        <v>0</v>
      </c>
      <c r="CK81" s="410"/>
      <c r="CL81" s="385"/>
      <c r="CN81" s="408" t="s">
        <v>791</v>
      </c>
      <c r="CO81" s="1038">
        <v>0</v>
      </c>
      <c r="CP81" s="410"/>
      <c r="CQ81" s="385"/>
      <c r="CT81" s="384"/>
    </row>
    <row r="82" spans="1:98" x14ac:dyDescent="0.3">
      <c r="A82" s="380"/>
      <c r="B82" s="745" t="s">
        <v>792</v>
      </c>
      <c r="C82" s="749">
        <f t="shared" si="0"/>
        <v>0</v>
      </c>
      <c r="D82" s="743" cm="1">
        <f t="array" ref="D82">IF(INDEX(82:82,$E$2)="","", INDEX(82:82, $E$2))</f>
        <v>0</v>
      </c>
      <c r="E82" s="740"/>
      <c r="F82" s="769"/>
      <c r="G82" s="381"/>
      <c r="L82" s="408" t="s">
        <v>793</v>
      </c>
      <c r="M82" s="390">
        <v>0</v>
      </c>
      <c r="N82" s="410"/>
      <c r="O82" s="385"/>
      <c r="Q82" s="408" t="s">
        <v>793</v>
      </c>
      <c r="R82" s="390">
        <v>0</v>
      </c>
      <c r="S82" s="410"/>
      <c r="T82" s="385"/>
      <c r="U82" s="932"/>
      <c r="V82" s="408" t="s">
        <v>793</v>
      </c>
      <c r="W82" s="390">
        <v>0</v>
      </c>
      <c r="X82" s="410"/>
      <c r="Y82" s="385"/>
      <c r="Z82" s="932"/>
      <c r="AA82" s="408" t="s">
        <v>793</v>
      </c>
      <c r="AB82" s="390">
        <v>0</v>
      </c>
      <c r="AC82" s="410"/>
      <c r="AD82" s="385"/>
      <c r="AE82" s="384"/>
      <c r="AF82" s="408" t="s">
        <v>793</v>
      </c>
      <c r="AG82" s="390">
        <v>0</v>
      </c>
      <c r="AH82" s="410"/>
      <c r="AI82" s="385"/>
      <c r="AJ82" s="384"/>
      <c r="AK82" s="408" t="s">
        <v>793</v>
      </c>
      <c r="AL82" s="390">
        <v>0</v>
      </c>
      <c r="AM82" s="410"/>
      <c r="AN82" s="385"/>
      <c r="AO82" s="384"/>
      <c r="AP82" s="408" t="s">
        <v>793</v>
      </c>
      <c r="AQ82" s="390">
        <v>0</v>
      </c>
      <c r="AR82" s="410"/>
      <c r="AS82" s="385"/>
      <c r="AT82" s="384"/>
      <c r="AU82" s="408" t="s">
        <v>793</v>
      </c>
      <c r="AV82" s="390">
        <v>0</v>
      </c>
      <c r="AW82" s="410"/>
      <c r="AX82" s="385"/>
      <c r="AY82" s="384"/>
      <c r="AZ82" s="408" t="s">
        <v>793</v>
      </c>
      <c r="BA82" s="390">
        <v>0</v>
      </c>
      <c r="BB82" s="410"/>
      <c r="BC82" s="385"/>
      <c r="BD82" s="384"/>
      <c r="BE82" s="408" t="s">
        <v>793</v>
      </c>
      <c r="BF82" s="390">
        <v>0</v>
      </c>
      <c r="BG82" s="410"/>
      <c r="BH82" s="385"/>
      <c r="BI82" s="384"/>
      <c r="BJ82" s="408" t="s">
        <v>793</v>
      </c>
      <c r="BK82" s="390">
        <v>0</v>
      </c>
      <c r="BL82" s="384"/>
      <c r="BM82" s="385"/>
      <c r="BN82" s="384"/>
      <c r="BO82" s="408" t="s">
        <v>793</v>
      </c>
      <c r="BP82" s="390">
        <v>0</v>
      </c>
      <c r="BQ82" s="384"/>
      <c r="BR82" s="385"/>
      <c r="BS82" s="384"/>
      <c r="BT82" s="408" t="s">
        <v>793</v>
      </c>
      <c r="BU82" s="390">
        <v>0</v>
      </c>
      <c r="BV82" s="410"/>
      <c r="BW82" s="385"/>
      <c r="BX82" s="384"/>
      <c r="BY82" s="408" t="s">
        <v>793</v>
      </c>
      <c r="BZ82" s="390">
        <v>0</v>
      </c>
      <c r="CA82" s="410"/>
      <c r="CB82" s="385"/>
      <c r="CC82" s="384"/>
      <c r="CD82" s="408" t="s">
        <v>793</v>
      </c>
      <c r="CE82" s="390">
        <v>0</v>
      </c>
      <c r="CF82" s="410"/>
      <c r="CG82" s="385"/>
      <c r="CI82" s="408" t="s">
        <v>793</v>
      </c>
      <c r="CJ82" s="390">
        <v>0</v>
      </c>
      <c r="CK82" s="410"/>
      <c r="CL82" s="385"/>
      <c r="CN82" s="408" t="s">
        <v>793</v>
      </c>
      <c r="CO82" s="1038">
        <v>0</v>
      </c>
      <c r="CP82" s="410"/>
      <c r="CQ82" s="385"/>
      <c r="CT82" s="384"/>
    </row>
    <row r="83" spans="1:98" x14ac:dyDescent="0.3">
      <c r="A83" s="380"/>
      <c r="B83" s="745"/>
      <c r="C83" s="749"/>
      <c r="D83" s="743" t="str" cm="1">
        <f t="array" ref="D83">IF(INDEX(83:83,$E$2)="","", INDEX(83:83, $E$2))</f>
        <v/>
      </c>
      <c r="E83" s="740"/>
      <c r="F83" s="407"/>
      <c r="G83" s="381"/>
      <c r="L83" s="408"/>
      <c r="M83" s="390"/>
      <c r="N83" s="410"/>
      <c r="O83" s="385"/>
      <c r="Q83" s="408"/>
      <c r="R83" s="390"/>
      <c r="S83" s="410"/>
      <c r="T83" s="385"/>
      <c r="U83" s="932"/>
      <c r="V83" s="408"/>
      <c r="W83" s="390"/>
      <c r="X83" s="410"/>
      <c r="Y83" s="385"/>
      <c r="Z83" s="932"/>
      <c r="AA83" s="408"/>
      <c r="AB83" s="390"/>
      <c r="AC83" s="410"/>
      <c r="AD83" s="385"/>
      <c r="AE83" s="384"/>
      <c r="AF83" s="408"/>
      <c r="AG83" s="390"/>
      <c r="AH83" s="410"/>
      <c r="AI83" s="385"/>
      <c r="AJ83" s="384"/>
      <c r="AK83" s="408"/>
      <c r="AL83" s="390"/>
      <c r="AM83" s="410"/>
      <c r="AN83" s="385"/>
      <c r="AO83" s="384"/>
      <c r="AP83" s="408"/>
      <c r="AQ83" s="390"/>
      <c r="AR83" s="410"/>
      <c r="AS83" s="385"/>
      <c r="AT83" s="384"/>
      <c r="AU83" s="408"/>
      <c r="AV83" s="390"/>
      <c r="AW83" s="410"/>
      <c r="AX83" s="385"/>
      <c r="AY83" s="384"/>
      <c r="AZ83" s="408"/>
      <c r="BA83" s="390"/>
      <c r="BB83" s="410"/>
      <c r="BC83" s="385"/>
      <c r="BD83" s="384"/>
      <c r="BE83" s="408"/>
      <c r="BF83" s="390"/>
      <c r="BG83" s="410"/>
      <c r="BH83" s="385"/>
      <c r="BI83" s="384"/>
      <c r="BJ83" s="408"/>
      <c r="BK83" s="390"/>
      <c r="BL83" s="384"/>
      <c r="BM83" s="385"/>
      <c r="BN83" s="384"/>
      <c r="BO83" s="408"/>
      <c r="BP83" s="390"/>
      <c r="BQ83" s="384"/>
      <c r="BR83" s="385"/>
      <c r="BS83" s="384"/>
      <c r="BT83" s="408"/>
      <c r="BU83" s="390"/>
      <c r="BV83" s="410"/>
      <c r="BW83" s="385"/>
      <c r="BX83" s="384"/>
      <c r="BY83" s="408"/>
      <c r="BZ83" s="390"/>
      <c r="CA83" s="410"/>
      <c r="CB83" s="385"/>
      <c r="CC83" s="384"/>
      <c r="CD83" s="408"/>
      <c r="CE83" s="390"/>
      <c r="CF83" s="410"/>
      <c r="CG83" s="385"/>
      <c r="CI83" s="408"/>
      <c r="CJ83" s="390"/>
      <c r="CK83" s="410"/>
      <c r="CL83" s="385"/>
      <c r="CN83" s="408"/>
      <c r="CO83" s="390"/>
      <c r="CP83" s="410"/>
      <c r="CQ83" s="385"/>
      <c r="CT83" s="384"/>
    </row>
    <row r="84" spans="1:98" x14ac:dyDescent="0.3">
      <c r="A84" s="380"/>
      <c r="B84" s="759" t="s">
        <v>797</v>
      </c>
      <c r="C84" s="749" t="str">
        <f t="shared" ref="C84:C89" si="1">IF(AND(D84="",E84=""),"",IF(E84="",D84,E84))</f>
        <v/>
      </c>
      <c r="D84" s="743" t="str" cm="1">
        <f t="array" ref="D84">IF(INDEX(84:84,$E$2)="","", INDEX(84:84, $E$2))</f>
        <v/>
      </c>
      <c r="E84" s="740"/>
      <c r="F84" s="407"/>
      <c r="G84" s="381"/>
      <c r="L84" s="417" t="s">
        <v>797</v>
      </c>
      <c r="M84" s="390"/>
      <c r="N84" s="410"/>
      <c r="O84" s="385"/>
      <c r="Q84" s="417" t="s">
        <v>797</v>
      </c>
      <c r="R84" s="390"/>
      <c r="S84" s="410"/>
      <c r="T84" s="385"/>
      <c r="U84" s="932"/>
      <c r="V84" s="417" t="s">
        <v>797</v>
      </c>
      <c r="W84" s="390"/>
      <c r="X84" s="410"/>
      <c r="Y84" s="385"/>
      <c r="Z84" s="932"/>
      <c r="AA84" s="417" t="s">
        <v>797</v>
      </c>
      <c r="AB84" s="390"/>
      <c r="AC84" s="410"/>
      <c r="AD84" s="385"/>
      <c r="AE84" s="384"/>
      <c r="AF84" s="417" t="s">
        <v>797</v>
      </c>
      <c r="AG84" s="390"/>
      <c r="AH84" s="410"/>
      <c r="AI84" s="385"/>
      <c r="AJ84" s="384"/>
      <c r="AK84" s="417" t="s">
        <v>797</v>
      </c>
      <c r="AL84" s="390"/>
      <c r="AM84" s="410"/>
      <c r="AN84" s="385"/>
      <c r="AO84" s="384"/>
      <c r="AP84" s="417" t="s">
        <v>797</v>
      </c>
      <c r="AQ84" s="390"/>
      <c r="AR84" s="410"/>
      <c r="AS84" s="385"/>
      <c r="AT84" s="384"/>
      <c r="AU84" s="417" t="s">
        <v>797</v>
      </c>
      <c r="AV84" s="390"/>
      <c r="AW84" s="410"/>
      <c r="AX84" s="385"/>
      <c r="AY84" s="384"/>
      <c r="AZ84" s="417" t="s">
        <v>797</v>
      </c>
      <c r="BA84" s="390"/>
      <c r="BB84" s="410"/>
      <c r="BC84" s="385"/>
      <c r="BD84" s="384"/>
      <c r="BE84" s="417" t="s">
        <v>797</v>
      </c>
      <c r="BF84" s="390"/>
      <c r="BG84" s="410"/>
      <c r="BH84" s="385"/>
      <c r="BI84" s="384"/>
      <c r="BJ84" s="417" t="s">
        <v>797</v>
      </c>
      <c r="BK84" s="390"/>
      <c r="BL84" s="384"/>
      <c r="BM84" s="385"/>
      <c r="BN84" s="384"/>
      <c r="BO84" s="417" t="s">
        <v>797</v>
      </c>
      <c r="BP84" s="390"/>
      <c r="BQ84" s="384"/>
      <c r="BR84" s="385"/>
      <c r="BS84" s="384"/>
      <c r="BT84" s="417" t="s">
        <v>797</v>
      </c>
      <c r="BU84" s="390"/>
      <c r="BV84" s="410"/>
      <c r="BW84" s="385"/>
      <c r="BX84" s="384"/>
      <c r="BY84" s="417" t="s">
        <v>797</v>
      </c>
      <c r="BZ84" s="390"/>
      <c r="CA84" s="410"/>
      <c r="CB84" s="385"/>
      <c r="CC84" s="384"/>
      <c r="CD84" s="417" t="s">
        <v>797</v>
      </c>
      <c r="CE84" s="390"/>
      <c r="CF84" s="410"/>
      <c r="CG84" s="385"/>
      <c r="CI84" s="417" t="s">
        <v>797</v>
      </c>
      <c r="CJ84" s="390"/>
      <c r="CK84" s="410"/>
      <c r="CL84" s="385"/>
      <c r="CN84" s="417" t="s">
        <v>797</v>
      </c>
      <c r="CO84" s="390"/>
      <c r="CP84" s="410"/>
      <c r="CQ84" s="385"/>
      <c r="CT84" s="384"/>
    </row>
    <row r="85" spans="1:98" x14ac:dyDescent="0.3">
      <c r="A85" s="380"/>
      <c r="B85" s="745" t="s">
        <v>787</v>
      </c>
      <c r="C85" s="738" t="str">
        <f t="shared" si="1"/>
        <v>None</v>
      </c>
      <c r="D85" s="743" t="str" cm="1">
        <f t="array" ref="D85">IF(INDEX(85:85,$E$2)="","", INDEX(85:85, $E$2))</f>
        <v>None</v>
      </c>
      <c r="E85" s="740"/>
      <c r="F85" s="407"/>
      <c r="G85" s="381"/>
      <c r="L85" s="408" t="s">
        <v>787</v>
      </c>
      <c r="M85" s="390" t="s">
        <v>788</v>
      </c>
      <c r="N85" s="410"/>
      <c r="O85" s="385"/>
      <c r="Q85" s="408" t="s">
        <v>787</v>
      </c>
      <c r="R85" s="390" t="s">
        <v>788</v>
      </c>
      <c r="S85" s="410"/>
      <c r="T85" s="385"/>
      <c r="U85" s="932"/>
      <c r="V85" s="408" t="s">
        <v>787</v>
      </c>
      <c r="W85" s="390" t="s">
        <v>788</v>
      </c>
      <c r="X85" s="410"/>
      <c r="Y85" s="385"/>
      <c r="Z85" s="932"/>
      <c r="AA85" s="408" t="s">
        <v>787</v>
      </c>
      <c r="AB85" s="390" t="s">
        <v>788</v>
      </c>
      <c r="AC85" s="410"/>
      <c r="AD85" s="385"/>
      <c r="AE85" s="384"/>
      <c r="AF85" s="408" t="s">
        <v>787</v>
      </c>
      <c r="AG85" s="390" t="s">
        <v>788</v>
      </c>
      <c r="AH85" s="410"/>
      <c r="AI85" s="385"/>
      <c r="AJ85" s="384"/>
      <c r="AK85" s="408" t="s">
        <v>787</v>
      </c>
      <c r="AL85" s="390" t="s">
        <v>788</v>
      </c>
      <c r="AM85" s="410"/>
      <c r="AN85" s="385"/>
      <c r="AO85" s="384"/>
      <c r="AP85" s="408" t="s">
        <v>787</v>
      </c>
      <c r="AQ85" s="390" t="s">
        <v>788</v>
      </c>
      <c r="AR85" s="410"/>
      <c r="AS85" s="385"/>
      <c r="AT85" s="384"/>
      <c r="AU85" s="408" t="s">
        <v>787</v>
      </c>
      <c r="AV85" s="390" t="s">
        <v>788</v>
      </c>
      <c r="AW85" s="410"/>
      <c r="AX85" s="385"/>
      <c r="AY85" s="384"/>
      <c r="AZ85" s="408" t="s">
        <v>787</v>
      </c>
      <c r="BA85" s="390" t="s">
        <v>788</v>
      </c>
      <c r="BB85" s="410"/>
      <c r="BC85" s="385"/>
      <c r="BD85" s="384"/>
      <c r="BE85" s="408" t="s">
        <v>787</v>
      </c>
      <c r="BF85" s="390" t="s">
        <v>788</v>
      </c>
      <c r="BG85" s="410"/>
      <c r="BH85" s="385"/>
      <c r="BI85" s="384"/>
      <c r="BJ85" s="408" t="s">
        <v>787</v>
      </c>
      <c r="BK85" s="390" t="s">
        <v>788</v>
      </c>
      <c r="BL85" s="384"/>
      <c r="BM85" s="385"/>
      <c r="BN85" s="384"/>
      <c r="BO85" s="408" t="s">
        <v>787</v>
      </c>
      <c r="BP85" s="390" t="s">
        <v>788</v>
      </c>
      <c r="BQ85" s="384"/>
      <c r="BR85" s="385"/>
      <c r="BS85" s="384"/>
      <c r="BT85" s="408" t="s">
        <v>787</v>
      </c>
      <c r="BU85" s="390" t="s">
        <v>788</v>
      </c>
      <c r="BV85" s="410"/>
      <c r="BW85" s="385"/>
      <c r="BX85" s="384"/>
      <c r="BY85" s="408" t="s">
        <v>787</v>
      </c>
      <c r="BZ85" s="390" t="s">
        <v>788</v>
      </c>
      <c r="CA85" s="410"/>
      <c r="CB85" s="385"/>
      <c r="CC85" s="384"/>
      <c r="CD85" s="408" t="s">
        <v>787</v>
      </c>
      <c r="CE85" s="390" t="s">
        <v>788</v>
      </c>
      <c r="CF85" s="410"/>
      <c r="CG85" s="385"/>
      <c r="CI85" s="408" t="s">
        <v>787</v>
      </c>
      <c r="CJ85" s="390" t="s">
        <v>788</v>
      </c>
      <c r="CK85" s="410"/>
      <c r="CL85" s="385"/>
      <c r="CN85" s="408" t="s">
        <v>787</v>
      </c>
      <c r="CO85" s="1038" t="s">
        <v>788</v>
      </c>
      <c r="CP85" s="410"/>
      <c r="CQ85" s="385"/>
      <c r="CT85" s="384"/>
    </row>
    <row r="86" spans="1:98" x14ac:dyDescent="0.3">
      <c r="A86" s="380"/>
      <c r="B86" s="745" t="s">
        <v>798</v>
      </c>
      <c r="C86" s="760">
        <f t="shared" si="1"/>
        <v>0</v>
      </c>
      <c r="D86" s="743" cm="1">
        <f t="array" ref="D86">IF(INDEX(86:86,$E$2)="","", INDEX(86:86, $E$2))</f>
        <v>0</v>
      </c>
      <c r="E86" s="761"/>
      <c r="F86" s="407"/>
      <c r="G86" s="381"/>
      <c r="L86" s="408" t="s">
        <v>799</v>
      </c>
      <c r="M86" s="390">
        <v>0</v>
      </c>
      <c r="N86" s="410"/>
      <c r="O86" s="385"/>
      <c r="Q86" s="408" t="s">
        <v>799</v>
      </c>
      <c r="R86" s="390">
        <v>0</v>
      </c>
      <c r="S86" s="410"/>
      <c r="T86" s="385"/>
      <c r="U86" s="932"/>
      <c r="V86" s="408" t="s">
        <v>799</v>
      </c>
      <c r="W86" s="390">
        <v>0</v>
      </c>
      <c r="X86" s="410"/>
      <c r="Y86" s="385"/>
      <c r="Z86" s="932"/>
      <c r="AA86" s="408" t="s">
        <v>799</v>
      </c>
      <c r="AB86" s="390">
        <v>0</v>
      </c>
      <c r="AC86" s="410"/>
      <c r="AD86" s="385"/>
      <c r="AE86" s="384"/>
      <c r="AF86" s="408" t="s">
        <v>799</v>
      </c>
      <c r="AG86" s="390">
        <v>0</v>
      </c>
      <c r="AH86" s="410"/>
      <c r="AI86" s="385"/>
      <c r="AJ86" s="384"/>
      <c r="AK86" s="408" t="s">
        <v>799</v>
      </c>
      <c r="AL86" s="390">
        <v>0</v>
      </c>
      <c r="AM86" s="410"/>
      <c r="AN86" s="385"/>
      <c r="AO86" s="384"/>
      <c r="AP86" s="408" t="s">
        <v>799</v>
      </c>
      <c r="AQ86" s="390">
        <v>0</v>
      </c>
      <c r="AR86" s="410"/>
      <c r="AS86" s="385"/>
      <c r="AT86" s="384"/>
      <c r="AU86" s="408" t="s">
        <v>799</v>
      </c>
      <c r="AV86" s="390">
        <v>0</v>
      </c>
      <c r="AW86" s="410"/>
      <c r="AX86" s="385"/>
      <c r="AY86" s="384"/>
      <c r="AZ86" s="408" t="s">
        <v>799</v>
      </c>
      <c r="BA86" s="390">
        <v>0</v>
      </c>
      <c r="BB86" s="410"/>
      <c r="BC86" s="385"/>
      <c r="BD86" s="384"/>
      <c r="BE86" s="408" t="s">
        <v>799</v>
      </c>
      <c r="BF86" s="390">
        <v>0</v>
      </c>
      <c r="BG86" s="410"/>
      <c r="BH86" s="385"/>
      <c r="BI86" s="384"/>
      <c r="BJ86" s="408" t="s">
        <v>799</v>
      </c>
      <c r="BK86" s="390">
        <v>0</v>
      </c>
      <c r="BL86" s="384"/>
      <c r="BM86" s="385"/>
      <c r="BN86" s="384"/>
      <c r="BO86" s="408" t="s">
        <v>799</v>
      </c>
      <c r="BP86" s="390">
        <v>0</v>
      </c>
      <c r="BQ86" s="384"/>
      <c r="BR86" s="385"/>
      <c r="BS86" s="384"/>
      <c r="BT86" s="408" t="s">
        <v>799</v>
      </c>
      <c r="BU86" s="390">
        <v>0</v>
      </c>
      <c r="BV86" s="410"/>
      <c r="BW86" s="385"/>
      <c r="BX86" s="384"/>
      <c r="BY86" s="408" t="s">
        <v>799</v>
      </c>
      <c r="BZ86" s="390">
        <v>0</v>
      </c>
      <c r="CA86" s="410"/>
      <c r="CB86" s="385"/>
      <c r="CC86" s="384"/>
      <c r="CD86" s="408" t="s">
        <v>799</v>
      </c>
      <c r="CE86" s="390">
        <v>0</v>
      </c>
      <c r="CF86" s="410"/>
      <c r="CG86" s="385"/>
      <c r="CI86" s="408" t="s">
        <v>799</v>
      </c>
      <c r="CJ86" s="390">
        <v>0</v>
      </c>
      <c r="CK86" s="410"/>
      <c r="CL86" s="385"/>
      <c r="CN86" s="408" t="s">
        <v>799</v>
      </c>
      <c r="CO86" s="1038">
        <v>0</v>
      </c>
      <c r="CP86" s="410"/>
      <c r="CQ86" s="385"/>
      <c r="CT86" s="384"/>
    </row>
    <row r="87" spans="1:98" x14ac:dyDescent="0.3">
      <c r="A87" s="380"/>
      <c r="B87" s="745" t="s">
        <v>791</v>
      </c>
      <c r="C87" s="760">
        <f t="shared" si="1"/>
        <v>0</v>
      </c>
      <c r="D87" s="743" cm="1">
        <f t="array" ref="D87">IF(INDEX(87:87,$E$2)="","", INDEX(87:87, $E$2))</f>
        <v>0</v>
      </c>
      <c r="E87" s="761"/>
      <c r="F87" s="407"/>
      <c r="G87" s="381"/>
      <c r="L87" s="408" t="s">
        <v>791</v>
      </c>
      <c r="M87" s="390">
        <v>0</v>
      </c>
      <c r="N87" s="410"/>
      <c r="O87" s="385"/>
      <c r="Q87" s="408" t="s">
        <v>791</v>
      </c>
      <c r="R87" s="390">
        <v>0</v>
      </c>
      <c r="S87" s="410"/>
      <c r="T87" s="385"/>
      <c r="U87" s="932"/>
      <c r="V87" s="408" t="s">
        <v>791</v>
      </c>
      <c r="W87" s="390">
        <v>0</v>
      </c>
      <c r="X87" s="410"/>
      <c r="Y87" s="385"/>
      <c r="Z87" s="932"/>
      <c r="AA87" s="408" t="s">
        <v>791</v>
      </c>
      <c r="AB87" s="390">
        <v>0</v>
      </c>
      <c r="AC87" s="410"/>
      <c r="AD87" s="385"/>
      <c r="AE87" s="384"/>
      <c r="AF87" s="408" t="s">
        <v>791</v>
      </c>
      <c r="AG87" s="390">
        <v>0</v>
      </c>
      <c r="AH87" s="410"/>
      <c r="AI87" s="385"/>
      <c r="AJ87" s="384"/>
      <c r="AK87" s="408" t="s">
        <v>791</v>
      </c>
      <c r="AL87" s="390">
        <v>0</v>
      </c>
      <c r="AM87" s="410"/>
      <c r="AN87" s="385"/>
      <c r="AO87" s="384"/>
      <c r="AP87" s="408" t="s">
        <v>791</v>
      </c>
      <c r="AQ87" s="390">
        <v>0</v>
      </c>
      <c r="AR87" s="410"/>
      <c r="AS87" s="385"/>
      <c r="AT87" s="384"/>
      <c r="AU87" s="408" t="s">
        <v>791</v>
      </c>
      <c r="AV87" s="390">
        <v>0</v>
      </c>
      <c r="AW87" s="410"/>
      <c r="AX87" s="385"/>
      <c r="AY87" s="384"/>
      <c r="AZ87" s="408" t="s">
        <v>791</v>
      </c>
      <c r="BA87" s="390">
        <v>0</v>
      </c>
      <c r="BB87" s="410"/>
      <c r="BC87" s="385"/>
      <c r="BD87" s="384"/>
      <c r="BE87" s="408" t="s">
        <v>791</v>
      </c>
      <c r="BF87" s="390">
        <v>0</v>
      </c>
      <c r="BG87" s="410"/>
      <c r="BH87" s="385"/>
      <c r="BI87" s="384"/>
      <c r="BJ87" s="408" t="s">
        <v>791</v>
      </c>
      <c r="BK87" s="390">
        <v>0</v>
      </c>
      <c r="BL87" s="384"/>
      <c r="BM87" s="385"/>
      <c r="BN87" s="384"/>
      <c r="BO87" s="408" t="s">
        <v>791</v>
      </c>
      <c r="BP87" s="390">
        <v>0</v>
      </c>
      <c r="BQ87" s="384"/>
      <c r="BR87" s="385"/>
      <c r="BS87" s="384"/>
      <c r="BT87" s="408" t="s">
        <v>791</v>
      </c>
      <c r="BU87" s="390">
        <v>0</v>
      </c>
      <c r="BV87" s="410"/>
      <c r="BW87" s="385"/>
      <c r="BX87" s="384"/>
      <c r="BY87" s="408" t="s">
        <v>791</v>
      </c>
      <c r="BZ87" s="390">
        <v>0</v>
      </c>
      <c r="CA87" s="410"/>
      <c r="CB87" s="385"/>
      <c r="CC87" s="384"/>
      <c r="CD87" s="408" t="s">
        <v>791</v>
      </c>
      <c r="CE87" s="390">
        <v>0</v>
      </c>
      <c r="CF87" s="410"/>
      <c r="CG87" s="385"/>
      <c r="CI87" s="408" t="s">
        <v>791</v>
      </c>
      <c r="CJ87" s="390">
        <v>0</v>
      </c>
      <c r="CK87" s="410"/>
      <c r="CL87" s="385"/>
      <c r="CN87" s="408" t="s">
        <v>791</v>
      </c>
      <c r="CO87" s="1038">
        <v>0</v>
      </c>
      <c r="CP87" s="410"/>
      <c r="CQ87" s="385"/>
      <c r="CT87" s="384"/>
    </row>
    <row r="88" spans="1:98" x14ac:dyDescent="0.3">
      <c r="A88" s="380"/>
      <c r="B88" s="745" t="s">
        <v>792</v>
      </c>
      <c r="C88" s="749">
        <f t="shared" si="1"/>
        <v>0</v>
      </c>
      <c r="D88" s="743" cm="1">
        <f t="array" ref="D88">IF(INDEX(88:88,$E$2)="","", INDEX(88:88, $E$2))</f>
        <v>0</v>
      </c>
      <c r="E88" s="740"/>
      <c r="F88" s="407"/>
      <c r="G88" s="381"/>
      <c r="L88" s="408" t="s">
        <v>793</v>
      </c>
      <c r="M88" s="390">
        <v>0</v>
      </c>
      <c r="N88" s="410"/>
      <c r="O88" s="385"/>
      <c r="Q88" s="408" t="s">
        <v>793</v>
      </c>
      <c r="R88" s="390">
        <v>0</v>
      </c>
      <c r="S88" s="410"/>
      <c r="T88" s="385"/>
      <c r="U88" s="932"/>
      <c r="V88" s="408" t="s">
        <v>793</v>
      </c>
      <c r="W88" s="390">
        <v>0</v>
      </c>
      <c r="X88" s="410"/>
      <c r="Y88" s="385"/>
      <c r="Z88" s="932"/>
      <c r="AA88" s="408" t="s">
        <v>793</v>
      </c>
      <c r="AB88" s="390">
        <v>0</v>
      </c>
      <c r="AC88" s="410"/>
      <c r="AD88" s="385"/>
      <c r="AE88" s="384"/>
      <c r="AF88" s="408" t="s">
        <v>793</v>
      </c>
      <c r="AG88" s="390">
        <v>0</v>
      </c>
      <c r="AH88" s="410"/>
      <c r="AI88" s="385"/>
      <c r="AJ88" s="384"/>
      <c r="AK88" s="408" t="s">
        <v>793</v>
      </c>
      <c r="AL88" s="390">
        <v>0</v>
      </c>
      <c r="AM88" s="410"/>
      <c r="AN88" s="385"/>
      <c r="AO88" s="384"/>
      <c r="AP88" s="408" t="s">
        <v>793</v>
      </c>
      <c r="AQ88" s="390">
        <v>0</v>
      </c>
      <c r="AR88" s="410"/>
      <c r="AS88" s="385"/>
      <c r="AT88" s="384"/>
      <c r="AU88" s="408" t="s">
        <v>793</v>
      </c>
      <c r="AV88" s="390">
        <v>0</v>
      </c>
      <c r="AW88" s="410"/>
      <c r="AX88" s="385"/>
      <c r="AY88" s="384"/>
      <c r="AZ88" s="408" t="s">
        <v>793</v>
      </c>
      <c r="BA88" s="390">
        <v>0</v>
      </c>
      <c r="BB88" s="410"/>
      <c r="BC88" s="385"/>
      <c r="BD88" s="384"/>
      <c r="BE88" s="408" t="s">
        <v>793</v>
      </c>
      <c r="BF88" s="390">
        <v>0</v>
      </c>
      <c r="BG88" s="410"/>
      <c r="BH88" s="385"/>
      <c r="BI88" s="384"/>
      <c r="BJ88" s="408" t="s">
        <v>793</v>
      </c>
      <c r="BK88" s="390">
        <v>0</v>
      </c>
      <c r="BL88" s="384"/>
      <c r="BM88" s="385"/>
      <c r="BN88" s="384"/>
      <c r="BO88" s="408" t="s">
        <v>793</v>
      </c>
      <c r="BP88" s="390">
        <v>0</v>
      </c>
      <c r="BQ88" s="384"/>
      <c r="BR88" s="385"/>
      <c r="BS88" s="384"/>
      <c r="BT88" s="408" t="s">
        <v>793</v>
      </c>
      <c r="BU88" s="390">
        <v>0</v>
      </c>
      <c r="BV88" s="410"/>
      <c r="BW88" s="385"/>
      <c r="BX88" s="384"/>
      <c r="BY88" s="408" t="s">
        <v>793</v>
      </c>
      <c r="BZ88" s="390">
        <v>0</v>
      </c>
      <c r="CA88" s="410"/>
      <c r="CB88" s="385"/>
      <c r="CC88" s="384"/>
      <c r="CD88" s="408" t="s">
        <v>793</v>
      </c>
      <c r="CE88" s="390">
        <v>0</v>
      </c>
      <c r="CF88" s="410"/>
      <c r="CG88" s="385"/>
      <c r="CI88" s="408" t="s">
        <v>793</v>
      </c>
      <c r="CJ88" s="390">
        <v>0</v>
      </c>
      <c r="CK88" s="410"/>
      <c r="CL88" s="385"/>
      <c r="CN88" s="408" t="s">
        <v>793</v>
      </c>
      <c r="CO88" s="1038">
        <v>0</v>
      </c>
      <c r="CP88" s="410"/>
      <c r="CQ88" s="385"/>
      <c r="CT88" s="384"/>
    </row>
    <row r="89" spans="1:98" ht="14.5" thickBot="1" x14ac:dyDescent="0.35">
      <c r="A89" s="380"/>
      <c r="B89" s="745"/>
      <c r="C89" s="749" t="str">
        <f t="shared" si="1"/>
        <v/>
      </c>
      <c r="D89" s="739"/>
      <c r="E89" s="740"/>
      <c r="F89" s="407"/>
      <c r="G89" s="381"/>
      <c r="L89" s="408"/>
      <c r="M89" s="390"/>
      <c r="N89" s="410"/>
      <c r="O89" s="385"/>
      <c r="Q89" s="408"/>
      <c r="R89" s="390"/>
      <c r="S89" s="410"/>
      <c r="T89" s="385"/>
      <c r="U89" s="932"/>
      <c r="V89" s="408"/>
      <c r="W89" s="390"/>
      <c r="X89" s="410"/>
      <c r="Y89" s="385"/>
      <c r="Z89" s="932"/>
      <c r="AA89" s="408"/>
      <c r="AB89" s="390"/>
      <c r="AC89" s="410"/>
      <c r="AD89" s="385"/>
      <c r="AE89" s="384"/>
      <c r="AF89" s="408"/>
      <c r="AG89" s="390"/>
      <c r="AH89" s="410"/>
      <c r="AI89" s="385"/>
      <c r="AJ89" s="384"/>
      <c r="AK89" s="408"/>
      <c r="AL89" s="390"/>
      <c r="AM89" s="410"/>
      <c r="AN89" s="385"/>
      <c r="AO89" s="384"/>
      <c r="AP89" s="408"/>
      <c r="AQ89" s="390"/>
      <c r="AR89" s="410"/>
      <c r="AS89" s="385"/>
      <c r="AT89" s="384"/>
      <c r="AU89" s="408"/>
      <c r="AV89" s="390"/>
      <c r="AW89" s="410"/>
      <c r="AX89" s="385"/>
      <c r="AY89" s="384"/>
      <c r="AZ89" s="408"/>
      <c r="BA89" s="390"/>
      <c r="BB89" s="410"/>
      <c r="BC89" s="385"/>
      <c r="BD89" s="384"/>
      <c r="BE89" s="408"/>
      <c r="BF89" s="390"/>
      <c r="BG89" s="410"/>
      <c r="BH89" s="385"/>
      <c r="BI89" s="384"/>
      <c r="BJ89" s="408"/>
      <c r="BK89" s="390"/>
      <c r="BL89" s="384"/>
      <c r="BM89" s="385"/>
      <c r="BN89" s="384"/>
      <c r="BO89" s="408"/>
      <c r="BP89" s="390"/>
      <c r="BQ89" s="384"/>
      <c r="BR89" s="385"/>
      <c r="BS89" s="384"/>
      <c r="BT89" s="408"/>
      <c r="BU89" s="390"/>
      <c r="BV89" s="410"/>
      <c r="BW89" s="385"/>
      <c r="BX89" s="384"/>
      <c r="BY89" s="408"/>
      <c r="BZ89" s="390"/>
      <c r="CA89" s="410"/>
      <c r="CB89" s="385"/>
      <c r="CC89" s="384"/>
      <c r="CD89" s="408"/>
      <c r="CE89" s="390"/>
      <c r="CF89" s="410"/>
      <c r="CG89" s="385"/>
      <c r="CI89" s="408"/>
      <c r="CJ89" s="390"/>
      <c r="CK89" s="410"/>
      <c r="CL89" s="385"/>
      <c r="CN89" s="408"/>
      <c r="CO89" s="390"/>
      <c r="CP89" s="410"/>
      <c r="CQ89" s="385"/>
      <c r="CT89" s="384"/>
    </row>
    <row r="90" spans="1:98" ht="18.5" thickBot="1" x14ac:dyDescent="0.45">
      <c r="A90" s="380"/>
      <c r="B90" s="591" t="s">
        <v>800</v>
      </c>
      <c r="C90" s="753"/>
      <c r="D90" s="753"/>
      <c r="E90" s="753"/>
      <c r="F90" s="590"/>
      <c r="L90" s="418" t="s">
        <v>801</v>
      </c>
      <c r="M90" s="384"/>
      <c r="N90" s="384"/>
      <c r="O90" s="385"/>
      <c r="Q90" s="418" t="s">
        <v>801</v>
      </c>
      <c r="R90" s="384"/>
      <c r="S90" s="384"/>
      <c r="T90" s="385"/>
      <c r="U90" s="932"/>
      <c r="V90" s="418" t="s">
        <v>801</v>
      </c>
      <c r="W90" s="384"/>
      <c r="X90" s="384"/>
      <c r="Y90" s="385"/>
      <c r="Z90" s="932"/>
      <c r="AA90" s="418" t="s">
        <v>801</v>
      </c>
      <c r="AB90" s="384"/>
      <c r="AC90" s="384"/>
      <c r="AD90" s="385"/>
      <c r="AE90" s="384"/>
      <c r="AF90" s="418" t="s">
        <v>801</v>
      </c>
      <c r="AG90" s="384"/>
      <c r="AH90" s="384"/>
      <c r="AI90" s="385"/>
      <c r="AJ90" s="384"/>
      <c r="AK90" s="418" t="s">
        <v>801</v>
      </c>
      <c r="AL90" s="384"/>
      <c r="AM90" s="384"/>
      <c r="AN90" s="385"/>
      <c r="AO90" s="384"/>
      <c r="AP90" s="418" t="s">
        <v>801</v>
      </c>
      <c r="AQ90" s="384"/>
      <c r="AR90" s="384"/>
      <c r="AS90" s="385"/>
      <c r="AT90" s="384"/>
      <c r="AU90" s="418" t="s">
        <v>801</v>
      </c>
      <c r="AV90" s="384"/>
      <c r="AW90" s="384"/>
      <c r="AX90" s="385"/>
      <c r="AY90" s="384"/>
      <c r="AZ90" s="418" t="s">
        <v>801</v>
      </c>
      <c r="BA90" s="384"/>
      <c r="BB90" s="384"/>
      <c r="BC90" s="385"/>
      <c r="BD90" s="384"/>
      <c r="BE90" s="418" t="s">
        <v>801</v>
      </c>
      <c r="BF90" s="384"/>
      <c r="BG90" s="384"/>
      <c r="BH90" s="385"/>
      <c r="BI90" s="384"/>
      <c r="BJ90" s="418" t="s">
        <v>801</v>
      </c>
      <c r="BK90" s="384"/>
      <c r="BL90" s="384"/>
      <c r="BM90" s="385"/>
      <c r="BN90" s="384"/>
      <c r="BO90" s="418" t="s">
        <v>801</v>
      </c>
      <c r="BP90" s="384"/>
      <c r="BQ90" s="384"/>
      <c r="BR90" s="385"/>
      <c r="BS90" s="384"/>
      <c r="BT90" s="418" t="s">
        <v>801</v>
      </c>
      <c r="BU90" s="384"/>
      <c r="BV90" s="384"/>
      <c r="BW90" s="385"/>
      <c r="BX90" s="384"/>
      <c r="BY90" s="418" t="s">
        <v>801</v>
      </c>
      <c r="BZ90" s="384"/>
      <c r="CA90" s="384"/>
      <c r="CB90" s="385"/>
      <c r="CC90" s="384"/>
      <c r="CD90" s="418" t="s">
        <v>801</v>
      </c>
      <c r="CE90" s="384"/>
      <c r="CF90" s="384"/>
      <c r="CG90" s="385"/>
      <c r="CI90" s="418" t="s">
        <v>801</v>
      </c>
      <c r="CJ90" s="384"/>
      <c r="CK90" s="384"/>
      <c r="CL90" s="385"/>
      <c r="CN90" s="418" t="s">
        <v>801</v>
      </c>
      <c r="CO90" s="384"/>
      <c r="CP90" s="384"/>
      <c r="CQ90" s="385"/>
      <c r="CT90" s="384"/>
    </row>
    <row r="91" spans="1:98" x14ac:dyDescent="0.3">
      <c r="A91" s="380"/>
      <c r="B91" s="491" t="s">
        <v>40</v>
      </c>
      <c r="C91" s="749">
        <f t="shared" ref="C91:C141" si="2">IF(AND(D91="",E91=""),"",IF(E91="",D91,E91))</f>
        <v>9</v>
      </c>
      <c r="D91" s="743" cm="1">
        <f t="array" ref="D91">IF(INDEX(91:91,$E$2)="","", INDEX(91:91, $E$2))</f>
        <v>9</v>
      </c>
      <c r="E91" s="740"/>
      <c r="F91" s="769"/>
      <c r="L91" s="425" t="s">
        <v>40</v>
      </c>
      <c r="M91" s="410">
        <v>9</v>
      </c>
      <c r="N91" s="384"/>
      <c r="O91" s="385"/>
      <c r="Q91" s="425" t="s">
        <v>40</v>
      </c>
      <c r="R91" s="410">
        <v>9</v>
      </c>
      <c r="S91" s="384"/>
      <c r="T91" s="385"/>
      <c r="U91" s="932"/>
      <c r="V91" s="425" t="s">
        <v>40</v>
      </c>
      <c r="W91" s="410">
        <v>9</v>
      </c>
      <c r="X91" s="384"/>
      <c r="Y91" s="385"/>
      <c r="Z91" s="932"/>
      <c r="AA91" s="425" t="s">
        <v>40</v>
      </c>
      <c r="AB91" s="410">
        <v>9</v>
      </c>
      <c r="AC91" s="384"/>
      <c r="AD91" s="385"/>
      <c r="AE91" s="384"/>
      <c r="AF91" s="425" t="s">
        <v>40</v>
      </c>
      <c r="AG91" s="410">
        <v>9</v>
      </c>
      <c r="AH91" s="384"/>
      <c r="AI91" s="385"/>
      <c r="AJ91" s="384"/>
      <c r="AK91" s="425" t="s">
        <v>40</v>
      </c>
      <c r="AL91" s="410">
        <v>9</v>
      </c>
      <c r="AM91" s="384"/>
      <c r="AN91" s="385"/>
      <c r="AO91" s="384"/>
      <c r="AP91" s="425" t="s">
        <v>40</v>
      </c>
      <c r="AQ91" s="410">
        <v>9</v>
      </c>
      <c r="AR91" s="384"/>
      <c r="AS91" s="385"/>
      <c r="AT91" s="384"/>
      <c r="AU91" s="425" t="s">
        <v>40</v>
      </c>
      <c r="AV91" s="410">
        <v>9</v>
      </c>
      <c r="AW91" s="384"/>
      <c r="AX91" s="385"/>
      <c r="AY91" s="384"/>
      <c r="AZ91" s="425" t="s">
        <v>40</v>
      </c>
      <c r="BA91" s="410">
        <v>9</v>
      </c>
      <c r="BB91" s="384"/>
      <c r="BC91" s="385"/>
      <c r="BD91" s="384"/>
      <c r="BE91" s="425" t="s">
        <v>40</v>
      </c>
      <c r="BF91" s="410">
        <v>9</v>
      </c>
      <c r="BG91" s="384"/>
      <c r="BH91" s="385"/>
      <c r="BI91" s="384"/>
      <c r="BJ91" s="425" t="s">
        <v>40</v>
      </c>
      <c r="BK91" s="410">
        <v>9</v>
      </c>
      <c r="BL91" s="384"/>
      <c r="BM91" s="385"/>
      <c r="BN91" s="384"/>
      <c r="BO91" s="425" t="s">
        <v>40</v>
      </c>
      <c r="BP91" s="410">
        <v>9</v>
      </c>
      <c r="BQ91" s="384"/>
      <c r="BR91" s="385"/>
      <c r="BS91" s="384"/>
      <c r="BT91" s="425" t="s">
        <v>40</v>
      </c>
      <c r="BU91" s="410">
        <v>9</v>
      </c>
      <c r="BV91" s="384"/>
      <c r="BW91" s="385"/>
      <c r="BX91" s="384"/>
      <c r="BY91" s="425" t="s">
        <v>40</v>
      </c>
      <c r="BZ91" s="410">
        <v>9</v>
      </c>
      <c r="CA91" s="384"/>
      <c r="CB91" s="385"/>
      <c r="CC91" s="384"/>
      <c r="CD91" s="425" t="s">
        <v>40</v>
      </c>
      <c r="CE91" s="410">
        <v>9</v>
      </c>
      <c r="CF91" s="384"/>
      <c r="CG91" s="385"/>
      <c r="CI91" s="425" t="s">
        <v>40</v>
      </c>
      <c r="CJ91" s="410">
        <v>9</v>
      </c>
      <c r="CK91" s="384"/>
      <c r="CL91" s="385"/>
      <c r="CN91" s="425" t="s">
        <v>40</v>
      </c>
      <c r="CO91" s="1036" cm="1">
        <f t="array" ref="CO91">INDEX(91:91, $CQ$10)*$CQ$8 + INDEX(91:91, $CQ$11)*(1-$CQ$8)</f>
        <v>9</v>
      </c>
      <c r="CP91" s="384"/>
      <c r="CQ91" s="385"/>
      <c r="CT91" s="384"/>
    </row>
    <row r="92" spans="1:98" x14ac:dyDescent="0.3">
      <c r="A92" s="380"/>
      <c r="B92" s="491"/>
      <c r="C92" s="749"/>
      <c r="D92" s="743"/>
      <c r="E92" s="740"/>
      <c r="F92" s="769"/>
      <c r="L92" s="425"/>
      <c r="M92" s="384"/>
      <c r="N92" s="384"/>
      <c r="O92" s="385"/>
      <c r="Q92" s="425"/>
      <c r="R92" s="384"/>
      <c r="S92" s="384"/>
      <c r="T92" s="385"/>
      <c r="U92" s="932"/>
      <c r="V92" s="425"/>
      <c r="W92" s="410"/>
      <c r="X92" s="384"/>
      <c r="Y92" s="385"/>
      <c r="Z92" s="932"/>
      <c r="AA92" s="425"/>
      <c r="AB92" s="410"/>
      <c r="AC92" s="384"/>
      <c r="AD92" s="385"/>
      <c r="AE92" s="384"/>
      <c r="AF92" s="425"/>
      <c r="AG92" s="384"/>
      <c r="AH92" s="384"/>
      <c r="AI92" s="385"/>
      <c r="AJ92" s="384"/>
      <c r="AK92" s="425"/>
      <c r="AL92" s="384"/>
      <c r="AM92" s="384"/>
      <c r="AN92" s="385"/>
      <c r="AO92" s="384"/>
      <c r="AP92" s="425"/>
      <c r="AQ92" s="384"/>
      <c r="AR92" s="384"/>
      <c r="AS92" s="385"/>
      <c r="AT92" s="384"/>
      <c r="AU92" s="425"/>
      <c r="AV92" s="384"/>
      <c r="AW92" s="384"/>
      <c r="AX92" s="385"/>
      <c r="AY92" s="384"/>
      <c r="AZ92" s="425"/>
      <c r="BA92" s="384"/>
      <c r="BB92" s="384"/>
      <c r="BC92" s="385"/>
      <c r="BD92" s="384"/>
      <c r="BE92" s="425"/>
      <c r="BF92" s="384"/>
      <c r="BG92" s="384"/>
      <c r="BH92" s="385"/>
      <c r="BI92" s="384"/>
      <c r="BJ92" s="425"/>
      <c r="BK92" s="384"/>
      <c r="BL92" s="384"/>
      <c r="BM92" s="385"/>
      <c r="BN92" s="384"/>
      <c r="BO92" s="425"/>
      <c r="BP92" s="384"/>
      <c r="BQ92" s="384"/>
      <c r="BR92" s="385"/>
      <c r="BS92" s="384"/>
      <c r="BT92" s="425"/>
      <c r="BU92" s="384"/>
      <c r="BV92" s="384"/>
      <c r="BW92" s="385"/>
      <c r="BX92" s="384"/>
      <c r="BY92" s="425"/>
      <c r="BZ92" s="384"/>
      <c r="CA92" s="384"/>
      <c r="CB92" s="385"/>
      <c r="CC92" s="384"/>
      <c r="CD92" s="425"/>
      <c r="CE92" s="384"/>
      <c r="CF92" s="384"/>
      <c r="CG92" s="385"/>
      <c r="CI92" s="425"/>
      <c r="CJ92" s="384"/>
      <c r="CK92" s="384"/>
      <c r="CL92" s="385"/>
      <c r="CN92" s="425"/>
      <c r="CO92" s="384"/>
      <c r="CP92" s="384"/>
      <c r="CQ92" s="385"/>
      <c r="CT92" s="384"/>
    </row>
    <row r="93" spans="1:98" ht="15.5" x14ac:dyDescent="0.35">
      <c r="A93" s="380"/>
      <c r="B93" s="627" t="s">
        <v>802</v>
      </c>
      <c r="C93" s="749" t="str">
        <f t="shared" si="2"/>
        <v/>
      </c>
      <c r="D93" s="743" t="str" cm="1">
        <f t="array" ref="D93">IF(INDEX(93:93,$E$2)="","", INDEX(93:93, $E$2))</f>
        <v/>
      </c>
      <c r="E93" s="740"/>
      <c r="F93" s="769"/>
      <c r="L93" s="790" t="s">
        <v>802</v>
      </c>
      <c r="M93" s="384"/>
      <c r="N93" s="384"/>
      <c r="O93" s="385"/>
      <c r="Q93" s="790" t="s">
        <v>802</v>
      </c>
      <c r="R93" s="384"/>
      <c r="S93" s="384"/>
      <c r="T93" s="385"/>
      <c r="U93" s="932"/>
      <c r="V93" s="790" t="s">
        <v>802</v>
      </c>
      <c r="W93" s="410"/>
      <c r="X93" s="384"/>
      <c r="Y93" s="385"/>
      <c r="Z93" s="932"/>
      <c r="AA93" s="790" t="s">
        <v>802</v>
      </c>
      <c r="AB93" s="410"/>
      <c r="AC93" s="384"/>
      <c r="AD93" s="385"/>
      <c r="AE93" s="384"/>
      <c r="AF93" s="790" t="s">
        <v>802</v>
      </c>
      <c r="AG93" s="384"/>
      <c r="AH93" s="384"/>
      <c r="AI93" s="385"/>
      <c r="AJ93" s="384"/>
      <c r="AK93" s="790" t="s">
        <v>802</v>
      </c>
      <c r="AL93" s="384"/>
      <c r="AM93" s="384"/>
      <c r="AN93" s="385"/>
      <c r="AO93" s="384"/>
      <c r="AP93" s="790" t="s">
        <v>802</v>
      </c>
      <c r="AQ93" s="384"/>
      <c r="AR93" s="384"/>
      <c r="AS93" s="385"/>
      <c r="AT93" s="384"/>
      <c r="AU93" s="790" t="s">
        <v>802</v>
      </c>
      <c r="AV93" s="384"/>
      <c r="AW93" s="384"/>
      <c r="AX93" s="385"/>
      <c r="AY93" s="384"/>
      <c r="AZ93" s="790" t="s">
        <v>802</v>
      </c>
      <c r="BA93" s="384"/>
      <c r="BB93" s="384"/>
      <c r="BC93" s="385"/>
      <c r="BD93" s="384"/>
      <c r="BE93" s="790" t="s">
        <v>802</v>
      </c>
      <c r="BF93" s="384"/>
      <c r="BG93" s="384"/>
      <c r="BH93" s="385"/>
      <c r="BI93" s="384"/>
      <c r="BJ93" s="790" t="s">
        <v>802</v>
      </c>
      <c r="BK93" s="384"/>
      <c r="BL93" s="384"/>
      <c r="BM93" s="385"/>
      <c r="BN93" s="384"/>
      <c r="BO93" s="790" t="s">
        <v>802</v>
      </c>
      <c r="BP93" s="384"/>
      <c r="BQ93" s="384"/>
      <c r="BR93" s="385"/>
      <c r="BS93" s="384"/>
      <c r="BT93" s="790" t="s">
        <v>802</v>
      </c>
      <c r="BU93" s="384"/>
      <c r="BV93" s="384"/>
      <c r="BW93" s="385"/>
      <c r="BX93" s="384"/>
      <c r="BY93" s="790" t="s">
        <v>802</v>
      </c>
      <c r="BZ93" s="384"/>
      <c r="CA93" s="384"/>
      <c r="CB93" s="385"/>
      <c r="CC93" s="384"/>
      <c r="CD93" s="790" t="s">
        <v>802</v>
      </c>
      <c r="CE93" s="384"/>
      <c r="CF93" s="384"/>
      <c r="CG93" s="385"/>
      <c r="CI93" s="790" t="s">
        <v>802</v>
      </c>
      <c r="CJ93" s="384"/>
      <c r="CK93" s="384"/>
      <c r="CL93" s="385"/>
      <c r="CN93" s="790" t="s">
        <v>802</v>
      </c>
      <c r="CO93" s="384"/>
      <c r="CP93" s="384"/>
      <c r="CQ93" s="385"/>
      <c r="CT93" s="384"/>
    </row>
    <row r="94" spans="1:98" x14ac:dyDescent="0.3">
      <c r="A94" s="380"/>
      <c r="B94" s="762" t="s">
        <v>803</v>
      </c>
      <c r="C94" s="749">
        <f t="shared" si="2"/>
        <v>3</v>
      </c>
      <c r="D94" s="739" cm="1">
        <f t="array" ref="D94">IF(INDEX(94:94,$E$2)="","", INDEX(94:94, $E$2))</f>
        <v>3</v>
      </c>
      <c r="E94" s="865"/>
      <c r="F94" s="769"/>
      <c r="L94" s="789" t="s">
        <v>803</v>
      </c>
      <c r="M94" s="714">
        <v>3</v>
      </c>
      <c r="N94" s="384"/>
      <c r="O94" s="385"/>
      <c r="Q94" s="789" t="s">
        <v>803</v>
      </c>
      <c r="R94" s="714">
        <v>3</v>
      </c>
      <c r="S94" s="384"/>
      <c r="T94" s="385"/>
      <c r="U94" s="932"/>
      <c r="V94" s="789" t="s">
        <v>803</v>
      </c>
      <c r="W94" s="714">
        <v>3</v>
      </c>
      <c r="X94" s="716"/>
      <c r="Y94" s="717"/>
      <c r="Z94" s="932"/>
      <c r="AA94" s="789" t="s">
        <v>803</v>
      </c>
      <c r="AB94" s="714">
        <v>3</v>
      </c>
      <c r="AC94" s="384"/>
      <c r="AD94" s="385"/>
      <c r="AE94" s="716"/>
      <c r="AF94" s="789" t="s">
        <v>803</v>
      </c>
      <c r="AG94" s="714">
        <v>3</v>
      </c>
      <c r="AH94" s="384"/>
      <c r="AI94" s="385"/>
      <c r="AJ94" s="384"/>
      <c r="AK94" s="789" t="s">
        <v>803</v>
      </c>
      <c r="AL94" s="714">
        <v>3</v>
      </c>
      <c r="AM94" s="384"/>
      <c r="AN94" s="385"/>
      <c r="AO94" s="384"/>
      <c r="AP94" s="789" t="s">
        <v>803</v>
      </c>
      <c r="AQ94" s="714">
        <v>3</v>
      </c>
      <c r="AR94" s="384"/>
      <c r="AS94" s="385"/>
      <c r="AT94" s="384"/>
      <c r="AU94" s="789" t="s">
        <v>803</v>
      </c>
      <c r="AV94" s="714">
        <v>3</v>
      </c>
      <c r="AW94" s="384"/>
      <c r="AX94" s="385"/>
      <c r="AY94" s="384"/>
      <c r="AZ94" s="789" t="s">
        <v>803</v>
      </c>
      <c r="BA94" s="714">
        <v>3</v>
      </c>
      <c r="BB94" s="384"/>
      <c r="BC94" s="385"/>
      <c r="BD94" s="384"/>
      <c r="BE94" s="789" t="s">
        <v>803</v>
      </c>
      <c r="BF94" s="714">
        <v>3</v>
      </c>
      <c r="BG94" s="384"/>
      <c r="BH94" s="385"/>
      <c r="BI94" s="384"/>
      <c r="BJ94" s="789" t="s">
        <v>803</v>
      </c>
      <c r="BK94" s="714">
        <v>2.5</v>
      </c>
      <c r="BL94" s="384"/>
      <c r="BM94" s="385"/>
      <c r="BN94" s="384"/>
      <c r="BO94" s="789" t="s">
        <v>803</v>
      </c>
      <c r="BP94" s="714">
        <v>2.5</v>
      </c>
      <c r="BQ94" s="384"/>
      <c r="BR94" s="385"/>
      <c r="BS94" s="384"/>
      <c r="BT94" s="789" t="s">
        <v>803</v>
      </c>
      <c r="BU94" s="931">
        <v>3.2</v>
      </c>
      <c r="BV94" s="384"/>
      <c r="BW94" s="385"/>
      <c r="BX94" s="384"/>
      <c r="BY94" s="789" t="s">
        <v>803</v>
      </c>
      <c r="BZ94" s="931">
        <v>3.2</v>
      </c>
      <c r="CA94" s="384"/>
      <c r="CB94" s="385"/>
      <c r="CC94" s="384"/>
      <c r="CD94" s="789" t="s">
        <v>803</v>
      </c>
      <c r="CE94" s="931">
        <v>2.1</v>
      </c>
      <c r="CF94" s="384"/>
      <c r="CG94" s="385"/>
      <c r="CI94" s="789" t="s">
        <v>803</v>
      </c>
      <c r="CJ94" s="931">
        <v>2.1</v>
      </c>
      <c r="CK94" s="384"/>
      <c r="CL94" s="385"/>
      <c r="CN94" s="789" t="s">
        <v>803</v>
      </c>
      <c r="CO94" s="1038" cm="1">
        <f t="array" ref="CO94">INDEX(94:94, $CQ$10)*$CQ$8 + INDEX(94:94, $CQ$11)*(1-$CQ$8)</f>
        <v>3.1</v>
      </c>
      <c r="CP94" s="384"/>
      <c r="CQ94" s="385"/>
      <c r="CT94" s="716"/>
    </row>
    <row r="95" spans="1:98" x14ac:dyDescent="0.3">
      <c r="A95" s="380"/>
      <c r="B95" s="762" t="s">
        <v>804</v>
      </c>
      <c r="C95" s="749">
        <f t="shared" si="2"/>
        <v>3.4793357075413334</v>
      </c>
      <c r="D95" s="739" cm="1">
        <f t="array" ref="D95">IF(INDEX(95:95,$E$2)="","", INDEX(95:95, $E$2))</f>
        <v>3.4793357075413334</v>
      </c>
      <c r="E95" s="865"/>
      <c r="F95" s="769"/>
      <c r="L95" s="789" t="s">
        <v>804</v>
      </c>
      <c r="M95" s="714">
        <v>3.5183632200022039</v>
      </c>
      <c r="N95" s="384"/>
      <c r="O95" s="385"/>
      <c r="Q95" s="789" t="s">
        <v>804</v>
      </c>
      <c r="R95" s="714">
        <v>3.5183632200022039</v>
      </c>
      <c r="S95" s="384"/>
      <c r="T95" s="385"/>
      <c r="U95" s="932"/>
      <c r="V95" s="789" t="s">
        <v>804</v>
      </c>
      <c r="W95" s="714">
        <v>3.5361555825881736</v>
      </c>
      <c r="X95" s="716"/>
      <c r="Y95" s="717"/>
      <c r="Z95" s="932"/>
      <c r="AA95" s="789" t="s">
        <v>804</v>
      </c>
      <c r="AB95" s="714">
        <v>3.5361555825881736</v>
      </c>
      <c r="AC95" s="384"/>
      <c r="AD95" s="385"/>
      <c r="AE95" s="716"/>
      <c r="AF95" s="789" t="s">
        <v>804</v>
      </c>
      <c r="AG95" s="714">
        <v>3.5263084327695378</v>
      </c>
      <c r="AH95" s="384"/>
      <c r="AI95" s="385"/>
      <c r="AJ95" s="384"/>
      <c r="AK95" s="789" t="s">
        <v>804</v>
      </c>
      <c r="AL95" s="714">
        <v>3.5263084327695378</v>
      </c>
      <c r="AM95" s="384"/>
      <c r="AN95" s="385"/>
      <c r="AO95" s="384"/>
      <c r="AP95" s="789" t="s">
        <v>804</v>
      </c>
      <c r="AQ95" s="714">
        <v>3.4793357075413334</v>
      </c>
      <c r="AR95" s="384"/>
      <c r="AS95" s="385"/>
      <c r="AT95" s="384"/>
      <c r="AU95" s="789" t="s">
        <v>804</v>
      </c>
      <c r="AV95" s="714">
        <v>3.4793357075413334</v>
      </c>
      <c r="AW95" s="384"/>
      <c r="AX95" s="385"/>
      <c r="AY95" s="384"/>
      <c r="AZ95" s="789" t="s">
        <v>804</v>
      </c>
      <c r="BA95" s="714">
        <v>3.4531662339724392</v>
      </c>
      <c r="BB95" s="384"/>
      <c r="BC95" s="385"/>
      <c r="BD95" s="384"/>
      <c r="BE95" s="789" t="s">
        <v>804</v>
      </c>
      <c r="BF95" s="714">
        <v>3.4531662339724392</v>
      </c>
      <c r="BG95" s="384"/>
      <c r="BH95" s="385"/>
      <c r="BI95" s="384"/>
      <c r="BJ95" s="789" t="s">
        <v>804</v>
      </c>
      <c r="BK95" s="714">
        <v>3.2256452967433331</v>
      </c>
      <c r="BL95" s="384"/>
      <c r="BM95" s="385"/>
      <c r="BN95" s="384"/>
      <c r="BO95" s="789" t="s">
        <v>804</v>
      </c>
      <c r="BP95" s="714">
        <v>3.2256452967433331</v>
      </c>
      <c r="BQ95" s="384"/>
      <c r="BR95" s="385"/>
      <c r="BS95" s="384"/>
      <c r="BT95" s="789" t="s">
        <v>804</v>
      </c>
      <c r="BU95" s="931">
        <v>3.7522758999290051</v>
      </c>
      <c r="BV95" s="384"/>
      <c r="BW95" s="385"/>
      <c r="BX95" s="384"/>
      <c r="BY95" s="789" t="s">
        <v>804</v>
      </c>
      <c r="BZ95" s="931">
        <v>3.7522758999290051</v>
      </c>
      <c r="CA95" s="384"/>
      <c r="CB95" s="385"/>
      <c r="CC95" s="384"/>
      <c r="CD95" s="789" t="s">
        <v>804</v>
      </c>
      <c r="CE95" s="931">
        <v>2.396409186549429</v>
      </c>
      <c r="CF95" s="384"/>
      <c r="CG95" s="385"/>
      <c r="CI95" s="789" t="s">
        <v>804</v>
      </c>
      <c r="CJ95" s="931">
        <v>2.396409186549429</v>
      </c>
      <c r="CK95" s="384"/>
      <c r="CL95" s="385"/>
      <c r="CN95" s="789" t="s">
        <v>804</v>
      </c>
      <c r="CO95" s="1038" cm="1">
        <f t="array" ref="CO95">INDEX(95:95, $CQ$10)*$CQ$8 + INDEX(95:95, $CQ$11)*(1-$CQ$8)</f>
        <v>3.6442157412585896</v>
      </c>
      <c r="CP95" s="384"/>
      <c r="CQ95" s="385"/>
      <c r="CT95" s="716"/>
    </row>
    <row r="96" spans="1:98" x14ac:dyDescent="0.3">
      <c r="A96" s="380"/>
      <c r="B96" s="762" t="s">
        <v>805</v>
      </c>
      <c r="C96" s="749">
        <f t="shared" si="2"/>
        <v>3.5561368512112796</v>
      </c>
      <c r="D96" s="739" cm="1">
        <f t="array" ref="D96">IF(INDEX(96:96,$E$2)="","", INDEX(96:96, $E$2))</f>
        <v>3.5561368512112796</v>
      </c>
      <c r="E96" s="865"/>
      <c r="F96" s="769"/>
      <c r="L96" s="789" t="s">
        <v>805</v>
      </c>
      <c r="M96" s="714">
        <v>3.5977412219241467</v>
      </c>
      <c r="N96" s="384"/>
      <c r="O96" s="385"/>
      <c r="Q96" s="789" t="s">
        <v>805</v>
      </c>
      <c r="R96" s="714">
        <v>3.5977412219241467</v>
      </c>
      <c r="S96" s="384"/>
      <c r="T96" s="385"/>
      <c r="U96" s="932"/>
      <c r="V96" s="789" t="s">
        <v>805</v>
      </c>
      <c r="W96" s="714">
        <v>3.6031981471818249</v>
      </c>
      <c r="X96" s="716"/>
      <c r="Y96" s="717"/>
      <c r="Z96" s="932"/>
      <c r="AA96" s="789" t="s">
        <v>805</v>
      </c>
      <c r="AB96" s="714">
        <v>3.6031981471818249</v>
      </c>
      <c r="AC96" s="384"/>
      <c r="AD96" s="385"/>
      <c r="AE96" s="716"/>
      <c r="AF96" s="789" t="s">
        <v>805</v>
      </c>
      <c r="AG96" s="714">
        <v>3.5899365933149467</v>
      </c>
      <c r="AH96" s="384"/>
      <c r="AI96" s="385"/>
      <c r="AJ96" s="384"/>
      <c r="AK96" s="789" t="s">
        <v>805</v>
      </c>
      <c r="AL96" s="714">
        <v>3.5899365933149467</v>
      </c>
      <c r="AM96" s="384"/>
      <c r="AN96" s="385"/>
      <c r="AO96" s="384"/>
      <c r="AP96" s="789" t="s">
        <v>805</v>
      </c>
      <c r="AQ96" s="714">
        <v>3.5561368512112796</v>
      </c>
      <c r="AR96" s="384"/>
      <c r="AS96" s="385"/>
      <c r="AT96" s="384"/>
      <c r="AU96" s="789" t="s">
        <v>805</v>
      </c>
      <c r="AV96" s="714">
        <v>3.5561368512112796</v>
      </c>
      <c r="AW96" s="384"/>
      <c r="AX96" s="385"/>
      <c r="AY96" s="384"/>
      <c r="AZ96" s="789" t="s">
        <v>805</v>
      </c>
      <c r="BA96" s="714">
        <v>3.5323172915742953</v>
      </c>
      <c r="BB96" s="384"/>
      <c r="BC96" s="385"/>
      <c r="BD96" s="384"/>
      <c r="BE96" s="789" t="s">
        <v>805</v>
      </c>
      <c r="BF96" s="714">
        <v>3.5323172915742953</v>
      </c>
      <c r="BG96" s="384"/>
      <c r="BH96" s="385"/>
      <c r="BI96" s="384"/>
      <c r="BJ96" s="789" t="s">
        <v>805</v>
      </c>
      <c r="BK96" s="714">
        <v>3.281687675638445</v>
      </c>
      <c r="BL96" s="384"/>
      <c r="BM96" s="385"/>
      <c r="BN96" s="384"/>
      <c r="BO96" s="789" t="s">
        <v>805</v>
      </c>
      <c r="BP96" s="714">
        <v>3.281687675638445</v>
      </c>
      <c r="BQ96" s="384"/>
      <c r="BR96" s="385"/>
      <c r="BS96" s="384"/>
      <c r="BT96" s="789" t="s">
        <v>805</v>
      </c>
      <c r="BU96" s="931">
        <v>3.8237623438019641</v>
      </c>
      <c r="BV96" s="384"/>
      <c r="BW96" s="385"/>
      <c r="BX96" s="384"/>
      <c r="BY96" s="789" t="s">
        <v>805</v>
      </c>
      <c r="BZ96" s="931">
        <v>3.8237623438019641</v>
      </c>
      <c r="CA96" s="384"/>
      <c r="CB96" s="385"/>
      <c r="CC96" s="384"/>
      <c r="CD96" s="789" t="s">
        <v>805</v>
      </c>
      <c r="CE96" s="931">
        <v>2.4228860585753287</v>
      </c>
      <c r="CF96" s="384"/>
      <c r="CG96" s="385"/>
      <c r="CI96" s="789" t="s">
        <v>805</v>
      </c>
      <c r="CJ96" s="931">
        <v>2.4228860585753287</v>
      </c>
      <c r="CK96" s="384"/>
      <c r="CL96" s="385"/>
      <c r="CN96" s="789" t="s">
        <v>805</v>
      </c>
      <c r="CO96" s="1038" cm="1">
        <f t="array" ref="CO96">INDEX(96:96, $CQ$10)*$CQ$8 + INDEX(96:96, $CQ$11)*(1-$CQ$8)</f>
        <v>3.7134802454918945</v>
      </c>
      <c r="CP96" s="384"/>
      <c r="CQ96" s="385"/>
      <c r="CT96" s="716"/>
    </row>
    <row r="97" spans="1:98" x14ac:dyDescent="0.3">
      <c r="A97" s="380"/>
      <c r="B97" s="762" t="s">
        <v>806</v>
      </c>
      <c r="C97" s="749">
        <f t="shared" si="2"/>
        <v>3.617431761667889</v>
      </c>
      <c r="D97" s="739" cm="1">
        <f t="array" ref="D97">IF(INDEX(97:97,$E$2)="","", INDEX(97:97, $E$2))</f>
        <v>3.617431761667889</v>
      </c>
      <c r="E97" s="865"/>
      <c r="F97" s="769"/>
      <c r="L97" s="789" t="s">
        <v>806</v>
      </c>
      <c r="M97" s="714">
        <v>3.6525203387771588</v>
      </c>
      <c r="N97" s="384"/>
      <c r="O97" s="385"/>
      <c r="Q97" s="789" t="s">
        <v>806</v>
      </c>
      <c r="R97" s="714">
        <v>3.6525203387771588</v>
      </c>
      <c r="S97" s="384"/>
      <c r="T97" s="385"/>
      <c r="U97" s="932"/>
      <c r="V97" s="789" t="s">
        <v>806</v>
      </c>
      <c r="W97" s="714">
        <v>3.6493038048930022</v>
      </c>
      <c r="X97" s="716"/>
      <c r="Y97" s="717"/>
      <c r="Z97" s="932"/>
      <c r="AA97" s="789" t="s">
        <v>806</v>
      </c>
      <c r="AB97" s="714">
        <v>3.6493038048930022</v>
      </c>
      <c r="AC97" s="384"/>
      <c r="AD97" s="385"/>
      <c r="AE97" s="716"/>
      <c r="AF97" s="789" t="s">
        <v>806</v>
      </c>
      <c r="AG97" s="714">
        <v>3.6394334094229621</v>
      </c>
      <c r="AH97" s="384"/>
      <c r="AI97" s="385"/>
      <c r="AJ97" s="384"/>
      <c r="AK97" s="789" t="s">
        <v>806</v>
      </c>
      <c r="AL97" s="714">
        <v>3.6394334094229621</v>
      </c>
      <c r="AM97" s="384"/>
      <c r="AN97" s="385"/>
      <c r="AO97" s="384"/>
      <c r="AP97" s="789" t="s">
        <v>806</v>
      </c>
      <c r="AQ97" s="714">
        <v>3.617431761667889</v>
      </c>
      <c r="AR97" s="384"/>
      <c r="AS97" s="385"/>
      <c r="AT97" s="384"/>
      <c r="AU97" s="789" t="s">
        <v>806</v>
      </c>
      <c r="AV97" s="714">
        <v>3.617431761667889</v>
      </c>
      <c r="AW97" s="384"/>
      <c r="AX97" s="385"/>
      <c r="AY97" s="384"/>
      <c r="AZ97" s="789" t="s">
        <v>806</v>
      </c>
      <c r="BA97" s="714">
        <v>3.597201386128198</v>
      </c>
      <c r="BB97" s="384"/>
      <c r="BC97" s="385"/>
      <c r="BD97" s="384"/>
      <c r="BE97" s="789" t="s">
        <v>806</v>
      </c>
      <c r="BF97" s="714">
        <v>3.597201386128198</v>
      </c>
      <c r="BG97" s="384"/>
      <c r="BH97" s="385"/>
      <c r="BI97" s="384"/>
      <c r="BJ97" s="789" t="s">
        <v>806</v>
      </c>
      <c r="BK97" s="714">
        <v>3.3146943119985521</v>
      </c>
      <c r="BL97" s="384"/>
      <c r="BM97" s="385"/>
      <c r="BN97" s="384"/>
      <c r="BO97" s="789" t="s">
        <v>806</v>
      </c>
      <c r="BP97" s="714">
        <v>3.3146943119985521</v>
      </c>
      <c r="BQ97" s="384"/>
      <c r="BR97" s="385"/>
      <c r="BS97" s="384"/>
      <c r="BT97" s="789" t="s">
        <v>806</v>
      </c>
      <c r="BU97" s="931">
        <v>3.8682774817524903</v>
      </c>
      <c r="BV97" s="384"/>
      <c r="BW97" s="385"/>
      <c r="BX97" s="384"/>
      <c r="BY97" s="789" t="s">
        <v>806</v>
      </c>
      <c r="BZ97" s="931">
        <v>3.8682774817524903</v>
      </c>
      <c r="CA97" s="384"/>
      <c r="CB97" s="385"/>
      <c r="CC97" s="384"/>
      <c r="CD97" s="789" t="s">
        <v>806</v>
      </c>
      <c r="CE97" s="931">
        <v>2.4365361071597187</v>
      </c>
      <c r="CF97" s="384"/>
      <c r="CG97" s="385"/>
      <c r="CI97" s="789" t="s">
        <v>806</v>
      </c>
      <c r="CJ97" s="931">
        <v>2.4365361071597187</v>
      </c>
      <c r="CK97" s="384"/>
      <c r="CL97" s="385"/>
      <c r="CN97" s="789" t="s">
        <v>806</v>
      </c>
      <c r="CO97" s="1038" cm="1">
        <f t="array" ref="CO97">INDEX(97:97, $CQ$10)*$CQ$8 + INDEX(97:97, $CQ$11)*(1-$CQ$8)</f>
        <v>3.7587906433227465</v>
      </c>
      <c r="CP97" s="384"/>
      <c r="CQ97" s="385"/>
      <c r="CT97" s="716"/>
    </row>
    <row r="98" spans="1:98" x14ac:dyDescent="0.3">
      <c r="A98" s="380"/>
      <c r="B98" s="762" t="s">
        <v>807</v>
      </c>
      <c r="C98" s="749">
        <f t="shared" si="2"/>
        <v>3.6578650261144499</v>
      </c>
      <c r="D98" s="739" cm="1">
        <f t="array" ref="D98">IF(INDEX(98:98,$E$2)="","", INDEX(98:98, $E$2))</f>
        <v>3.6578650261144499</v>
      </c>
      <c r="E98" s="865"/>
      <c r="F98" s="769"/>
      <c r="L98" s="789" t="s">
        <v>807</v>
      </c>
      <c r="M98" s="714">
        <v>3.6804954401677419</v>
      </c>
      <c r="N98" s="384"/>
      <c r="O98" s="385"/>
      <c r="Q98" s="789" t="s">
        <v>807</v>
      </c>
      <c r="R98" s="714">
        <v>3.6804954401677419</v>
      </c>
      <c r="S98" s="384"/>
      <c r="T98" s="385"/>
      <c r="U98" s="932"/>
      <c r="V98" s="789" t="s">
        <v>807</v>
      </c>
      <c r="W98" s="714">
        <v>3.6730491343489282</v>
      </c>
      <c r="X98" s="716"/>
      <c r="Y98" s="717"/>
      <c r="Z98" s="932"/>
      <c r="AA98" s="789" t="s">
        <v>807</v>
      </c>
      <c r="AB98" s="714">
        <v>3.6730491343489282</v>
      </c>
      <c r="AC98" s="384"/>
      <c r="AD98" s="385"/>
      <c r="AE98" s="716"/>
      <c r="AF98" s="789" t="s">
        <v>807</v>
      </c>
      <c r="AG98" s="714">
        <v>3.6639157649068865</v>
      </c>
      <c r="AH98" s="384"/>
      <c r="AI98" s="385"/>
      <c r="AJ98" s="384"/>
      <c r="AK98" s="789" t="s">
        <v>807</v>
      </c>
      <c r="AL98" s="714">
        <v>3.6639157649068865</v>
      </c>
      <c r="AM98" s="384"/>
      <c r="AN98" s="385"/>
      <c r="AO98" s="384"/>
      <c r="AP98" s="789" t="s">
        <v>807</v>
      </c>
      <c r="AQ98" s="714">
        <v>3.6578650261144499</v>
      </c>
      <c r="AR98" s="384"/>
      <c r="AS98" s="385"/>
      <c r="AT98" s="384"/>
      <c r="AU98" s="789" t="s">
        <v>807</v>
      </c>
      <c r="AV98" s="714">
        <v>3.6578650261144499</v>
      </c>
      <c r="AW98" s="384"/>
      <c r="AX98" s="385"/>
      <c r="AY98" s="384"/>
      <c r="AZ98" s="789" t="s">
        <v>807</v>
      </c>
      <c r="BA98" s="714">
        <v>3.643075955638631</v>
      </c>
      <c r="BB98" s="384"/>
      <c r="BC98" s="385"/>
      <c r="BD98" s="384"/>
      <c r="BE98" s="789" t="s">
        <v>807</v>
      </c>
      <c r="BF98" s="714">
        <v>3.643075955638631</v>
      </c>
      <c r="BG98" s="384"/>
      <c r="BH98" s="385"/>
      <c r="BI98" s="384"/>
      <c r="BJ98" s="789" t="s">
        <v>807</v>
      </c>
      <c r="BK98" s="714">
        <v>3.3215754645924078</v>
      </c>
      <c r="BL98" s="384"/>
      <c r="BM98" s="385"/>
      <c r="BN98" s="384"/>
      <c r="BO98" s="789" t="s">
        <v>807</v>
      </c>
      <c r="BP98" s="714">
        <v>3.3215754645924078</v>
      </c>
      <c r="BQ98" s="384"/>
      <c r="BR98" s="385"/>
      <c r="BS98" s="384"/>
      <c r="BT98" s="789" t="s">
        <v>807</v>
      </c>
      <c r="BU98" s="931">
        <v>3.8945708073692509</v>
      </c>
      <c r="BV98" s="384"/>
      <c r="BW98" s="385"/>
      <c r="BX98" s="384"/>
      <c r="BY98" s="789" t="s">
        <v>807</v>
      </c>
      <c r="BZ98" s="931">
        <v>3.8945708073692509</v>
      </c>
      <c r="CA98" s="384"/>
      <c r="CB98" s="385"/>
      <c r="CC98" s="384"/>
      <c r="CD98" s="789" t="s">
        <v>807</v>
      </c>
      <c r="CE98" s="931">
        <v>2.4558631112974365</v>
      </c>
      <c r="CF98" s="384"/>
      <c r="CG98" s="385"/>
      <c r="CI98" s="789" t="s">
        <v>807</v>
      </c>
      <c r="CJ98" s="931">
        <v>2.4558631112974365</v>
      </c>
      <c r="CK98" s="384"/>
      <c r="CL98" s="385"/>
      <c r="CN98" s="789" t="s">
        <v>807</v>
      </c>
      <c r="CO98" s="1038" cm="1">
        <f t="array" ref="CO98">INDEX(98:98, $CQ$10)*$CQ$8 + INDEX(98:98, $CQ$11)*(1-$CQ$8)</f>
        <v>3.7838099708590898</v>
      </c>
      <c r="CP98" s="384"/>
      <c r="CQ98" s="385"/>
      <c r="CT98" s="716"/>
    </row>
    <row r="99" spans="1:98" x14ac:dyDescent="0.3">
      <c r="A99" s="380"/>
      <c r="B99" s="762" t="s">
        <v>808</v>
      </c>
      <c r="C99" s="749">
        <f t="shared" si="2"/>
        <v>3.7132048846307271</v>
      </c>
      <c r="D99" s="739" cm="1">
        <f t="array" ref="D99">IF(INDEX(99:99,$E$2)="","", INDEX(99:99, $E$2))</f>
        <v>3.7132048846307271</v>
      </c>
      <c r="E99" s="865"/>
      <c r="F99" s="769"/>
      <c r="L99" s="789" t="s">
        <v>808</v>
      </c>
      <c r="M99" s="714">
        <v>3.7139048313132266</v>
      </c>
      <c r="N99" s="384"/>
      <c r="O99" s="385"/>
      <c r="Q99" s="789" t="s">
        <v>808</v>
      </c>
      <c r="R99" s="714">
        <v>3.7139048313132266</v>
      </c>
      <c r="S99" s="384"/>
      <c r="T99" s="385"/>
      <c r="U99" s="932"/>
      <c r="V99" s="789" t="s">
        <v>808</v>
      </c>
      <c r="W99" s="714">
        <v>3.7046640670027609</v>
      </c>
      <c r="X99" s="716"/>
      <c r="Y99" s="717"/>
      <c r="Z99" s="932"/>
      <c r="AA99" s="789" t="s">
        <v>808</v>
      </c>
      <c r="AB99" s="714">
        <v>3.7046640670027609</v>
      </c>
      <c r="AC99" s="384"/>
      <c r="AD99" s="385"/>
      <c r="AE99" s="716"/>
      <c r="AF99" s="789" t="s">
        <v>808</v>
      </c>
      <c r="AG99" s="714">
        <v>3.7054143702008751</v>
      </c>
      <c r="AH99" s="384"/>
      <c r="AI99" s="385"/>
      <c r="AJ99" s="384"/>
      <c r="AK99" s="789" t="s">
        <v>808</v>
      </c>
      <c r="AL99" s="714">
        <v>3.7054143702008751</v>
      </c>
      <c r="AM99" s="384"/>
      <c r="AN99" s="385"/>
      <c r="AO99" s="384"/>
      <c r="AP99" s="789" t="s">
        <v>808</v>
      </c>
      <c r="AQ99" s="714">
        <v>3.7132048846307271</v>
      </c>
      <c r="AR99" s="384"/>
      <c r="AS99" s="385"/>
      <c r="AT99" s="384"/>
      <c r="AU99" s="789" t="s">
        <v>808</v>
      </c>
      <c r="AV99" s="714">
        <v>3.7132048846307271</v>
      </c>
      <c r="AW99" s="384"/>
      <c r="AX99" s="385"/>
      <c r="AY99" s="384"/>
      <c r="AZ99" s="789" t="s">
        <v>808</v>
      </c>
      <c r="BA99" s="714">
        <v>3.6985132490144874</v>
      </c>
      <c r="BB99" s="384"/>
      <c r="BC99" s="385"/>
      <c r="BD99" s="384"/>
      <c r="BE99" s="789" t="s">
        <v>808</v>
      </c>
      <c r="BF99" s="714">
        <v>3.6985132490144874</v>
      </c>
      <c r="BG99" s="384"/>
      <c r="BH99" s="385"/>
      <c r="BI99" s="384"/>
      <c r="BJ99" s="789" t="s">
        <v>808</v>
      </c>
      <c r="BK99" s="714">
        <v>3.3246573377885946</v>
      </c>
      <c r="BL99" s="384"/>
      <c r="BM99" s="385"/>
      <c r="BN99" s="384"/>
      <c r="BO99" s="789" t="s">
        <v>808</v>
      </c>
      <c r="BP99" s="714">
        <v>3.3246573377885946</v>
      </c>
      <c r="BQ99" s="384"/>
      <c r="BR99" s="385"/>
      <c r="BS99" s="384"/>
      <c r="BT99" s="789" t="s">
        <v>808</v>
      </c>
      <c r="BU99" s="931">
        <v>3.9556693041665034</v>
      </c>
      <c r="BV99" s="384"/>
      <c r="BW99" s="385"/>
      <c r="BX99" s="384"/>
      <c r="BY99" s="789" t="s">
        <v>808</v>
      </c>
      <c r="BZ99" s="931">
        <v>3.9556693041665034</v>
      </c>
      <c r="CA99" s="384"/>
      <c r="CB99" s="385"/>
      <c r="CC99" s="384"/>
      <c r="CD99" s="789" t="s">
        <v>808</v>
      </c>
      <c r="CE99" s="931">
        <v>2.5125901866218605</v>
      </c>
      <c r="CF99" s="384"/>
      <c r="CG99" s="385"/>
      <c r="CI99" s="789" t="s">
        <v>808</v>
      </c>
      <c r="CJ99" s="931">
        <v>2.5125901866218605</v>
      </c>
      <c r="CK99" s="384"/>
      <c r="CL99" s="385"/>
      <c r="CN99" s="789" t="s">
        <v>808</v>
      </c>
      <c r="CO99" s="1038" cm="1">
        <f t="array" ref="CO99">INDEX(99:99, $CQ$10)*$CQ$8 + INDEX(99:99, $CQ$11)*(1-$CQ$8)</f>
        <v>3.8301666855846319</v>
      </c>
      <c r="CP99" s="384"/>
      <c r="CQ99" s="385"/>
      <c r="CT99" s="716"/>
    </row>
    <row r="100" spans="1:98" x14ac:dyDescent="0.3">
      <c r="A100" s="380"/>
      <c r="B100" s="762" t="s">
        <v>809</v>
      </c>
      <c r="C100" s="749">
        <f t="shared" si="2"/>
        <v>3.8094668096082311</v>
      </c>
      <c r="D100" s="739" cm="1">
        <f t="array" ref="D100">IF(INDEX(100:100,$E$2)="","", INDEX(100:100, $E$2))</f>
        <v>3.8094668096082311</v>
      </c>
      <c r="E100" s="865"/>
      <c r="F100" s="769"/>
      <c r="L100" s="789" t="s">
        <v>809</v>
      </c>
      <c r="M100" s="714">
        <v>3.7752817165776018</v>
      </c>
      <c r="N100" s="384"/>
      <c r="O100" s="385"/>
      <c r="Q100" s="789" t="s">
        <v>809</v>
      </c>
      <c r="R100" s="714">
        <v>3.7752817165776018</v>
      </c>
      <c r="S100" s="384"/>
      <c r="T100" s="385"/>
      <c r="U100" s="932"/>
      <c r="V100" s="789" t="s">
        <v>809</v>
      </c>
      <c r="W100" s="714">
        <v>3.7642462292684384</v>
      </c>
      <c r="X100" s="716"/>
      <c r="Y100" s="717"/>
      <c r="Z100" s="932"/>
      <c r="AA100" s="789" t="s">
        <v>809</v>
      </c>
      <c r="AB100" s="714">
        <v>3.7642462292684384</v>
      </c>
      <c r="AC100" s="384"/>
      <c r="AD100" s="385"/>
      <c r="AE100" s="716"/>
      <c r="AF100" s="789" t="s">
        <v>809</v>
      </c>
      <c r="AG100" s="714">
        <v>3.772075800545077</v>
      </c>
      <c r="AH100" s="384"/>
      <c r="AI100" s="385"/>
      <c r="AJ100" s="384"/>
      <c r="AK100" s="789" t="s">
        <v>809</v>
      </c>
      <c r="AL100" s="714">
        <v>3.772075800545077</v>
      </c>
      <c r="AM100" s="384"/>
      <c r="AN100" s="385"/>
      <c r="AO100" s="384"/>
      <c r="AP100" s="789" t="s">
        <v>809</v>
      </c>
      <c r="AQ100" s="714">
        <v>3.8094668096082311</v>
      </c>
      <c r="AR100" s="384"/>
      <c r="AS100" s="385"/>
      <c r="AT100" s="384"/>
      <c r="AU100" s="789" t="s">
        <v>809</v>
      </c>
      <c r="AV100" s="714">
        <v>3.8094668096082311</v>
      </c>
      <c r="AW100" s="384"/>
      <c r="AX100" s="385"/>
      <c r="AY100" s="384"/>
      <c r="AZ100" s="789" t="s">
        <v>809</v>
      </c>
      <c r="BA100" s="714">
        <v>3.7768064293356525</v>
      </c>
      <c r="BB100" s="384"/>
      <c r="BC100" s="385"/>
      <c r="BD100" s="384"/>
      <c r="BE100" s="789" t="s">
        <v>809</v>
      </c>
      <c r="BF100" s="714">
        <v>3.7768064293356525</v>
      </c>
      <c r="BG100" s="384"/>
      <c r="BH100" s="385"/>
      <c r="BI100" s="384"/>
      <c r="BJ100" s="789" t="s">
        <v>809</v>
      </c>
      <c r="BK100" s="714">
        <v>3.3362120423296284</v>
      </c>
      <c r="BL100" s="384"/>
      <c r="BM100" s="385"/>
      <c r="BN100" s="384"/>
      <c r="BO100" s="789" t="s">
        <v>809</v>
      </c>
      <c r="BP100" s="714">
        <v>3.3362120423296284</v>
      </c>
      <c r="BQ100" s="384"/>
      <c r="BR100" s="385"/>
      <c r="BS100" s="384"/>
      <c r="BT100" s="789" t="s">
        <v>809</v>
      </c>
      <c r="BU100" s="931">
        <v>4.0089053028073316</v>
      </c>
      <c r="BV100" s="384"/>
      <c r="BW100" s="385"/>
      <c r="BX100" s="384"/>
      <c r="BY100" s="789" t="s">
        <v>809</v>
      </c>
      <c r="BZ100" s="931">
        <v>4.0089053028073316</v>
      </c>
      <c r="CA100" s="384"/>
      <c r="CB100" s="385"/>
      <c r="CC100" s="384"/>
      <c r="CD100" s="789" t="s">
        <v>809</v>
      </c>
      <c r="CE100" s="931">
        <v>2.561868522649577</v>
      </c>
      <c r="CF100" s="384"/>
      <c r="CG100" s="385"/>
      <c r="CI100" s="789" t="s">
        <v>809</v>
      </c>
      <c r="CJ100" s="931">
        <v>2.561868522649577</v>
      </c>
      <c r="CK100" s="384"/>
      <c r="CL100" s="385"/>
      <c r="CN100" s="789" t="s">
        <v>809</v>
      </c>
      <c r="CO100" s="1038" cm="1">
        <f t="array" ref="CO100">INDEX(100:100, $CQ$10)*$CQ$8 + INDEX(100:100, $CQ$11)*(1-$CQ$8)</f>
        <v>3.8865757660378852</v>
      </c>
      <c r="CP100" s="384"/>
      <c r="CQ100" s="385"/>
      <c r="CT100" s="716"/>
    </row>
    <row r="101" spans="1:98" x14ac:dyDescent="0.3">
      <c r="A101" s="380"/>
      <c r="B101" s="762" t="s">
        <v>810</v>
      </c>
      <c r="C101" s="749">
        <f t="shared" si="2"/>
        <v>3.9163828826367406</v>
      </c>
      <c r="D101" s="739" cm="1">
        <f t="array" ref="D101">IF(INDEX(101:101,$E$2)="","", INDEX(101:101, $E$2))</f>
        <v>3.9163828826367406</v>
      </c>
      <c r="E101" s="865"/>
      <c r="F101" s="769"/>
      <c r="L101" s="789" t="s">
        <v>810</v>
      </c>
      <c r="M101" s="714">
        <v>3.8776099920614202</v>
      </c>
      <c r="N101" s="384"/>
      <c r="O101" s="385"/>
      <c r="Q101" s="789" t="s">
        <v>810</v>
      </c>
      <c r="R101" s="714">
        <v>3.8776099920614202</v>
      </c>
      <c r="S101" s="384"/>
      <c r="T101" s="385"/>
      <c r="U101" s="932"/>
      <c r="V101" s="789" t="s">
        <v>810</v>
      </c>
      <c r="W101" s="714">
        <v>3.8869557643111525</v>
      </c>
      <c r="X101" s="716"/>
      <c r="Y101" s="717"/>
      <c r="Z101" s="932"/>
      <c r="AA101" s="789" t="s">
        <v>810</v>
      </c>
      <c r="AB101" s="714">
        <v>3.8869557643111525</v>
      </c>
      <c r="AC101" s="384"/>
      <c r="AD101" s="385"/>
      <c r="AE101" s="716"/>
      <c r="AF101" s="789" t="s">
        <v>810</v>
      </c>
      <c r="AG101" s="714">
        <v>3.8801764452196483</v>
      </c>
      <c r="AH101" s="384"/>
      <c r="AI101" s="385"/>
      <c r="AJ101" s="384"/>
      <c r="AK101" s="789" t="s">
        <v>810</v>
      </c>
      <c r="AL101" s="714">
        <v>3.8801764452196483</v>
      </c>
      <c r="AM101" s="384"/>
      <c r="AN101" s="385"/>
      <c r="AO101" s="384"/>
      <c r="AP101" s="789" t="s">
        <v>810</v>
      </c>
      <c r="AQ101" s="714">
        <v>3.9163828826367406</v>
      </c>
      <c r="AR101" s="384"/>
      <c r="AS101" s="385"/>
      <c r="AT101" s="384"/>
      <c r="AU101" s="789" t="s">
        <v>810</v>
      </c>
      <c r="AV101" s="714">
        <v>3.9163828826367406</v>
      </c>
      <c r="AW101" s="384"/>
      <c r="AX101" s="385"/>
      <c r="AY101" s="384"/>
      <c r="AZ101" s="789" t="s">
        <v>810</v>
      </c>
      <c r="BA101" s="714">
        <v>3.8838129909231052</v>
      </c>
      <c r="BB101" s="384"/>
      <c r="BC101" s="385"/>
      <c r="BD101" s="384"/>
      <c r="BE101" s="789" t="s">
        <v>810</v>
      </c>
      <c r="BF101" s="714">
        <v>3.8838129909231052</v>
      </c>
      <c r="BG101" s="384"/>
      <c r="BH101" s="385"/>
      <c r="BI101" s="384"/>
      <c r="BJ101" s="789" t="s">
        <v>810</v>
      </c>
      <c r="BK101" s="714">
        <v>3.3538708920960913</v>
      </c>
      <c r="BL101" s="384"/>
      <c r="BM101" s="385"/>
      <c r="BN101" s="384"/>
      <c r="BO101" s="789" t="s">
        <v>810</v>
      </c>
      <c r="BP101" s="714">
        <v>3.3538708920960913</v>
      </c>
      <c r="BQ101" s="384"/>
      <c r="BR101" s="385"/>
      <c r="BS101" s="384"/>
      <c r="BT101" s="789" t="s">
        <v>810</v>
      </c>
      <c r="BU101" s="931">
        <v>4.035381727172946</v>
      </c>
      <c r="BV101" s="384"/>
      <c r="BW101" s="385"/>
      <c r="BX101" s="384"/>
      <c r="BY101" s="789" t="s">
        <v>810</v>
      </c>
      <c r="BZ101" s="931">
        <v>4.035381727172946</v>
      </c>
      <c r="CA101" s="384"/>
      <c r="CB101" s="385"/>
      <c r="CC101" s="384"/>
      <c r="CD101" s="789" t="s">
        <v>810</v>
      </c>
      <c r="CE101" s="931">
        <v>2.5754694409184609</v>
      </c>
      <c r="CF101" s="384"/>
      <c r="CG101" s="385"/>
      <c r="CI101" s="789" t="s">
        <v>810</v>
      </c>
      <c r="CJ101" s="931">
        <v>2.5754694409184609</v>
      </c>
      <c r="CK101" s="384"/>
      <c r="CL101" s="385"/>
      <c r="CN101" s="789" t="s">
        <v>810</v>
      </c>
      <c r="CO101" s="1038" cm="1">
        <f t="array" ref="CO101">INDEX(101:101, $CQ$10)*$CQ$8 + INDEX(101:101, $CQ$11)*(1-$CQ$8)</f>
        <v>3.9611687457420492</v>
      </c>
      <c r="CP101" s="384"/>
      <c r="CQ101" s="385"/>
      <c r="CT101" s="716"/>
    </row>
    <row r="102" spans="1:98" x14ac:dyDescent="0.3">
      <c r="A102" s="380"/>
      <c r="B102" s="762" t="s">
        <v>811</v>
      </c>
      <c r="C102" s="749">
        <f t="shared" si="2"/>
        <v>4.0317193684754704</v>
      </c>
      <c r="D102" s="739" cm="1">
        <f t="array" ref="D102">IF(INDEX(102:102,$E$2)="","", INDEX(102:102, $E$2))</f>
        <v>4.0317193684754704</v>
      </c>
      <c r="E102" s="865"/>
      <c r="F102" s="769"/>
      <c r="L102" s="789" t="s">
        <v>811</v>
      </c>
      <c r="M102" s="714">
        <v>3.9951769742237824</v>
      </c>
      <c r="N102" s="384"/>
      <c r="O102" s="385"/>
      <c r="Q102" s="789" t="s">
        <v>811</v>
      </c>
      <c r="R102" s="714">
        <v>3.9951769742237824</v>
      </c>
      <c r="S102" s="384"/>
      <c r="T102" s="385"/>
      <c r="U102" s="932"/>
      <c r="V102" s="789" t="s">
        <v>811</v>
      </c>
      <c r="W102" s="714">
        <v>4.004894167867513</v>
      </c>
      <c r="X102" s="716"/>
      <c r="Y102" s="717"/>
      <c r="Z102" s="932"/>
      <c r="AA102" s="789" t="s">
        <v>811</v>
      </c>
      <c r="AB102" s="714">
        <v>4.004894167867513</v>
      </c>
      <c r="AC102" s="384"/>
      <c r="AD102" s="385"/>
      <c r="AE102" s="716"/>
      <c r="AF102" s="789" t="s">
        <v>811</v>
      </c>
      <c r="AG102" s="714">
        <v>3.9930344326192935</v>
      </c>
      <c r="AH102" s="384"/>
      <c r="AI102" s="385"/>
      <c r="AJ102" s="384"/>
      <c r="AK102" s="789" t="s">
        <v>811</v>
      </c>
      <c r="AL102" s="714">
        <v>3.9930344326192935</v>
      </c>
      <c r="AM102" s="384"/>
      <c r="AN102" s="385"/>
      <c r="AO102" s="384"/>
      <c r="AP102" s="789" t="s">
        <v>811</v>
      </c>
      <c r="AQ102" s="714">
        <v>4.0317193684754704</v>
      </c>
      <c r="AR102" s="384"/>
      <c r="AS102" s="385"/>
      <c r="AT102" s="384"/>
      <c r="AU102" s="789" t="s">
        <v>811</v>
      </c>
      <c r="AV102" s="714">
        <v>4.0317193684754704</v>
      </c>
      <c r="AW102" s="384"/>
      <c r="AX102" s="385"/>
      <c r="AY102" s="384"/>
      <c r="AZ102" s="789" t="s">
        <v>811</v>
      </c>
      <c r="BA102" s="714">
        <v>3.9732134865351125</v>
      </c>
      <c r="BB102" s="384"/>
      <c r="BC102" s="385"/>
      <c r="BD102" s="384"/>
      <c r="BE102" s="789" t="s">
        <v>811</v>
      </c>
      <c r="BF102" s="714">
        <v>3.9732134865351125</v>
      </c>
      <c r="BG102" s="384"/>
      <c r="BH102" s="385"/>
      <c r="BI102" s="384"/>
      <c r="BJ102" s="789" t="s">
        <v>811</v>
      </c>
      <c r="BK102" s="714">
        <v>3.358931291484895</v>
      </c>
      <c r="BL102" s="384"/>
      <c r="BM102" s="385"/>
      <c r="BN102" s="384"/>
      <c r="BO102" s="789" t="s">
        <v>811</v>
      </c>
      <c r="BP102" s="714">
        <v>3.358931291484895</v>
      </c>
      <c r="BQ102" s="384"/>
      <c r="BR102" s="385"/>
      <c r="BS102" s="384"/>
      <c r="BT102" s="789" t="s">
        <v>811</v>
      </c>
      <c r="BU102" s="931">
        <v>4.043563245329139</v>
      </c>
      <c r="BV102" s="384"/>
      <c r="BW102" s="385"/>
      <c r="BX102" s="384"/>
      <c r="BY102" s="789" t="s">
        <v>811</v>
      </c>
      <c r="BZ102" s="931">
        <v>4.043563245329139</v>
      </c>
      <c r="CA102" s="384"/>
      <c r="CB102" s="385"/>
      <c r="CC102" s="384"/>
      <c r="CD102" s="789" t="s">
        <v>811</v>
      </c>
      <c r="CE102" s="931">
        <v>2.5845777119066504</v>
      </c>
      <c r="CF102" s="384"/>
      <c r="CG102" s="385"/>
      <c r="CI102" s="789" t="s">
        <v>811</v>
      </c>
      <c r="CJ102" s="931">
        <v>2.5845777119066504</v>
      </c>
      <c r="CK102" s="384"/>
      <c r="CL102" s="385"/>
      <c r="CN102" s="789" t="s">
        <v>811</v>
      </c>
      <c r="CO102" s="1038" cm="1">
        <f t="array" ref="CO102">INDEX(102:102, $CQ$10)*$CQ$8 + INDEX(102:102, $CQ$11)*(1-$CQ$8)</f>
        <v>4.0242287065983255</v>
      </c>
      <c r="CP102" s="384"/>
      <c r="CQ102" s="385"/>
      <c r="CT102" s="716"/>
    </row>
    <row r="103" spans="1:98" x14ac:dyDescent="0.3">
      <c r="A103" s="380"/>
      <c r="B103" s="762" t="s">
        <v>812</v>
      </c>
      <c r="C103" s="749">
        <f t="shared" si="2"/>
        <v>4.1310590522056065</v>
      </c>
      <c r="D103" s="739" cm="1">
        <f t="array" ref="D103">IF(INDEX(103:103,$E$2)="","", INDEX(103:103, $E$2))</f>
        <v>4.1310590522056065</v>
      </c>
      <c r="E103" s="865"/>
      <c r="F103" s="769"/>
      <c r="L103" s="789" t="s">
        <v>812</v>
      </c>
      <c r="M103" s="714">
        <v>4.116964932520542</v>
      </c>
      <c r="N103" s="384"/>
      <c r="O103" s="385"/>
      <c r="Q103" s="789" t="s">
        <v>812</v>
      </c>
      <c r="R103" s="714">
        <v>4.116964932520542</v>
      </c>
      <c r="S103" s="384"/>
      <c r="T103" s="385"/>
      <c r="U103" s="932"/>
      <c r="V103" s="789" t="s">
        <v>812</v>
      </c>
      <c r="W103" s="714">
        <v>4.131055418411413</v>
      </c>
      <c r="X103" s="716"/>
      <c r="Y103" s="717"/>
      <c r="Z103" s="932"/>
      <c r="AA103" s="789" t="s">
        <v>812</v>
      </c>
      <c r="AB103" s="714">
        <v>4.131055418411413</v>
      </c>
      <c r="AC103" s="384"/>
      <c r="AD103" s="385"/>
      <c r="AE103" s="716"/>
      <c r="AF103" s="789" t="s">
        <v>812</v>
      </c>
      <c r="AG103" s="714">
        <v>4.1167264370134937</v>
      </c>
      <c r="AH103" s="384"/>
      <c r="AI103" s="385"/>
      <c r="AJ103" s="384"/>
      <c r="AK103" s="789" t="s">
        <v>812</v>
      </c>
      <c r="AL103" s="714">
        <v>4.1167264370134937</v>
      </c>
      <c r="AM103" s="384"/>
      <c r="AN103" s="385"/>
      <c r="AO103" s="384"/>
      <c r="AP103" s="789" t="s">
        <v>812</v>
      </c>
      <c r="AQ103" s="714">
        <v>4.1310590522056065</v>
      </c>
      <c r="AR103" s="384"/>
      <c r="AS103" s="385"/>
      <c r="AT103" s="384"/>
      <c r="AU103" s="789" t="s">
        <v>812</v>
      </c>
      <c r="AV103" s="714">
        <v>4.1310590522056065</v>
      </c>
      <c r="AW103" s="384"/>
      <c r="AX103" s="385"/>
      <c r="AY103" s="384"/>
      <c r="AZ103" s="789" t="s">
        <v>812</v>
      </c>
      <c r="BA103" s="714">
        <v>4.08646165072944</v>
      </c>
      <c r="BB103" s="384"/>
      <c r="BC103" s="385"/>
      <c r="BD103" s="384"/>
      <c r="BE103" s="789" t="s">
        <v>812</v>
      </c>
      <c r="BF103" s="714">
        <v>4.08646165072944</v>
      </c>
      <c r="BG103" s="384"/>
      <c r="BH103" s="385"/>
      <c r="BI103" s="384"/>
      <c r="BJ103" s="789" t="s">
        <v>812</v>
      </c>
      <c r="BK103" s="714">
        <v>3.363465019989734</v>
      </c>
      <c r="BL103" s="384"/>
      <c r="BM103" s="385"/>
      <c r="BN103" s="384"/>
      <c r="BO103" s="789" t="s">
        <v>812</v>
      </c>
      <c r="BP103" s="714">
        <v>3.363465019989734</v>
      </c>
      <c r="BQ103" s="384"/>
      <c r="BR103" s="385"/>
      <c r="BS103" s="384"/>
      <c r="BT103" s="789" t="s">
        <v>812</v>
      </c>
      <c r="BU103" s="931">
        <v>4.0543731028406729</v>
      </c>
      <c r="BV103" s="384"/>
      <c r="BW103" s="385"/>
      <c r="BX103" s="384"/>
      <c r="BY103" s="789" t="s">
        <v>812</v>
      </c>
      <c r="BZ103" s="931">
        <v>4.0543731028406729</v>
      </c>
      <c r="CA103" s="384"/>
      <c r="CB103" s="385"/>
      <c r="CC103" s="384"/>
      <c r="CD103" s="789" t="s">
        <v>812</v>
      </c>
      <c r="CE103" s="931">
        <v>2.6479921759171687</v>
      </c>
      <c r="CF103" s="384"/>
      <c r="CG103" s="385"/>
      <c r="CI103" s="789" t="s">
        <v>812</v>
      </c>
      <c r="CJ103" s="931">
        <v>2.6479921759171687</v>
      </c>
      <c r="CK103" s="384"/>
      <c r="CL103" s="385"/>
      <c r="CN103" s="789" t="s">
        <v>812</v>
      </c>
      <c r="CO103" s="1038" cm="1">
        <f t="array" ref="CO103">INDEX(103:103, $CQ$10)*$CQ$8 + INDEX(103:103, $CQ$11)*(1-$CQ$8)</f>
        <v>4.0927142606260425</v>
      </c>
      <c r="CP103" s="384"/>
      <c r="CQ103" s="385"/>
      <c r="CT103" s="716"/>
    </row>
    <row r="104" spans="1:98" x14ac:dyDescent="0.3">
      <c r="A104" s="380"/>
      <c r="B104" s="762" t="s">
        <v>813</v>
      </c>
      <c r="C104" s="749">
        <f t="shared" si="2"/>
        <v>4.2499999999999991</v>
      </c>
      <c r="D104" s="739" cm="1">
        <f t="array" ref="D104">IF(INDEX(104:104,$E$2)="","", INDEX(104:104, $E$2))</f>
        <v>4.2499999999999991</v>
      </c>
      <c r="E104" s="865"/>
      <c r="F104" s="769"/>
      <c r="L104" s="789" t="s">
        <v>813</v>
      </c>
      <c r="M104" s="714">
        <v>4.2499999635117502</v>
      </c>
      <c r="N104" s="384"/>
      <c r="O104" s="385"/>
      <c r="Q104" s="789" t="s">
        <v>813</v>
      </c>
      <c r="R104" s="714">
        <v>4.2499999635117502</v>
      </c>
      <c r="S104" s="384"/>
      <c r="T104" s="385"/>
      <c r="U104" s="932"/>
      <c r="V104" s="789" t="s">
        <v>813</v>
      </c>
      <c r="W104" s="714">
        <v>4.2499999999999982</v>
      </c>
      <c r="X104" s="716"/>
      <c r="Y104" s="717"/>
      <c r="Z104" s="932"/>
      <c r="AA104" s="789" t="s">
        <v>813</v>
      </c>
      <c r="AB104" s="714">
        <v>4.2499999999999982</v>
      </c>
      <c r="AC104" s="384"/>
      <c r="AD104" s="385"/>
      <c r="AE104" s="716"/>
      <c r="AF104" s="789" t="s">
        <v>813</v>
      </c>
      <c r="AG104" s="714">
        <v>4.2499999999999982</v>
      </c>
      <c r="AH104" s="384"/>
      <c r="AI104" s="385"/>
      <c r="AJ104" s="384"/>
      <c r="AK104" s="789" t="s">
        <v>813</v>
      </c>
      <c r="AL104" s="714">
        <v>4.2499999999999982</v>
      </c>
      <c r="AM104" s="384"/>
      <c r="AN104" s="385"/>
      <c r="AO104" s="384"/>
      <c r="AP104" s="789" t="s">
        <v>813</v>
      </c>
      <c r="AQ104" s="714">
        <v>4.2499999999999991</v>
      </c>
      <c r="AR104" s="384"/>
      <c r="AS104" s="385"/>
      <c r="AT104" s="384"/>
      <c r="AU104" s="789" t="s">
        <v>813</v>
      </c>
      <c r="AV104" s="714">
        <v>4.2499999999999991</v>
      </c>
      <c r="AW104" s="384"/>
      <c r="AX104" s="385"/>
      <c r="AY104" s="384"/>
      <c r="AZ104" s="789" t="s">
        <v>813</v>
      </c>
      <c r="BA104" s="714">
        <v>4.2499999999999964</v>
      </c>
      <c r="BB104" s="384"/>
      <c r="BC104" s="385"/>
      <c r="BD104" s="384"/>
      <c r="BE104" s="789" t="s">
        <v>813</v>
      </c>
      <c r="BF104" s="714">
        <v>4.2499999999999964</v>
      </c>
      <c r="BG104" s="384"/>
      <c r="BH104" s="385"/>
      <c r="BI104" s="384"/>
      <c r="BJ104" s="789" t="s">
        <v>813</v>
      </c>
      <c r="BK104" s="714">
        <v>3.8000000000000043</v>
      </c>
      <c r="BL104" s="384"/>
      <c r="BM104" s="385"/>
      <c r="BN104" s="384"/>
      <c r="BO104" s="789" t="s">
        <v>813</v>
      </c>
      <c r="BP104" s="714">
        <v>3.8000000000000043</v>
      </c>
      <c r="BQ104" s="384"/>
      <c r="BR104" s="385"/>
      <c r="BS104" s="384"/>
      <c r="BT104" s="789" t="s">
        <v>813</v>
      </c>
      <c r="BU104" s="931">
        <v>4.2500000000000036</v>
      </c>
      <c r="BV104" s="384"/>
      <c r="BW104" s="385"/>
      <c r="BX104" s="384"/>
      <c r="BY104" s="789" t="s">
        <v>813</v>
      </c>
      <c r="BZ104" s="931">
        <v>4.2500000000000036</v>
      </c>
      <c r="CA104" s="384"/>
      <c r="CB104" s="385"/>
      <c r="CC104" s="384"/>
      <c r="CD104" s="789" t="s">
        <v>813</v>
      </c>
      <c r="CE104" s="931">
        <v>3.0000000000000044</v>
      </c>
      <c r="CF104" s="384"/>
      <c r="CG104" s="385"/>
      <c r="CI104" s="789" t="s">
        <v>813</v>
      </c>
      <c r="CJ104" s="931">
        <v>3.0000000000000044</v>
      </c>
      <c r="CK104" s="384"/>
      <c r="CL104" s="385"/>
      <c r="CN104" s="789" t="s">
        <v>813</v>
      </c>
      <c r="CO104" s="1038" cm="1">
        <f t="array" ref="CO104">INDEX(104:104, $CQ$10)*$CQ$8 + INDEX(104:104, $CQ$11)*(1-$CQ$8)</f>
        <v>4.2500000000000009</v>
      </c>
      <c r="CP104" s="384"/>
      <c r="CQ104" s="385"/>
      <c r="CT104" s="716"/>
    </row>
    <row r="105" spans="1:98" x14ac:dyDescent="0.3">
      <c r="A105" s="380"/>
      <c r="B105" s="762"/>
      <c r="C105" s="749"/>
      <c r="D105" s="743"/>
      <c r="E105" s="740"/>
      <c r="F105" s="769"/>
      <c r="L105" s="789"/>
      <c r="M105" s="384"/>
      <c r="N105" s="384"/>
      <c r="O105" s="385"/>
      <c r="Q105" s="789"/>
      <c r="R105" s="384"/>
      <c r="S105" s="384"/>
      <c r="T105" s="385"/>
      <c r="U105" s="932"/>
      <c r="V105" s="789"/>
      <c r="W105" s="714"/>
      <c r="X105" s="716"/>
      <c r="Y105" s="717"/>
      <c r="Z105" s="932"/>
      <c r="AA105" s="789"/>
      <c r="AB105" s="714"/>
      <c r="AC105" s="384"/>
      <c r="AD105" s="385"/>
      <c r="AE105" s="716"/>
      <c r="AF105" s="789"/>
      <c r="AG105" s="384"/>
      <c r="AH105" s="384"/>
      <c r="AI105" s="385"/>
      <c r="AJ105" s="384"/>
      <c r="AK105" s="789"/>
      <c r="AL105" s="384"/>
      <c r="AM105" s="384"/>
      <c r="AN105" s="385"/>
      <c r="AO105" s="384"/>
      <c r="AP105" s="789"/>
      <c r="AQ105" s="384"/>
      <c r="AR105" s="384"/>
      <c r="AS105" s="385"/>
      <c r="AT105" s="384"/>
      <c r="AU105" s="789"/>
      <c r="AV105" s="384"/>
      <c r="AW105" s="384"/>
      <c r="AX105" s="385"/>
      <c r="AY105" s="384"/>
      <c r="AZ105" s="789"/>
      <c r="BA105" s="384"/>
      <c r="BB105" s="384"/>
      <c r="BC105" s="385"/>
      <c r="BD105" s="384"/>
      <c r="BE105" s="789"/>
      <c r="BF105" s="384"/>
      <c r="BG105" s="384"/>
      <c r="BH105" s="385"/>
      <c r="BI105" s="384"/>
      <c r="BJ105" s="789"/>
      <c r="BK105" s="384"/>
      <c r="BL105" s="384"/>
      <c r="BM105" s="385"/>
      <c r="BN105" s="384"/>
      <c r="BO105" s="789"/>
      <c r="BP105" s="384"/>
      <c r="BQ105" s="384"/>
      <c r="BR105" s="385"/>
      <c r="BS105" s="384"/>
      <c r="BT105" s="789"/>
      <c r="BU105" s="424"/>
      <c r="BV105" s="384"/>
      <c r="BW105" s="385"/>
      <c r="BX105" s="384"/>
      <c r="BY105" s="789"/>
      <c r="BZ105" s="424"/>
      <c r="CA105" s="384"/>
      <c r="CB105" s="385"/>
      <c r="CC105" s="384"/>
      <c r="CD105" s="789"/>
      <c r="CE105" s="384"/>
      <c r="CF105" s="384"/>
      <c r="CG105" s="385"/>
      <c r="CI105" s="789"/>
      <c r="CJ105" s="384"/>
      <c r="CK105" s="384"/>
      <c r="CL105" s="385"/>
      <c r="CN105" s="789"/>
      <c r="CO105" s="384"/>
      <c r="CP105" s="384"/>
      <c r="CQ105" s="385"/>
      <c r="CT105" s="716"/>
    </row>
    <row r="106" spans="1:98" ht="15.5" x14ac:dyDescent="0.35">
      <c r="A106" s="380"/>
      <c r="B106" s="627" t="s">
        <v>814</v>
      </c>
      <c r="C106" s="749" t="str">
        <f t="shared" si="2"/>
        <v/>
      </c>
      <c r="D106" s="743" t="str" cm="1">
        <f t="array" ref="D106">IF(INDEX(106:106,$E$2)="","", INDEX(106:106, $E$2))</f>
        <v/>
      </c>
      <c r="E106" s="740"/>
      <c r="F106" s="769"/>
      <c r="L106" s="1287" t="s">
        <v>815</v>
      </c>
      <c r="M106" s="384"/>
      <c r="N106" s="384"/>
      <c r="O106" s="385"/>
      <c r="Q106" s="1287" t="s">
        <v>815</v>
      </c>
      <c r="R106" s="384"/>
      <c r="S106" s="384"/>
      <c r="T106" s="385"/>
      <c r="U106" s="932"/>
      <c r="V106" s="1287" t="s">
        <v>815</v>
      </c>
      <c r="W106" s="384"/>
      <c r="X106" s="384"/>
      <c r="Y106" s="385"/>
      <c r="Z106" s="932"/>
      <c r="AA106" s="1287" t="s">
        <v>815</v>
      </c>
      <c r="AB106" s="384"/>
      <c r="AC106" s="384"/>
      <c r="AD106" s="385"/>
      <c r="AE106" s="384"/>
      <c r="AF106" s="1287" t="s">
        <v>815</v>
      </c>
      <c r="AG106" s="384"/>
      <c r="AH106" s="384"/>
      <c r="AI106" s="385"/>
      <c r="AJ106" s="384"/>
      <c r="AK106" s="1287" t="s">
        <v>815</v>
      </c>
      <c r="AL106" s="384"/>
      <c r="AM106" s="384"/>
      <c r="AN106" s="385"/>
      <c r="AO106" s="384"/>
      <c r="AP106" s="1287" t="s">
        <v>815</v>
      </c>
      <c r="AQ106" s="384"/>
      <c r="AR106" s="384"/>
      <c r="AS106" s="385"/>
      <c r="AT106" s="384"/>
      <c r="AU106" s="1287" t="s">
        <v>815</v>
      </c>
      <c r="AV106" s="384"/>
      <c r="AW106" s="384"/>
      <c r="AX106" s="385"/>
      <c r="AY106" s="384"/>
      <c r="AZ106" s="1287" t="s">
        <v>815</v>
      </c>
      <c r="BA106" s="384"/>
      <c r="BB106" s="384"/>
      <c r="BC106" s="385"/>
      <c r="BD106" s="384"/>
      <c r="BE106" s="1287" t="s">
        <v>815</v>
      </c>
      <c r="BF106" s="384"/>
      <c r="BG106" s="384"/>
      <c r="BH106" s="385"/>
      <c r="BI106" s="384"/>
      <c r="BJ106" s="1287" t="s">
        <v>815</v>
      </c>
      <c r="BK106" s="384"/>
      <c r="BL106" s="384"/>
      <c r="BM106" s="385"/>
      <c r="BN106" s="384"/>
      <c r="BO106" s="1287" t="s">
        <v>815</v>
      </c>
      <c r="BP106" s="384"/>
      <c r="BQ106" s="384"/>
      <c r="BR106" s="385"/>
      <c r="BS106" s="384"/>
      <c r="BT106" s="1287" t="s">
        <v>815</v>
      </c>
      <c r="BU106" s="384"/>
      <c r="BV106" s="384"/>
      <c r="BW106" s="385"/>
      <c r="BX106" s="384"/>
      <c r="BY106" s="1287" t="s">
        <v>815</v>
      </c>
      <c r="BZ106" s="384"/>
      <c r="CA106" s="384"/>
      <c r="CB106" s="385"/>
      <c r="CC106" s="384"/>
      <c r="CD106" s="1287" t="s">
        <v>815</v>
      </c>
      <c r="CE106" s="384"/>
      <c r="CF106" s="384"/>
      <c r="CG106" s="385"/>
      <c r="CI106" s="1287" t="s">
        <v>815</v>
      </c>
      <c r="CJ106" s="384"/>
      <c r="CK106" s="384"/>
      <c r="CL106" s="385"/>
      <c r="CN106" s="1287" t="s">
        <v>815</v>
      </c>
      <c r="CO106" s="384"/>
      <c r="CP106" s="384"/>
      <c r="CQ106" s="385"/>
      <c r="CT106" s="384"/>
    </row>
    <row r="107" spans="1:98" x14ac:dyDescent="0.3">
      <c r="A107" s="380"/>
      <c r="B107" s="762" t="s">
        <v>816</v>
      </c>
      <c r="C107" s="749">
        <f t="shared" si="2"/>
        <v>30.559761399868517</v>
      </c>
      <c r="D107" s="743" cm="1">
        <f t="array" ref="D107">IF(INDEX(107:107,$E$2)="","", INDEX(107:107, $E$2))</f>
        <v>30.559761399868517</v>
      </c>
      <c r="E107" s="740"/>
      <c r="F107" s="769"/>
      <c r="L107" s="789" t="s">
        <v>817</v>
      </c>
      <c r="M107" s="390">
        <f>M108*1.7</f>
        <v>22.910072464244401</v>
      </c>
      <c r="N107" s="384"/>
      <c r="O107" s="385"/>
      <c r="Q107" s="789" t="s">
        <v>817</v>
      </c>
      <c r="R107" s="390">
        <f>R108*1.7</f>
        <v>30.150681652023845</v>
      </c>
      <c r="S107" s="384"/>
      <c r="T107" s="385"/>
      <c r="U107" s="932"/>
      <c r="V107" s="789" t="s">
        <v>817</v>
      </c>
      <c r="W107" s="390">
        <f>W108*1.7</f>
        <v>23.043772878285832</v>
      </c>
      <c r="X107" s="384"/>
      <c r="Y107" s="385"/>
      <c r="Z107" s="932"/>
      <c r="AA107" s="789" t="s">
        <v>817</v>
      </c>
      <c r="AB107" s="390">
        <f>AB108*1.7</f>
        <v>30.303482125214057</v>
      </c>
      <c r="AC107" s="384"/>
      <c r="AD107" s="385"/>
      <c r="AE107" s="384"/>
      <c r="AF107" s="789" t="s">
        <v>817</v>
      </c>
      <c r="AG107" s="390">
        <f>AG108*1.7</f>
        <v>23.075928674067953</v>
      </c>
      <c r="AH107" s="384"/>
      <c r="AI107" s="385"/>
      <c r="AJ107" s="384"/>
      <c r="AK107" s="789" t="s">
        <v>817</v>
      </c>
      <c r="AL107" s="390">
        <f>AL108*1.7</f>
        <v>30.340231606107903</v>
      </c>
      <c r="AM107" s="384"/>
      <c r="AN107" s="385"/>
      <c r="AO107" s="384"/>
      <c r="AP107" s="789" t="s">
        <v>817</v>
      </c>
      <c r="AQ107" s="390">
        <f>AQ108*1.7</f>
        <v>23.26801724360849</v>
      </c>
      <c r="AR107" s="384"/>
      <c r="AS107" s="385"/>
      <c r="AT107" s="384"/>
      <c r="AU107" s="789" t="s">
        <v>817</v>
      </c>
      <c r="AV107" s="390">
        <f>AV108*1.7</f>
        <v>30.559761399868517</v>
      </c>
      <c r="AW107" s="384"/>
      <c r="AX107" s="385"/>
      <c r="AY107" s="384"/>
      <c r="AZ107" s="789" t="s">
        <v>817</v>
      </c>
      <c r="BA107" s="390">
        <f>BA108*1.7</f>
        <v>23.217645289604587</v>
      </c>
      <c r="BB107" s="384"/>
      <c r="BC107" s="385"/>
      <c r="BD107" s="384"/>
      <c r="BE107" s="789" t="s">
        <v>817</v>
      </c>
      <c r="BF107" s="390">
        <f>BF108*1.7</f>
        <v>30.502193452435481</v>
      </c>
      <c r="BG107" s="384"/>
      <c r="BH107" s="385"/>
      <c r="BI107" s="384"/>
      <c r="BJ107" s="789" t="s">
        <v>817</v>
      </c>
      <c r="BK107" s="390">
        <f>BK108*1.7</f>
        <v>21.583499167177493</v>
      </c>
      <c r="BL107" s="384"/>
      <c r="BM107" s="385"/>
      <c r="BN107" s="384"/>
      <c r="BO107" s="789" t="s">
        <v>817</v>
      </c>
      <c r="BP107" s="390">
        <f>BP108*1.7</f>
        <v>28.634597883947375</v>
      </c>
      <c r="BQ107" s="384"/>
      <c r="BR107" s="385"/>
      <c r="BS107" s="384"/>
      <c r="BT107" s="789" t="s">
        <v>817</v>
      </c>
      <c r="BU107" s="390">
        <f>BU108*1.7</f>
        <v>22.373474669400863</v>
      </c>
      <c r="BV107" s="384"/>
      <c r="BW107" s="385"/>
      <c r="BX107" s="384"/>
      <c r="BY107" s="789" t="s">
        <v>817</v>
      </c>
      <c r="BZ107" s="390">
        <f>BZ108*1.7</f>
        <v>29.537427029345519</v>
      </c>
      <c r="CA107" s="384"/>
      <c r="CB107" s="385"/>
      <c r="CC107" s="384"/>
      <c r="CD107" s="789" t="s">
        <v>817</v>
      </c>
      <c r="CE107" s="390">
        <f>CE108*1.7</f>
        <v>17.353251679366391</v>
      </c>
      <c r="CF107" s="384"/>
      <c r="CG107" s="385"/>
      <c r="CI107" s="789" t="s">
        <v>817</v>
      </c>
      <c r="CJ107" s="390">
        <f>CJ108*1.7</f>
        <v>25.631652041539532</v>
      </c>
      <c r="CK107" s="384"/>
      <c r="CL107" s="385"/>
      <c r="CN107" s="789" t="s">
        <v>817</v>
      </c>
      <c r="CO107" s="1038" cm="1">
        <f t="array" ref="CO107">1/($CQ$8/INDEX(107:107, $CQ$10) + (1-$CQ$8)/INDEX(107:107, $CQ$11))</f>
        <v>29.915551239260726</v>
      </c>
      <c r="CP107" s="384"/>
      <c r="CQ107" s="385"/>
      <c r="CT107" s="384"/>
    </row>
    <row r="108" spans="1:98" x14ac:dyDescent="0.3">
      <c r="A108" s="380"/>
      <c r="B108" s="762" t="s">
        <v>818</v>
      </c>
      <c r="C108" s="749">
        <f t="shared" si="2"/>
        <v>17.976330235216775</v>
      </c>
      <c r="D108" s="743" cm="1">
        <f t="array" ref="D108">IF(INDEX(108:108,$E$2)="","", INDEX(108:108, $E$2))</f>
        <v>17.976330235216775</v>
      </c>
      <c r="E108" s="740"/>
      <c r="F108" s="769"/>
      <c r="L108" s="789" t="s">
        <v>819</v>
      </c>
      <c r="M108" s="390">
        <f>M109*1.5</f>
        <v>13.476513214261413</v>
      </c>
      <c r="N108" s="384"/>
      <c r="O108" s="385"/>
      <c r="Q108" s="789" t="s">
        <v>819</v>
      </c>
      <c r="R108" s="390">
        <f>R109*1.5</f>
        <v>17.735695089425793</v>
      </c>
      <c r="S108" s="384"/>
      <c r="T108" s="385"/>
      <c r="U108" s="932"/>
      <c r="V108" s="789" t="s">
        <v>819</v>
      </c>
      <c r="W108" s="390">
        <f>W109*1.5</f>
        <v>13.555160516638725</v>
      </c>
      <c r="X108" s="384"/>
      <c r="Y108" s="385"/>
      <c r="Z108" s="932"/>
      <c r="AA108" s="789" t="s">
        <v>819</v>
      </c>
      <c r="AB108" s="390">
        <f>AB109*1.5</f>
        <v>17.825577720714151</v>
      </c>
      <c r="AC108" s="384"/>
      <c r="AD108" s="385"/>
      <c r="AE108" s="384"/>
      <c r="AF108" s="789" t="s">
        <v>819</v>
      </c>
      <c r="AG108" s="390">
        <f>AG109*1.5</f>
        <v>13.574075690628208</v>
      </c>
      <c r="AH108" s="384"/>
      <c r="AI108" s="385"/>
      <c r="AJ108" s="384"/>
      <c r="AK108" s="789" t="s">
        <v>819</v>
      </c>
      <c r="AL108" s="390">
        <f>AL109*1.5</f>
        <v>17.847195062416414</v>
      </c>
      <c r="AM108" s="384"/>
      <c r="AN108" s="385"/>
      <c r="AO108" s="384"/>
      <c r="AP108" s="789" t="s">
        <v>819</v>
      </c>
      <c r="AQ108" s="390">
        <f>AQ109*1.5</f>
        <v>13.687068966828523</v>
      </c>
      <c r="AR108" s="384"/>
      <c r="AS108" s="385"/>
      <c r="AT108" s="384"/>
      <c r="AU108" s="789" t="s">
        <v>819</v>
      </c>
      <c r="AV108" s="390">
        <f>AV109*1.5</f>
        <v>17.976330235216775</v>
      </c>
      <c r="AW108" s="384"/>
      <c r="AX108" s="385"/>
      <c r="AY108" s="384"/>
      <c r="AZ108" s="789" t="s">
        <v>819</v>
      </c>
      <c r="BA108" s="390">
        <f>BA109*1.5</f>
        <v>13.657438405649756</v>
      </c>
      <c r="BB108" s="384"/>
      <c r="BC108" s="385"/>
      <c r="BD108" s="384"/>
      <c r="BE108" s="789" t="s">
        <v>819</v>
      </c>
      <c r="BF108" s="390">
        <f>BF109*1.5</f>
        <v>17.942466736726754</v>
      </c>
      <c r="BG108" s="384"/>
      <c r="BH108" s="385"/>
      <c r="BI108" s="384"/>
      <c r="BJ108" s="789" t="s">
        <v>819</v>
      </c>
      <c r="BK108" s="390">
        <f>BK109*1.5</f>
        <v>12.696175980692644</v>
      </c>
      <c r="BL108" s="384"/>
      <c r="BM108" s="385"/>
      <c r="BN108" s="384"/>
      <c r="BO108" s="789" t="s">
        <v>819</v>
      </c>
      <c r="BP108" s="390">
        <f>BP109*1.5</f>
        <v>16.843881108204339</v>
      </c>
      <c r="BQ108" s="384"/>
      <c r="BR108" s="385"/>
      <c r="BS108" s="384"/>
      <c r="BT108" s="789" t="s">
        <v>819</v>
      </c>
      <c r="BU108" s="390">
        <f>BU109*1.5</f>
        <v>13.160867452588743</v>
      </c>
      <c r="BV108" s="384"/>
      <c r="BW108" s="385"/>
      <c r="BX108" s="384"/>
      <c r="BY108" s="789" t="s">
        <v>819</v>
      </c>
      <c r="BZ108" s="390">
        <f>BZ109*1.5</f>
        <v>17.3749570760856</v>
      </c>
      <c r="CA108" s="384"/>
      <c r="CB108" s="385"/>
      <c r="CC108" s="384"/>
      <c r="CD108" s="789" t="s">
        <v>819</v>
      </c>
      <c r="CE108" s="390">
        <f>CE109*1.5</f>
        <v>10.207795105509643</v>
      </c>
      <c r="CF108" s="384"/>
      <c r="CG108" s="385"/>
      <c r="CI108" s="789" t="s">
        <v>819</v>
      </c>
      <c r="CJ108" s="390">
        <f>CJ109*1.5</f>
        <v>15.077442377376196</v>
      </c>
      <c r="CK108" s="384"/>
      <c r="CL108" s="385"/>
      <c r="CN108" s="789" t="s">
        <v>819</v>
      </c>
      <c r="CO108" s="1038" cm="1">
        <f t="array" ref="CO108">1/($CQ$8/INDEX(108:108, $CQ$10) + (1-$CQ$8)/INDEX(108:108, $CQ$11))</f>
        <v>17.597383081918071</v>
      </c>
      <c r="CP108" s="384"/>
      <c r="CQ108" s="385"/>
      <c r="CT108" s="384"/>
    </row>
    <row r="109" spans="1:98" x14ac:dyDescent="0.3">
      <c r="A109" s="380"/>
      <c r="B109" s="762" t="s">
        <v>820</v>
      </c>
      <c r="C109" s="749">
        <f t="shared" si="2"/>
        <v>11.984220156811183</v>
      </c>
      <c r="D109" s="743" cm="1">
        <f t="array" ref="D109">IF(INDEX(109:109,$E$2)="","", INDEX(109:109, $E$2))</f>
        <v>11.984220156811183</v>
      </c>
      <c r="E109" s="740"/>
      <c r="F109" s="769"/>
      <c r="L109" s="789" t="s">
        <v>821</v>
      </c>
      <c r="M109" s="715">
        <v>8.9843421428409425</v>
      </c>
      <c r="N109" s="384"/>
      <c r="O109" s="385"/>
      <c r="Q109" s="789" t="s">
        <v>821</v>
      </c>
      <c r="R109" s="715">
        <v>11.823796726283861</v>
      </c>
      <c r="S109" s="384"/>
      <c r="T109" s="385"/>
      <c r="U109" s="932"/>
      <c r="V109" s="789" t="s">
        <v>821</v>
      </c>
      <c r="W109" s="715">
        <v>9.0367736777591503</v>
      </c>
      <c r="X109" s="384"/>
      <c r="Y109" s="385"/>
      <c r="Z109" s="932"/>
      <c r="AA109" s="789" t="s">
        <v>821</v>
      </c>
      <c r="AB109" s="715">
        <v>11.8837184804761</v>
      </c>
      <c r="AC109" s="384"/>
      <c r="AD109" s="385"/>
      <c r="AE109" s="384"/>
      <c r="AF109" s="789" t="s">
        <v>821</v>
      </c>
      <c r="AG109" s="715">
        <v>9.0493837937521384</v>
      </c>
      <c r="AH109" s="384"/>
      <c r="AI109" s="385"/>
      <c r="AJ109" s="384"/>
      <c r="AK109" s="789" t="s">
        <v>821</v>
      </c>
      <c r="AL109" s="715">
        <v>11.898130041610942</v>
      </c>
      <c r="AM109" s="384"/>
      <c r="AN109" s="385"/>
      <c r="AO109" s="384"/>
      <c r="AP109" s="789" t="s">
        <v>821</v>
      </c>
      <c r="AQ109" s="715">
        <v>9.1247126445523481</v>
      </c>
      <c r="AR109" s="384"/>
      <c r="AS109" s="385"/>
      <c r="AT109" s="384"/>
      <c r="AU109" s="789" t="s">
        <v>821</v>
      </c>
      <c r="AV109" s="715">
        <v>11.984220156811183</v>
      </c>
      <c r="AW109" s="384"/>
      <c r="AX109" s="385"/>
      <c r="AY109" s="384"/>
      <c r="AZ109" s="789" t="s">
        <v>821</v>
      </c>
      <c r="BA109" s="715">
        <v>9.1049589370998376</v>
      </c>
      <c r="BB109" s="384"/>
      <c r="BC109" s="385"/>
      <c r="BD109" s="384"/>
      <c r="BE109" s="789" t="s">
        <v>821</v>
      </c>
      <c r="BF109" s="715">
        <v>11.961644491151169</v>
      </c>
      <c r="BG109" s="384"/>
      <c r="BH109" s="385"/>
      <c r="BI109" s="384"/>
      <c r="BJ109" s="789" t="s">
        <v>821</v>
      </c>
      <c r="BK109" s="715">
        <v>8.4641173204617619</v>
      </c>
      <c r="BL109" s="384"/>
      <c r="BM109" s="385"/>
      <c r="BN109" s="384"/>
      <c r="BO109" s="789" t="s">
        <v>821</v>
      </c>
      <c r="BP109" s="715">
        <v>11.229254072136227</v>
      </c>
      <c r="BQ109" s="384"/>
      <c r="BR109" s="385"/>
      <c r="BS109" s="384"/>
      <c r="BT109" s="789" t="s">
        <v>821</v>
      </c>
      <c r="BU109" s="715">
        <v>8.7739116350591626</v>
      </c>
      <c r="BV109" s="384"/>
      <c r="BW109" s="385"/>
      <c r="BX109" s="384"/>
      <c r="BY109" s="789" t="s">
        <v>821</v>
      </c>
      <c r="BZ109" s="715">
        <v>11.5833047173904</v>
      </c>
      <c r="CA109" s="384"/>
      <c r="CB109" s="385"/>
      <c r="CC109" s="384"/>
      <c r="CD109" s="789" t="s">
        <v>821</v>
      </c>
      <c r="CE109" s="715">
        <v>6.8051967370064279</v>
      </c>
      <c r="CF109" s="384"/>
      <c r="CG109" s="385"/>
      <c r="CI109" s="789" t="s">
        <v>821</v>
      </c>
      <c r="CJ109" s="715">
        <v>10.05162825158413</v>
      </c>
      <c r="CK109" s="384"/>
      <c r="CL109" s="385"/>
      <c r="CN109" s="789" t="s">
        <v>821</v>
      </c>
      <c r="CO109" s="1038" cm="1">
        <f t="array" ref="CO109">1/($CQ$8/INDEX(109:109, $CQ$10) + (1-$CQ$8)/INDEX(109:109, $CQ$11))</f>
        <v>11.731588721278714</v>
      </c>
      <c r="CP109" s="384"/>
      <c r="CQ109" s="385"/>
      <c r="CT109" s="384"/>
    </row>
    <row r="110" spans="1:98" x14ac:dyDescent="0.3">
      <c r="A110" s="380"/>
      <c r="B110" s="762" t="s">
        <v>822</v>
      </c>
      <c r="C110" s="749">
        <f t="shared" si="2"/>
        <v>11.085620892929883</v>
      </c>
      <c r="D110" s="743" cm="1">
        <f t="array" ref="D110">IF(INDEX(110:110,$E$2)="","", INDEX(110:110, $E$2))</f>
        <v>11.085620892929883</v>
      </c>
      <c r="E110" s="740"/>
      <c r="F110" s="769"/>
      <c r="L110" s="789" t="s">
        <v>823</v>
      </c>
      <c r="M110" s="715">
        <v>8.0758216104179024</v>
      </c>
      <c r="N110" s="384"/>
      <c r="O110" s="385"/>
      <c r="Q110" s="789" t="s">
        <v>823</v>
      </c>
      <c r="R110" s="715">
        <v>10.925197462402561</v>
      </c>
      <c r="S110" s="384"/>
      <c r="T110" s="385"/>
      <c r="U110" s="932"/>
      <c r="V110" s="789" t="s">
        <v>823</v>
      </c>
      <c r="W110" s="715">
        <v>8.1282531453361102</v>
      </c>
      <c r="X110" s="384"/>
      <c r="Y110" s="385"/>
      <c r="Z110" s="932"/>
      <c r="AA110" s="789" t="s">
        <v>823</v>
      </c>
      <c r="AB110" s="715">
        <v>10.9851192165948</v>
      </c>
      <c r="AC110" s="384"/>
      <c r="AD110" s="385"/>
      <c r="AE110" s="384"/>
      <c r="AF110" s="789" t="s">
        <v>823</v>
      </c>
      <c r="AG110" s="715">
        <v>8.1408632613290983</v>
      </c>
      <c r="AH110" s="384"/>
      <c r="AI110" s="385"/>
      <c r="AJ110" s="384"/>
      <c r="AK110" s="789" t="s">
        <v>823</v>
      </c>
      <c r="AL110" s="715">
        <v>10.999530777729642</v>
      </c>
      <c r="AM110" s="384"/>
      <c r="AN110" s="385"/>
      <c r="AO110" s="384"/>
      <c r="AP110" s="789" t="s">
        <v>823</v>
      </c>
      <c r="AQ110" s="715">
        <v>8.216192112129308</v>
      </c>
      <c r="AR110" s="384"/>
      <c r="AS110" s="385"/>
      <c r="AT110" s="384"/>
      <c r="AU110" s="789" t="s">
        <v>823</v>
      </c>
      <c r="AV110" s="715">
        <v>11.085620892929883</v>
      </c>
      <c r="AW110" s="384"/>
      <c r="AX110" s="385"/>
      <c r="AY110" s="384"/>
      <c r="AZ110" s="789" t="s">
        <v>823</v>
      </c>
      <c r="BA110" s="715">
        <v>8.1964384046767975</v>
      </c>
      <c r="BB110" s="384"/>
      <c r="BC110" s="385"/>
      <c r="BD110" s="384"/>
      <c r="BE110" s="789" t="s">
        <v>823</v>
      </c>
      <c r="BF110" s="715">
        <v>11.063045227269869</v>
      </c>
      <c r="BG110" s="384"/>
      <c r="BH110" s="385"/>
      <c r="BI110" s="384"/>
      <c r="BJ110" s="789" t="s">
        <v>823</v>
      </c>
      <c r="BK110" s="715">
        <v>7.5555967880387218</v>
      </c>
      <c r="BL110" s="384"/>
      <c r="BM110" s="385"/>
      <c r="BN110" s="384"/>
      <c r="BO110" s="789" t="s">
        <v>823</v>
      </c>
      <c r="BP110" s="715">
        <v>10.330654808254927</v>
      </c>
      <c r="BQ110" s="384"/>
      <c r="BR110" s="385"/>
      <c r="BS110" s="384"/>
      <c r="BT110" s="789" t="s">
        <v>823</v>
      </c>
      <c r="BU110" s="715">
        <v>7.8653911026361225</v>
      </c>
      <c r="BV110" s="384"/>
      <c r="BW110" s="385"/>
      <c r="BX110" s="384"/>
      <c r="BY110" s="789" t="s">
        <v>823</v>
      </c>
      <c r="BZ110" s="715">
        <v>10.6847054535091</v>
      </c>
      <c r="CA110" s="384"/>
      <c r="CB110" s="385"/>
      <c r="CC110" s="384"/>
      <c r="CD110" s="789" t="s">
        <v>823</v>
      </c>
      <c r="CE110" s="715">
        <v>5.8966762045833878</v>
      </c>
      <c r="CF110" s="384"/>
      <c r="CG110" s="385"/>
      <c r="CI110" s="789" t="s">
        <v>823</v>
      </c>
      <c r="CJ110" s="715">
        <v>9.1530289877028306</v>
      </c>
      <c r="CK110" s="384"/>
      <c r="CL110" s="385"/>
      <c r="CN110" s="789" t="s">
        <v>823</v>
      </c>
      <c r="CO110" s="1038" cm="1">
        <f t="array" ref="CO110">1/($CQ$8/INDEX(110:110, $CQ$10) + (1-$CQ$8)/INDEX(110:110, $CQ$11))</f>
        <v>10.832829982508143</v>
      </c>
      <c r="CP110" s="384"/>
      <c r="CQ110" s="385"/>
      <c r="CT110" s="384"/>
    </row>
    <row r="111" spans="1:98" x14ac:dyDescent="0.3">
      <c r="A111" s="380"/>
      <c r="B111" s="762" t="s">
        <v>824</v>
      </c>
      <c r="C111" s="749">
        <f t="shared" si="2"/>
        <v>9.9095199456726633</v>
      </c>
      <c r="D111" s="743" cm="1">
        <f t="array" ref="D111">IF(INDEX(111:111,$E$2)="","", INDEX(111:111, $E$2))</f>
        <v>9.9095199456726633</v>
      </c>
      <c r="E111" s="740"/>
      <c r="F111" s="769"/>
      <c r="L111" s="789" t="s">
        <v>825</v>
      </c>
      <c r="M111" s="715">
        <v>7.0913705792201718</v>
      </c>
      <c r="N111" s="384"/>
      <c r="O111" s="385"/>
      <c r="Q111" s="789" t="s">
        <v>825</v>
      </c>
      <c r="R111" s="715">
        <v>9.7490965151453413</v>
      </c>
      <c r="S111" s="384"/>
      <c r="T111" s="385"/>
      <c r="U111" s="932"/>
      <c r="V111" s="789" t="s">
        <v>825</v>
      </c>
      <c r="W111" s="715">
        <v>7.1438021141383796</v>
      </c>
      <c r="X111" s="384"/>
      <c r="Y111" s="385"/>
      <c r="Z111" s="932"/>
      <c r="AA111" s="789" t="s">
        <v>825</v>
      </c>
      <c r="AB111" s="715">
        <v>9.8090182693375798</v>
      </c>
      <c r="AC111" s="384"/>
      <c r="AD111" s="385"/>
      <c r="AE111" s="384"/>
      <c r="AF111" s="789" t="s">
        <v>825</v>
      </c>
      <c r="AG111" s="715">
        <v>7.1564122301313668</v>
      </c>
      <c r="AH111" s="384"/>
      <c r="AI111" s="385"/>
      <c r="AJ111" s="384"/>
      <c r="AK111" s="789" t="s">
        <v>825</v>
      </c>
      <c r="AL111" s="715">
        <v>9.8234298304724224</v>
      </c>
      <c r="AM111" s="384"/>
      <c r="AN111" s="385"/>
      <c r="AO111" s="384"/>
      <c r="AP111" s="789" t="s">
        <v>825</v>
      </c>
      <c r="AQ111" s="715">
        <v>7.2317410809315774</v>
      </c>
      <c r="AR111" s="384"/>
      <c r="AS111" s="385"/>
      <c r="AT111" s="384"/>
      <c r="AU111" s="789" t="s">
        <v>825</v>
      </c>
      <c r="AV111" s="715">
        <v>9.9095199456726633</v>
      </c>
      <c r="AW111" s="384"/>
      <c r="AX111" s="385"/>
      <c r="AY111" s="384"/>
      <c r="AZ111" s="789" t="s">
        <v>825</v>
      </c>
      <c r="BA111" s="715">
        <v>7.2119873734790669</v>
      </c>
      <c r="BB111" s="384"/>
      <c r="BC111" s="385"/>
      <c r="BD111" s="384"/>
      <c r="BE111" s="789" t="s">
        <v>825</v>
      </c>
      <c r="BF111" s="715">
        <v>9.8869442800126492</v>
      </c>
      <c r="BG111" s="384"/>
      <c r="BH111" s="385"/>
      <c r="BI111" s="384"/>
      <c r="BJ111" s="789" t="s">
        <v>825</v>
      </c>
      <c r="BK111" s="715">
        <v>6.5711457568409912</v>
      </c>
      <c r="BL111" s="384"/>
      <c r="BM111" s="385"/>
      <c r="BN111" s="384"/>
      <c r="BO111" s="789" t="s">
        <v>825</v>
      </c>
      <c r="BP111" s="715">
        <v>9.1545538609977068</v>
      </c>
      <c r="BQ111" s="384"/>
      <c r="BR111" s="385"/>
      <c r="BS111" s="384"/>
      <c r="BT111" s="789" t="s">
        <v>825</v>
      </c>
      <c r="BU111" s="715">
        <v>6.8809400714383919</v>
      </c>
      <c r="BV111" s="384"/>
      <c r="BW111" s="385"/>
      <c r="BX111" s="384"/>
      <c r="BY111" s="789" t="s">
        <v>825</v>
      </c>
      <c r="BZ111" s="715">
        <v>9.5086045062518796</v>
      </c>
      <c r="CA111" s="384"/>
      <c r="CB111" s="385"/>
      <c r="CC111" s="384"/>
      <c r="CD111" s="789" t="s">
        <v>825</v>
      </c>
      <c r="CE111" s="715">
        <v>4.9122251733856572</v>
      </c>
      <c r="CF111" s="384"/>
      <c r="CG111" s="385"/>
      <c r="CI111" s="789" t="s">
        <v>825</v>
      </c>
      <c r="CJ111" s="715">
        <v>7.9769280404456113</v>
      </c>
      <c r="CK111" s="384"/>
      <c r="CL111" s="385"/>
      <c r="CN111" s="789" t="s">
        <v>825</v>
      </c>
      <c r="CO111" s="1038" cm="1">
        <f t="array" ref="CO111">1/($CQ$8/INDEX(111:111, $CQ$10) + (1-$CQ$8)/INDEX(111:111, $CQ$11))</f>
        <v>9.6564754785035163</v>
      </c>
      <c r="CP111" s="384"/>
      <c r="CQ111" s="385"/>
      <c r="CT111" s="384"/>
    </row>
    <row r="112" spans="1:98" x14ac:dyDescent="0.3">
      <c r="A112" s="380"/>
      <c r="B112" s="762" t="s">
        <v>826</v>
      </c>
      <c r="C112" s="749">
        <f t="shared" si="2"/>
        <v>10.110919661782583</v>
      </c>
      <c r="D112" s="743" cm="1">
        <f t="array" ref="D112">IF(INDEX(112:112,$E$2)="","", INDEX(112:112, $E$2))</f>
        <v>10.110919661782583</v>
      </c>
      <c r="E112" s="740"/>
      <c r="F112" s="769"/>
      <c r="L112" s="789" t="s">
        <v>827</v>
      </c>
      <c r="M112" s="786">
        <v>7.0340167649496514</v>
      </c>
      <c r="N112" s="384"/>
      <c r="O112" s="385"/>
      <c r="Q112" s="789" t="s">
        <v>827</v>
      </c>
      <c r="R112" s="786">
        <v>9.9504962312552614</v>
      </c>
      <c r="S112" s="384"/>
      <c r="T112" s="385"/>
      <c r="U112" s="932"/>
      <c r="V112" s="789" t="s">
        <v>827</v>
      </c>
      <c r="W112" s="786">
        <v>7.0864482998678602</v>
      </c>
      <c r="X112" s="384"/>
      <c r="Y112" s="385"/>
      <c r="Z112" s="932"/>
      <c r="AA112" s="789" t="s">
        <v>827</v>
      </c>
      <c r="AB112" s="786">
        <v>10.0104179854475</v>
      </c>
      <c r="AC112" s="384"/>
      <c r="AD112" s="385"/>
      <c r="AE112" s="384"/>
      <c r="AF112" s="789" t="s">
        <v>827</v>
      </c>
      <c r="AG112" s="786">
        <v>7.0990584158608474</v>
      </c>
      <c r="AH112" s="384"/>
      <c r="AI112" s="385"/>
      <c r="AJ112" s="384"/>
      <c r="AK112" s="789" t="s">
        <v>827</v>
      </c>
      <c r="AL112" s="786">
        <v>10.024829546582342</v>
      </c>
      <c r="AM112" s="384"/>
      <c r="AN112" s="385"/>
      <c r="AO112" s="384"/>
      <c r="AP112" s="789" t="s">
        <v>827</v>
      </c>
      <c r="AQ112" s="786">
        <v>7.174387266661058</v>
      </c>
      <c r="AR112" s="384"/>
      <c r="AS112" s="385"/>
      <c r="AT112" s="384"/>
      <c r="AU112" s="789" t="s">
        <v>827</v>
      </c>
      <c r="AV112" s="786">
        <v>10.110919661782583</v>
      </c>
      <c r="AW112" s="384"/>
      <c r="AX112" s="385"/>
      <c r="AY112" s="384"/>
      <c r="AZ112" s="789" t="s">
        <v>827</v>
      </c>
      <c r="BA112" s="786">
        <v>7.1546335592085466</v>
      </c>
      <c r="BB112" s="384"/>
      <c r="BC112" s="385"/>
      <c r="BD112" s="384"/>
      <c r="BE112" s="789" t="s">
        <v>827</v>
      </c>
      <c r="BF112" s="786">
        <v>10.088343996122569</v>
      </c>
      <c r="BG112" s="384"/>
      <c r="BH112" s="385"/>
      <c r="BI112" s="384"/>
      <c r="BJ112" s="789" t="s">
        <v>827</v>
      </c>
      <c r="BK112" s="786">
        <v>6.5137919425704718</v>
      </c>
      <c r="BL112" s="384"/>
      <c r="BM112" s="385"/>
      <c r="BN112" s="384"/>
      <c r="BO112" s="789" t="s">
        <v>827</v>
      </c>
      <c r="BP112" s="786">
        <v>9.355953577107627</v>
      </c>
      <c r="BQ112" s="384"/>
      <c r="BR112" s="385"/>
      <c r="BS112" s="384"/>
      <c r="BT112" s="789" t="s">
        <v>827</v>
      </c>
      <c r="BU112" s="786">
        <v>6.8235862571678725</v>
      </c>
      <c r="BV112" s="384"/>
      <c r="BW112" s="385"/>
      <c r="BX112" s="384"/>
      <c r="BY112" s="789" t="s">
        <v>827</v>
      </c>
      <c r="BZ112" s="786">
        <v>9.7100042223617997</v>
      </c>
      <c r="CA112" s="384"/>
      <c r="CB112" s="385"/>
      <c r="CC112" s="384"/>
      <c r="CD112" s="789" t="s">
        <v>827</v>
      </c>
      <c r="CE112" s="786">
        <v>4.8548713591151369</v>
      </c>
      <c r="CF112" s="384"/>
      <c r="CG112" s="385"/>
      <c r="CI112" s="789" t="s">
        <v>827</v>
      </c>
      <c r="CJ112" s="786">
        <v>8.1783277565555306</v>
      </c>
      <c r="CK112" s="384"/>
      <c r="CL112" s="385"/>
      <c r="CN112" s="789" t="s">
        <v>827</v>
      </c>
      <c r="CO112" s="1038" cm="1">
        <f t="array" ref="CO112">1/($CQ$8/INDEX(112:112, $CQ$10) + (1-$CQ$8)/INDEX(112:112, $CQ$11))</f>
        <v>9.8579229067225551</v>
      </c>
      <c r="CP112" s="384"/>
      <c r="CQ112" s="385"/>
      <c r="CT112" s="384"/>
    </row>
    <row r="113" spans="1:98" x14ac:dyDescent="0.3">
      <c r="A113" s="380"/>
      <c r="B113" s="762" t="s">
        <v>828</v>
      </c>
      <c r="C113" s="749">
        <f t="shared" si="2"/>
        <v>10.486177294274983</v>
      </c>
      <c r="D113" s="743" cm="1">
        <f t="array" ref="D113">IF(INDEX(113:113,$E$2)="","", INDEX(113:113, $E$2))</f>
        <v>10.486177294274983</v>
      </c>
      <c r="E113" s="740"/>
      <c r="F113" s="769"/>
      <c r="L113" s="789" t="s">
        <v>829</v>
      </c>
      <c r="M113" s="715">
        <v>7.2278338412820826</v>
      </c>
      <c r="N113" s="384"/>
      <c r="O113" s="385"/>
      <c r="Q113" s="789" t="s">
        <v>829</v>
      </c>
      <c r="R113" s="715">
        <v>10.325753863747661</v>
      </c>
      <c r="S113" s="384"/>
      <c r="T113" s="385"/>
      <c r="U113" s="932"/>
      <c r="V113" s="789" t="s">
        <v>829</v>
      </c>
      <c r="W113" s="715">
        <v>7.2802653762002905</v>
      </c>
      <c r="X113" s="384"/>
      <c r="Y113" s="385"/>
      <c r="Z113" s="932"/>
      <c r="AA113" s="789" t="s">
        <v>829</v>
      </c>
      <c r="AB113" s="715">
        <v>10.385675617939899</v>
      </c>
      <c r="AC113" s="384"/>
      <c r="AD113" s="385"/>
      <c r="AE113" s="384"/>
      <c r="AF113" s="789" t="s">
        <v>829</v>
      </c>
      <c r="AG113" s="715">
        <v>7.2928754921932777</v>
      </c>
      <c r="AH113" s="384"/>
      <c r="AI113" s="385"/>
      <c r="AJ113" s="384"/>
      <c r="AK113" s="789" t="s">
        <v>829</v>
      </c>
      <c r="AL113" s="715">
        <v>10.400087179074742</v>
      </c>
      <c r="AM113" s="384"/>
      <c r="AN113" s="385"/>
      <c r="AO113" s="384"/>
      <c r="AP113" s="789" t="s">
        <v>829</v>
      </c>
      <c r="AQ113" s="715">
        <v>7.3682043429934883</v>
      </c>
      <c r="AR113" s="384"/>
      <c r="AS113" s="385"/>
      <c r="AT113" s="384"/>
      <c r="AU113" s="789" t="s">
        <v>829</v>
      </c>
      <c r="AV113" s="715">
        <v>10.486177294274983</v>
      </c>
      <c r="AW113" s="384"/>
      <c r="AX113" s="385"/>
      <c r="AY113" s="384"/>
      <c r="AZ113" s="789" t="s">
        <v>829</v>
      </c>
      <c r="BA113" s="715">
        <v>7.3484506355409778</v>
      </c>
      <c r="BB113" s="384"/>
      <c r="BC113" s="385"/>
      <c r="BD113" s="384"/>
      <c r="BE113" s="789" t="s">
        <v>829</v>
      </c>
      <c r="BF113" s="715">
        <v>10.463601628614969</v>
      </c>
      <c r="BG113" s="384"/>
      <c r="BH113" s="385"/>
      <c r="BI113" s="384"/>
      <c r="BJ113" s="789" t="s">
        <v>829</v>
      </c>
      <c r="BK113" s="715">
        <v>6.7076090189029021</v>
      </c>
      <c r="BL113" s="384"/>
      <c r="BM113" s="385"/>
      <c r="BN113" s="384"/>
      <c r="BO113" s="789" t="s">
        <v>829</v>
      </c>
      <c r="BP113" s="715">
        <v>9.7312112096000263</v>
      </c>
      <c r="BQ113" s="384"/>
      <c r="BR113" s="385"/>
      <c r="BS113" s="384"/>
      <c r="BT113" s="789" t="s">
        <v>829</v>
      </c>
      <c r="BU113" s="715">
        <v>7.0174033335003028</v>
      </c>
      <c r="BV113" s="384"/>
      <c r="BW113" s="385"/>
      <c r="BX113" s="384"/>
      <c r="BY113" s="789" t="s">
        <v>829</v>
      </c>
      <c r="BZ113" s="715">
        <v>10.085261854854199</v>
      </c>
      <c r="CA113" s="384"/>
      <c r="CB113" s="385"/>
      <c r="CC113" s="384"/>
      <c r="CD113" s="789" t="s">
        <v>829</v>
      </c>
      <c r="CE113" s="715">
        <v>5.0486884354475681</v>
      </c>
      <c r="CF113" s="384"/>
      <c r="CG113" s="385"/>
      <c r="CI113" s="789" t="s">
        <v>829</v>
      </c>
      <c r="CJ113" s="715">
        <v>8.5535853890479299</v>
      </c>
      <c r="CK113" s="384"/>
      <c r="CL113" s="385"/>
      <c r="CN113" s="789" t="s">
        <v>829</v>
      </c>
      <c r="CO113" s="1038" cm="1">
        <f t="array" ref="CO113">1/($CQ$8/INDEX(113:113, $CQ$10) + (1-$CQ$8)/INDEX(113:113, $CQ$11))</f>
        <v>10.233264430190475</v>
      </c>
      <c r="CP113" s="384"/>
      <c r="CQ113" s="385"/>
      <c r="CT113" s="384"/>
    </row>
    <row r="114" spans="1:98" x14ac:dyDescent="0.3">
      <c r="A114" s="380"/>
      <c r="B114" s="762" t="s">
        <v>830</v>
      </c>
      <c r="C114" s="749">
        <f t="shared" si="2"/>
        <v>10.861434926767384</v>
      </c>
      <c r="D114" s="743" cm="1">
        <f t="array" ref="D114">IF(INDEX(114:114,$E$2)="","", INDEX(114:114, $E$2))</f>
        <v>10.861434926767384</v>
      </c>
      <c r="E114" s="740"/>
      <c r="F114" s="769"/>
      <c r="L114" s="789" t="s">
        <v>831</v>
      </c>
      <c r="M114" s="715">
        <v>7.421650917614512</v>
      </c>
      <c r="N114" s="384"/>
      <c r="O114" s="385"/>
      <c r="Q114" s="789" t="s">
        <v>831</v>
      </c>
      <c r="R114" s="715">
        <v>10.701011496240062</v>
      </c>
      <c r="S114" s="384"/>
      <c r="T114" s="385"/>
      <c r="U114" s="932"/>
      <c r="V114" s="789" t="s">
        <v>831</v>
      </c>
      <c r="W114" s="715">
        <v>7.4740824525327199</v>
      </c>
      <c r="X114" s="384"/>
      <c r="Y114" s="385"/>
      <c r="Z114" s="932"/>
      <c r="AA114" s="789" t="s">
        <v>831</v>
      </c>
      <c r="AB114" s="715">
        <v>10.7609332504323</v>
      </c>
      <c r="AC114" s="384"/>
      <c r="AD114" s="385"/>
      <c r="AE114" s="384"/>
      <c r="AF114" s="789" t="s">
        <v>831</v>
      </c>
      <c r="AG114" s="715">
        <v>7.4866925685257071</v>
      </c>
      <c r="AH114" s="384"/>
      <c r="AI114" s="385"/>
      <c r="AJ114" s="384"/>
      <c r="AK114" s="789" t="s">
        <v>831</v>
      </c>
      <c r="AL114" s="715">
        <v>10.775344811567143</v>
      </c>
      <c r="AM114" s="384"/>
      <c r="AN114" s="385"/>
      <c r="AO114" s="384"/>
      <c r="AP114" s="789" t="s">
        <v>831</v>
      </c>
      <c r="AQ114" s="715">
        <v>7.5620214193259176</v>
      </c>
      <c r="AR114" s="384"/>
      <c r="AS114" s="385"/>
      <c r="AT114" s="384"/>
      <c r="AU114" s="789" t="s">
        <v>831</v>
      </c>
      <c r="AV114" s="715">
        <v>10.861434926767384</v>
      </c>
      <c r="AW114" s="384"/>
      <c r="AX114" s="385"/>
      <c r="AY114" s="384"/>
      <c r="AZ114" s="789" t="s">
        <v>831</v>
      </c>
      <c r="BA114" s="715">
        <v>7.5422677118734072</v>
      </c>
      <c r="BB114" s="384"/>
      <c r="BC114" s="385"/>
      <c r="BD114" s="384"/>
      <c r="BE114" s="789" t="s">
        <v>831</v>
      </c>
      <c r="BF114" s="715">
        <v>10.83885926110737</v>
      </c>
      <c r="BG114" s="384"/>
      <c r="BH114" s="385"/>
      <c r="BI114" s="384"/>
      <c r="BJ114" s="789" t="s">
        <v>831</v>
      </c>
      <c r="BK114" s="715">
        <v>6.9014260952353315</v>
      </c>
      <c r="BL114" s="384"/>
      <c r="BM114" s="385"/>
      <c r="BN114" s="384"/>
      <c r="BO114" s="789" t="s">
        <v>831</v>
      </c>
      <c r="BP114" s="715">
        <v>10.106468842092427</v>
      </c>
      <c r="BQ114" s="384"/>
      <c r="BR114" s="385"/>
      <c r="BS114" s="384"/>
      <c r="BT114" s="789" t="s">
        <v>831</v>
      </c>
      <c r="BU114" s="715">
        <v>7.2112204098327322</v>
      </c>
      <c r="BV114" s="384"/>
      <c r="BW114" s="385"/>
      <c r="BX114" s="384"/>
      <c r="BY114" s="789" t="s">
        <v>831</v>
      </c>
      <c r="BZ114" s="715">
        <v>10.4605194873466</v>
      </c>
      <c r="CA114" s="384"/>
      <c r="CB114" s="385"/>
      <c r="CC114" s="384"/>
      <c r="CD114" s="789" t="s">
        <v>831</v>
      </c>
      <c r="CE114" s="715">
        <v>5.2425055117799975</v>
      </c>
      <c r="CF114" s="384"/>
      <c r="CG114" s="385"/>
      <c r="CI114" s="789" t="s">
        <v>831</v>
      </c>
      <c r="CJ114" s="715">
        <v>8.9288430215403309</v>
      </c>
      <c r="CK114" s="384"/>
      <c r="CL114" s="385"/>
      <c r="CN114" s="789" t="s">
        <v>831</v>
      </c>
      <c r="CO114" s="1038" cm="1">
        <f t="array" ref="CO114">1/($CQ$8/INDEX(114:114, $CQ$10) + (1-$CQ$8)/INDEX(114:114, $CQ$11))</f>
        <v>10.608600019902733</v>
      </c>
      <c r="CP114" s="384"/>
      <c r="CQ114" s="385"/>
      <c r="CT114" s="384"/>
    </row>
    <row r="115" spans="1:98" x14ac:dyDescent="0.3">
      <c r="A115" s="380"/>
      <c r="B115" s="762" t="s">
        <v>832</v>
      </c>
      <c r="C115" s="749">
        <f t="shared" si="2"/>
        <v>10.910501676335084</v>
      </c>
      <c r="D115" s="743" cm="1">
        <f t="array" ref="D115">IF(INDEX(115:115,$E$2)="","", INDEX(115:115, $E$2))</f>
        <v>10.910501676335084</v>
      </c>
      <c r="E115" s="740"/>
      <c r="F115" s="769"/>
      <c r="L115" s="789" t="s">
        <v>833</v>
      </c>
      <c r="M115" s="715">
        <v>7.7059376212265622</v>
      </c>
      <c r="N115" s="384"/>
      <c r="O115" s="385"/>
      <c r="Q115" s="789" t="s">
        <v>833</v>
      </c>
      <c r="R115" s="715">
        <v>10.750078245807762</v>
      </c>
      <c r="S115" s="384"/>
      <c r="T115" s="385"/>
      <c r="U115" s="932"/>
      <c r="V115" s="789" t="s">
        <v>833</v>
      </c>
      <c r="W115" s="715">
        <v>7.7583691561447701</v>
      </c>
      <c r="X115" s="384"/>
      <c r="Y115" s="385"/>
      <c r="Z115" s="932"/>
      <c r="AA115" s="789" t="s">
        <v>833</v>
      </c>
      <c r="AB115" s="715">
        <v>10.81</v>
      </c>
      <c r="AC115" s="384"/>
      <c r="AD115" s="385"/>
      <c r="AE115" s="384"/>
      <c r="AF115" s="789" t="s">
        <v>833</v>
      </c>
      <c r="AG115" s="715">
        <v>7.7709792721377573</v>
      </c>
      <c r="AH115" s="384"/>
      <c r="AI115" s="385"/>
      <c r="AJ115" s="384"/>
      <c r="AK115" s="789" t="s">
        <v>833</v>
      </c>
      <c r="AL115" s="715">
        <v>10.824411561134843</v>
      </c>
      <c r="AM115" s="384"/>
      <c r="AN115" s="385"/>
      <c r="AO115" s="384"/>
      <c r="AP115" s="789" t="s">
        <v>833</v>
      </c>
      <c r="AQ115" s="715">
        <v>7.8463081229379679</v>
      </c>
      <c r="AR115" s="384"/>
      <c r="AS115" s="385"/>
      <c r="AT115" s="384"/>
      <c r="AU115" s="789" t="s">
        <v>833</v>
      </c>
      <c r="AV115" s="715">
        <v>10.910501676335084</v>
      </c>
      <c r="AW115" s="384"/>
      <c r="AX115" s="385"/>
      <c r="AY115" s="384"/>
      <c r="AZ115" s="789" t="s">
        <v>833</v>
      </c>
      <c r="BA115" s="715">
        <v>7.8265544154854574</v>
      </c>
      <c r="BB115" s="384"/>
      <c r="BC115" s="385"/>
      <c r="BD115" s="384"/>
      <c r="BE115" s="789" t="s">
        <v>833</v>
      </c>
      <c r="BF115" s="715">
        <v>10.88792601067507</v>
      </c>
      <c r="BG115" s="384"/>
      <c r="BH115" s="385"/>
      <c r="BI115" s="384"/>
      <c r="BJ115" s="789" t="s">
        <v>833</v>
      </c>
      <c r="BK115" s="715">
        <v>7.1857127988473817</v>
      </c>
      <c r="BL115" s="384"/>
      <c r="BM115" s="385"/>
      <c r="BN115" s="384"/>
      <c r="BO115" s="789" t="s">
        <v>833</v>
      </c>
      <c r="BP115" s="715">
        <v>10.155535591660128</v>
      </c>
      <c r="BQ115" s="384"/>
      <c r="BR115" s="385"/>
      <c r="BS115" s="384"/>
      <c r="BT115" s="789" t="s">
        <v>833</v>
      </c>
      <c r="BU115" s="715">
        <v>7.4955071134447824</v>
      </c>
      <c r="BV115" s="384"/>
      <c r="BW115" s="385"/>
      <c r="BX115" s="384"/>
      <c r="BY115" s="789" t="s">
        <v>833</v>
      </c>
      <c r="BZ115" s="715">
        <v>10.5095862369143</v>
      </c>
      <c r="CA115" s="384"/>
      <c r="CB115" s="385"/>
      <c r="CC115" s="384"/>
      <c r="CD115" s="789" t="s">
        <v>833</v>
      </c>
      <c r="CE115" s="715">
        <v>5.5267922153920477</v>
      </c>
      <c r="CF115" s="384"/>
      <c r="CG115" s="385"/>
      <c r="CI115" s="789" t="s">
        <v>833</v>
      </c>
      <c r="CJ115" s="715">
        <v>8.9779097711080311</v>
      </c>
      <c r="CK115" s="384"/>
      <c r="CL115" s="385"/>
      <c r="CN115" s="789" t="s">
        <v>833</v>
      </c>
      <c r="CO115" s="1038" cm="1">
        <f t="array" ref="CO115">1/($CQ$8/INDEX(115:115, $CQ$10) + (1-$CQ$8)/INDEX(115:115, $CQ$11))</f>
        <v>10.657676556999332</v>
      </c>
      <c r="CP115" s="384"/>
      <c r="CQ115" s="385"/>
      <c r="CT115" s="384"/>
    </row>
    <row r="116" spans="1:98" x14ac:dyDescent="0.3">
      <c r="A116" s="380"/>
      <c r="B116" s="762" t="s">
        <v>834</v>
      </c>
      <c r="C116" s="749">
        <f t="shared" si="2"/>
        <v>10.994317480686483</v>
      </c>
      <c r="D116" s="743" cm="1">
        <f t="array" ref="D116">IF(INDEX(116:116,$E$2)="","", INDEX(116:116, $E$2))</f>
        <v>10.994317480686483</v>
      </c>
      <c r="E116" s="740"/>
      <c r="F116" s="769"/>
      <c r="L116" s="789" t="s">
        <v>835</v>
      </c>
      <c r="M116" s="715">
        <v>8.1975233806709724</v>
      </c>
      <c r="N116" s="384"/>
      <c r="O116" s="385"/>
      <c r="Q116" s="789" t="s">
        <v>835</v>
      </c>
      <c r="R116" s="715">
        <v>10.833894050159161</v>
      </c>
      <c r="S116" s="384"/>
      <c r="T116" s="385"/>
      <c r="U116" s="932"/>
      <c r="V116" s="789" t="s">
        <v>835</v>
      </c>
      <c r="W116" s="715">
        <v>8.2499549155891803</v>
      </c>
      <c r="X116" s="384"/>
      <c r="Y116" s="385"/>
      <c r="Z116" s="932"/>
      <c r="AA116" s="789" t="s">
        <v>835</v>
      </c>
      <c r="AB116" s="715">
        <v>10.8938158043514</v>
      </c>
      <c r="AC116" s="384"/>
      <c r="AD116" s="385"/>
      <c r="AE116" s="384"/>
      <c r="AF116" s="789" t="s">
        <v>835</v>
      </c>
      <c r="AG116" s="715">
        <v>8.2625650315821666</v>
      </c>
      <c r="AH116" s="384"/>
      <c r="AI116" s="385"/>
      <c r="AJ116" s="384"/>
      <c r="AK116" s="789" t="s">
        <v>835</v>
      </c>
      <c r="AL116" s="715">
        <v>10.908227365486242</v>
      </c>
      <c r="AM116" s="384"/>
      <c r="AN116" s="385"/>
      <c r="AO116" s="384"/>
      <c r="AP116" s="789" t="s">
        <v>835</v>
      </c>
      <c r="AQ116" s="715">
        <v>8.3378938823823781</v>
      </c>
      <c r="AR116" s="384"/>
      <c r="AS116" s="385"/>
      <c r="AT116" s="384"/>
      <c r="AU116" s="789" t="s">
        <v>835</v>
      </c>
      <c r="AV116" s="715">
        <v>10.994317480686483</v>
      </c>
      <c r="AW116" s="384"/>
      <c r="AX116" s="385"/>
      <c r="AY116" s="384"/>
      <c r="AZ116" s="789" t="s">
        <v>835</v>
      </c>
      <c r="BA116" s="715">
        <v>8.3181401749298676</v>
      </c>
      <c r="BB116" s="384"/>
      <c r="BC116" s="385"/>
      <c r="BD116" s="384"/>
      <c r="BE116" s="789" t="s">
        <v>835</v>
      </c>
      <c r="BF116" s="715">
        <v>10.971741815026469</v>
      </c>
      <c r="BG116" s="384"/>
      <c r="BH116" s="385"/>
      <c r="BI116" s="384"/>
      <c r="BJ116" s="789" t="s">
        <v>835</v>
      </c>
      <c r="BK116" s="715">
        <v>7.6772985582917919</v>
      </c>
      <c r="BL116" s="384"/>
      <c r="BM116" s="385"/>
      <c r="BN116" s="384"/>
      <c r="BO116" s="789" t="s">
        <v>835</v>
      </c>
      <c r="BP116" s="715">
        <v>10.239351396011527</v>
      </c>
      <c r="BQ116" s="384"/>
      <c r="BR116" s="385"/>
      <c r="BS116" s="384"/>
      <c r="BT116" s="789" t="s">
        <v>835</v>
      </c>
      <c r="BU116" s="715">
        <v>7.9870928728891926</v>
      </c>
      <c r="BV116" s="384"/>
      <c r="BW116" s="385"/>
      <c r="BX116" s="384"/>
      <c r="BY116" s="789" t="s">
        <v>835</v>
      </c>
      <c r="BZ116" s="715">
        <v>10.5934020412657</v>
      </c>
      <c r="CA116" s="384"/>
      <c r="CB116" s="385"/>
      <c r="CC116" s="384"/>
      <c r="CD116" s="789" t="s">
        <v>835</v>
      </c>
      <c r="CE116" s="715">
        <v>6.0183779748364579</v>
      </c>
      <c r="CF116" s="384"/>
      <c r="CG116" s="385"/>
      <c r="CI116" s="789" t="s">
        <v>835</v>
      </c>
      <c r="CJ116" s="715">
        <v>9.0617255754594304</v>
      </c>
      <c r="CK116" s="384"/>
      <c r="CL116" s="385"/>
      <c r="CN116" s="789" t="s">
        <v>835</v>
      </c>
      <c r="CO116" s="1038" cm="1">
        <f t="array" ref="CO116">1/($CQ$8/INDEX(116:116, $CQ$10) + (1-$CQ$8)/INDEX(116:116, $CQ$11))</f>
        <v>10.741508873614194</v>
      </c>
      <c r="CP116" s="384"/>
      <c r="CQ116" s="385"/>
      <c r="CT116" s="384"/>
    </row>
    <row r="117" spans="1:98" x14ac:dyDescent="0.3">
      <c r="A117" s="380"/>
      <c r="B117" s="762" t="s">
        <v>836</v>
      </c>
      <c r="C117" s="749">
        <f t="shared" si="2"/>
        <v>11.544033354720808</v>
      </c>
      <c r="D117" s="743" cm="1">
        <f t="array" ref="D117">IF(INDEX(117:117,$E$2)="","", INDEX(117:117, $E$2))</f>
        <v>11.544033354720808</v>
      </c>
      <c r="E117" s="740"/>
      <c r="F117" s="769"/>
      <c r="L117" s="789" t="s">
        <v>837</v>
      </c>
      <c r="M117" s="390">
        <f>M116*1.05</f>
        <v>8.607399549704521</v>
      </c>
      <c r="N117" s="384"/>
      <c r="O117" s="385"/>
      <c r="Q117" s="789" t="s">
        <v>837</v>
      </c>
      <c r="R117" s="390">
        <f>R116*1.05</f>
        <v>11.37558875266712</v>
      </c>
      <c r="S117" s="384"/>
      <c r="T117" s="385"/>
      <c r="U117" s="932"/>
      <c r="V117" s="789" t="s">
        <v>837</v>
      </c>
      <c r="W117" s="390">
        <f>W116*1.05</f>
        <v>8.6624526613686399</v>
      </c>
      <c r="X117" s="384"/>
      <c r="Y117" s="385"/>
      <c r="Z117" s="932"/>
      <c r="AA117" s="789" t="s">
        <v>837</v>
      </c>
      <c r="AB117" s="390">
        <f>AB116*1.05</f>
        <v>11.43850659456897</v>
      </c>
      <c r="AC117" s="384"/>
      <c r="AD117" s="385"/>
      <c r="AE117" s="384"/>
      <c r="AF117" s="789" t="s">
        <v>837</v>
      </c>
      <c r="AG117" s="390">
        <f>AG116*1.05</f>
        <v>8.6756932831612747</v>
      </c>
      <c r="AH117" s="384"/>
      <c r="AI117" s="385"/>
      <c r="AJ117" s="384"/>
      <c r="AK117" s="789" t="s">
        <v>837</v>
      </c>
      <c r="AL117" s="390">
        <f>AL116*1.05</f>
        <v>11.453638733760554</v>
      </c>
      <c r="AM117" s="384"/>
      <c r="AN117" s="385"/>
      <c r="AO117" s="384"/>
      <c r="AP117" s="789" t="s">
        <v>837</v>
      </c>
      <c r="AQ117" s="390">
        <f>AQ116*1.05</f>
        <v>8.7547885765014968</v>
      </c>
      <c r="AR117" s="384"/>
      <c r="AS117" s="385"/>
      <c r="AT117" s="384"/>
      <c r="AU117" s="789" t="s">
        <v>837</v>
      </c>
      <c r="AV117" s="390">
        <f>AV116*1.05</f>
        <v>11.544033354720808</v>
      </c>
      <c r="AW117" s="384"/>
      <c r="AX117" s="385"/>
      <c r="AY117" s="384"/>
      <c r="AZ117" s="789" t="s">
        <v>837</v>
      </c>
      <c r="BA117" s="390">
        <f>BA116*1.05</f>
        <v>8.7340471836763616</v>
      </c>
      <c r="BB117" s="384"/>
      <c r="BC117" s="385"/>
      <c r="BD117" s="384"/>
      <c r="BE117" s="789" t="s">
        <v>837</v>
      </c>
      <c r="BF117" s="390">
        <f>BF116*1.05</f>
        <v>11.520328905777793</v>
      </c>
      <c r="BG117" s="384"/>
      <c r="BH117" s="385"/>
      <c r="BI117" s="384"/>
      <c r="BJ117" s="789" t="s">
        <v>837</v>
      </c>
      <c r="BK117" s="390">
        <f>BK116*1.05</f>
        <v>8.0611634862063823</v>
      </c>
      <c r="BL117" s="384"/>
      <c r="BM117" s="385"/>
      <c r="BN117" s="384"/>
      <c r="BO117" s="789" t="s">
        <v>837</v>
      </c>
      <c r="BP117" s="390">
        <f>BP116*1.05</f>
        <v>10.751318965812104</v>
      </c>
      <c r="BQ117" s="384"/>
      <c r="BR117" s="385"/>
      <c r="BS117" s="384"/>
      <c r="BT117" s="789" t="s">
        <v>837</v>
      </c>
      <c r="BU117" s="390">
        <f>BU116*1.05</f>
        <v>8.3864475165336518</v>
      </c>
      <c r="BV117" s="384"/>
      <c r="BW117" s="385"/>
      <c r="BX117" s="384"/>
      <c r="BY117" s="789" t="s">
        <v>837</v>
      </c>
      <c r="BZ117" s="390">
        <f>BZ116*1.05</f>
        <v>11.123072143328985</v>
      </c>
      <c r="CA117" s="384"/>
      <c r="CB117" s="385"/>
      <c r="CC117" s="384"/>
      <c r="CD117" s="789" t="s">
        <v>837</v>
      </c>
      <c r="CE117" s="390">
        <f>CE116*1.05</f>
        <v>6.3192968735782813</v>
      </c>
      <c r="CF117" s="384"/>
      <c r="CG117" s="385"/>
      <c r="CI117" s="789" t="s">
        <v>837</v>
      </c>
      <c r="CJ117" s="390">
        <f>CJ116*1.05</f>
        <v>9.5148118542324021</v>
      </c>
      <c r="CK117" s="384"/>
      <c r="CL117" s="385"/>
      <c r="CN117" s="789" t="s">
        <v>837</v>
      </c>
      <c r="CO117" s="1038" cm="1">
        <f t="array" ref="CO117">1/($CQ$8/INDEX(117:117, $CQ$10) + (1-$CQ$8)/INDEX(117:117, $CQ$11))</f>
        <v>11.278584317294904</v>
      </c>
      <c r="CP117" s="384"/>
      <c r="CQ117" s="385"/>
      <c r="CT117" s="384"/>
    </row>
    <row r="118" spans="1:98" x14ac:dyDescent="0.3">
      <c r="A118" s="380"/>
      <c r="B118" s="762"/>
      <c r="C118" s="749"/>
      <c r="D118" s="743"/>
      <c r="E118" s="740"/>
      <c r="F118" s="769"/>
      <c r="L118" s="789"/>
      <c r="M118" s="384"/>
      <c r="N118" s="384"/>
      <c r="O118" s="385"/>
      <c r="Q118" s="789"/>
      <c r="R118" s="384"/>
      <c r="S118" s="384"/>
      <c r="T118" s="385"/>
      <c r="U118" s="932"/>
      <c r="V118" s="789"/>
      <c r="W118" s="715"/>
      <c r="X118" s="384"/>
      <c r="Y118" s="385"/>
      <c r="Z118" s="932"/>
      <c r="AA118" s="789"/>
      <c r="AB118" s="715"/>
      <c r="AC118" s="384"/>
      <c r="AD118" s="385"/>
      <c r="AE118" s="384"/>
      <c r="AF118" s="789"/>
      <c r="AG118" s="384"/>
      <c r="AH118" s="384"/>
      <c r="AI118" s="385"/>
      <c r="AJ118" s="384"/>
      <c r="AK118" s="789"/>
      <c r="AL118" s="384"/>
      <c r="AM118" s="384"/>
      <c r="AN118" s="385"/>
      <c r="AO118" s="384"/>
      <c r="AP118" s="789"/>
      <c r="AQ118" s="384"/>
      <c r="AR118" s="384"/>
      <c r="AS118" s="385"/>
      <c r="AT118" s="384"/>
      <c r="AU118" s="789"/>
      <c r="AV118" s="384"/>
      <c r="AW118" s="384"/>
      <c r="AX118" s="385"/>
      <c r="AY118" s="384"/>
      <c r="AZ118" s="789"/>
      <c r="BA118" s="384"/>
      <c r="BB118" s="384"/>
      <c r="BC118" s="385"/>
      <c r="BD118" s="384"/>
      <c r="BE118" s="789"/>
      <c r="BF118" s="384"/>
      <c r="BG118" s="384"/>
      <c r="BH118" s="385"/>
      <c r="BI118" s="384"/>
      <c r="BJ118" s="789"/>
      <c r="BK118" s="384"/>
      <c r="BL118" s="384"/>
      <c r="BM118" s="385"/>
      <c r="BN118" s="384"/>
      <c r="BO118" s="789"/>
      <c r="BP118" s="384"/>
      <c r="BQ118" s="384"/>
      <c r="BR118" s="385"/>
      <c r="BS118" s="384"/>
      <c r="BT118" s="789"/>
      <c r="BU118" s="384"/>
      <c r="BV118" s="384"/>
      <c r="BW118" s="385"/>
      <c r="BX118" s="384"/>
      <c r="BY118" s="789"/>
      <c r="BZ118" s="384"/>
      <c r="CA118" s="384"/>
      <c r="CB118" s="385"/>
      <c r="CC118" s="384"/>
      <c r="CD118" s="789"/>
      <c r="CE118" s="384"/>
      <c r="CF118" s="384"/>
      <c r="CG118" s="385"/>
      <c r="CI118" s="789"/>
      <c r="CJ118" s="384"/>
      <c r="CK118" s="384"/>
      <c r="CL118" s="385"/>
      <c r="CN118" s="789"/>
      <c r="CO118" s="384"/>
      <c r="CP118" s="384"/>
      <c r="CQ118" s="385"/>
      <c r="CT118" s="384"/>
    </row>
    <row r="119" spans="1:98" ht="15.5" x14ac:dyDescent="0.35">
      <c r="A119" s="380"/>
      <c r="B119" s="627" t="s">
        <v>838</v>
      </c>
      <c r="C119" s="749" t="str">
        <f t="shared" si="2"/>
        <v/>
      </c>
      <c r="D119" s="743" t="str" cm="1">
        <f t="array" ref="D119">IF(INDEX(119:119,$E$2)="","", INDEX(119:119, $E$2))</f>
        <v/>
      </c>
      <c r="E119" s="740"/>
      <c r="F119" s="769"/>
      <c r="L119" s="1287" t="s">
        <v>839</v>
      </c>
      <c r="M119" s="384"/>
      <c r="N119" s="384"/>
      <c r="O119" s="385"/>
      <c r="Q119" s="1287" t="s">
        <v>839</v>
      </c>
      <c r="R119" s="384"/>
      <c r="S119" s="384"/>
      <c r="T119" s="385"/>
      <c r="U119" s="932"/>
      <c r="V119" s="1287" t="s">
        <v>839</v>
      </c>
      <c r="W119" s="384"/>
      <c r="X119" s="384"/>
      <c r="Y119" s="385"/>
      <c r="Z119" s="932"/>
      <c r="AA119" s="1287" t="s">
        <v>839</v>
      </c>
      <c r="AB119" s="384"/>
      <c r="AC119" s="384"/>
      <c r="AD119" s="385"/>
      <c r="AE119" s="384"/>
      <c r="AF119" s="1287" t="s">
        <v>839</v>
      </c>
      <c r="AG119" s="384"/>
      <c r="AH119" s="384"/>
      <c r="AI119" s="385"/>
      <c r="AJ119" s="384"/>
      <c r="AK119" s="1287" t="s">
        <v>839</v>
      </c>
      <c r="AL119" s="384"/>
      <c r="AM119" s="384"/>
      <c r="AN119" s="385"/>
      <c r="AO119" s="384"/>
      <c r="AP119" s="1287" t="s">
        <v>839</v>
      </c>
      <c r="AQ119" s="384"/>
      <c r="AR119" s="384"/>
      <c r="AS119" s="385"/>
      <c r="AT119" s="384"/>
      <c r="AU119" s="1287" t="s">
        <v>839</v>
      </c>
      <c r="AV119" s="384"/>
      <c r="AW119" s="384"/>
      <c r="AX119" s="385"/>
      <c r="AY119" s="384"/>
      <c r="AZ119" s="1287" t="s">
        <v>839</v>
      </c>
      <c r="BA119" s="384"/>
      <c r="BB119" s="384"/>
      <c r="BC119" s="385"/>
      <c r="BD119" s="384"/>
      <c r="BE119" s="1287" t="s">
        <v>839</v>
      </c>
      <c r="BF119" s="384"/>
      <c r="BG119" s="384"/>
      <c r="BH119" s="385"/>
      <c r="BI119" s="384"/>
      <c r="BJ119" s="1287" t="s">
        <v>839</v>
      </c>
      <c r="BK119" s="384"/>
      <c r="BL119" s="384"/>
      <c r="BM119" s="385"/>
      <c r="BN119" s="384"/>
      <c r="BO119" s="1287" t="s">
        <v>839</v>
      </c>
      <c r="BP119" s="384"/>
      <c r="BQ119" s="384"/>
      <c r="BR119" s="385"/>
      <c r="BS119" s="384"/>
      <c r="BT119" s="1287" t="s">
        <v>839</v>
      </c>
      <c r="BU119" s="384"/>
      <c r="BV119" s="384"/>
      <c r="BW119" s="385"/>
      <c r="BX119" s="384"/>
      <c r="BY119" s="1287" t="s">
        <v>839</v>
      </c>
      <c r="BZ119" s="384"/>
      <c r="CA119" s="384"/>
      <c r="CB119" s="385"/>
      <c r="CC119" s="384"/>
      <c r="CD119" s="1287" t="s">
        <v>839</v>
      </c>
      <c r="CE119" s="384"/>
      <c r="CF119" s="384"/>
      <c r="CG119" s="385"/>
      <c r="CI119" s="1287" t="s">
        <v>839</v>
      </c>
      <c r="CJ119" s="384"/>
      <c r="CK119" s="384"/>
      <c r="CL119" s="385"/>
      <c r="CN119" s="1287" t="s">
        <v>839</v>
      </c>
      <c r="CO119" s="384"/>
      <c r="CP119" s="384"/>
      <c r="CQ119" s="385"/>
      <c r="CT119" s="384"/>
    </row>
    <row r="120" spans="1:98" x14ac:dyDescent="0.3">
      <c r="A120" s="380"/>
      <c r="B120" s="491" t="s">
        <v>840</v>
      </c>
      <c r="C120" s="749">
        <f t="shared" si="2"/>
        <v>47.332309685021833</v>
      </c>
      <c r="D120" s="743" cm="1">
        <f t="array" ref="D120">IF(INDEX(120:120,$E$2)="","", INDEX(120:120, $E$2))</f>
        <v>47.332309685021833</v>
      </c>
      <c r="E120" s="1362"/>
      <c r="F120" s="769"/>
      <c r="L120" s="425" t="s">
        <v>841</v>
      </c>
      <c r="M120" s="390">
        <f>M121*1.7</f>
        <v>35.492523875995012</v>
      </c>
      <c r="N120" s="384"/>
      <c r="O120" s="385"/>
      <c r="Q120" s="425" t="s">
        <v>841</v>
      </c>
      <c r="R120" s="390">
        <f>R121*1.7</f>
        <v>46.923229937177162</v>
      </c>
      <c r="S120" s="384"/>
      <c r="T120" s="385"/>
      <c r="U120" s="932"/>
      <c r="V120" s="425" t="s">
        <v>841</v>
      </c>
      <c r="W120" s="390">
        <f>W121*1.7</f>
        <v>35.62622429003644</v>
      </c>
      <c r="X120" s="384"/>
      <c r="Y120" s="385"/>
      <c r="Z120" s="932"/>
      <c r="AA120" s="425" t="s">
        <v>841</v>
      </c>
      <c r="AB120" s="390">
        <f>AB121*1.7</f>
        <v>47.07603041036738</v>
      </c>
      <c r="AC120" s="384"/>
      <c r="AD120" s="385"/>
      <c r="AE120" s="384"/>
      <c r="AF120" s="425" t="s">
        <v>841</v>
      </c>
      <c r="AG120" s="390">
        <f>AG121*1.7</f>
        <v>35.658380085818564</v>
      </c>
      <c r="AH120" s="384"/>
      <c r="AI120" s="385"/>
      <c r="AJ120" s="384"/>
      <c r="AK120" s="425" t="s">
        <v>841</v>
      </c>
      <c r="AL120" s="390">
        <f>AL121*1.7</f>
        <v>47.112779891261219</v>
      </c>
      <c r="AM120" s="384"/>
      <c r="AN120" s="385"/>
      <c r="AO120" s="384"/>
      <c r="AP120" s="425" t="s">
        <v>841</v>
      </c>
      <c r="AQ120" s="390">
        <f>AQ121*1.7</f>
        <v>35.850468655359101</v>
      </c>
      <c r="AR120" s="384"/>
      <c r="AS120" s="385"/>
      <c r="AT120" s="384"/>
      <c r="AU120" s="425" t="s">
        <v>841</v>
      </c>
      <c r="AV120" s="390">
        <f>AV121*1.7</f>
        <v>47.332309685021833</v>
      </c>
      <c r="AW120" s="384"/>
      <c r="AX120" s="385"/>
      <c r="AY120" s="384"/>
      <c r="AZ120" s="425" t="s">
        <v>841</v>
      </c>
      <c r="BA120" s="390">
        <f>BA121*1.7</f>
        <v>35.800096701355194</v>
      </c>
      <c r="BB120" s="384"/>
      <c r="BC120" s="385"/>
      <c r="BD120" s="384"/>
      <c r="BE120" s="425" t="s">
        <v>841</v>
      </c>
      <c r="BF120" s="390">
        <f>BF121*1.7</f>
        <v>47.274741737588812</v>
      </c>
      <c r="BG120" s="384"/>
      <c r="BH120" s="385"/>
      <c r="BI120" s="384"/>
      <c r="BJ120" s="425" t="s">
        <v>841</v>
      </c>
      <c r="BK120" s="390">
        <f>BK121*1.7</f>
        <v>34.165950578928104</v>
      </c>
      <c r="BL120" s="384"/>
      <c r="BM120" s="385"/>
      <c r="BN120" s="384"/>
      <c r="BO120" s="425" t="s">
        <v>841</v>
      </c>
      <c r="BP120" s="390">
        <f>BP121*1.7</f>
        <v>45.407146169100699</v>
      </c>
      <c r="BQ120" s="384"/>
      <c r="BR120" s="385"/>
      <c r="BS120" s="384"/>
      <c r="BT120" s="425" t="s">
        <v>841</v>
      </c>
      <c r="BU120" s="390">
        <f>BU121*1.7</f>
        <v>34.955926081151475</v>
      </c>
      <c r="BV120" s="384"/>
      <c r="BW120" s="385"/>
      <c r="BX120" s="384"/>
      <c r="BY120" s="425" t="s">
        <v>841</v>
      </c>
      <c r="BZ120" s="390">
        <f>BZ121*1.7</f>
        <v>46.309975314498843</v>
      </c>
      <c r="CA120" s="384"/>
      <c r="CB120" s="385"/>
      <c r="CC120" s="384"/>
      <c r="CD120" s="425" t="s">
        <v>841</v>
      </c>
      <c r="CE120" s="390">
        <f>CE121*1.7</f>
        <v>29.935703091117002</v>
      </c>
      <c r="CF120" s="384"/>
      <c r="CG120" s="385"/>
      <c r="CI120" s="425" t="s">
        <v>841</v>
      </c>
      <c r="CJ120" s="390">
        <f>CJ121*1.7</f>
        <v>42.404200326692859</v>
      </c>
      <c r="CK120" s="384"/>
      <c r="CL120" s="385"/>
      <c r="CN120" s="425" t="s">
        <v>841</v>
      </c>
      <c r="CO120" s="1038" cm="1">
        <f t="array" ref="CO120">1/($CQ$8/INDEX(120:120, $CQ$10) + (1-$CQ$8)/INDEX(120:120, $CQ$11))</f>
        <v>46.689860847709639</v>
      </c>
      <c r="CP120" s="384"/>
      <c r="CQ120" s="385"/>
      <c r="CT120" s="384"/>
    </row>
    <row r="121" spans="1:98" x14ac:dyDescent="0.3">
      <c r="A121" s="380"/>
      <c r="B121" s="491" t="s">
        <v>842</v>
      </c>
      <c r="C121" s="749">
        <f t="shared" si="2"/>
        <v>27.842535108836373</v>
      </c>
      <c r="D121" s="743" cm="1">
        <f t="array" ref="D121">IF(INDEX(121:121,$E$2)="","", INDEX(121:121, $E$2))</f>
        <v>27.842535108836373</v>
      </c>
      <c r="E121" s="1362"/>
      <c r="F121" s="769"/>
      <c r="L121" s="425" t="s">
        <v>843</v>
      </c>
      <c r="M121" s="390">
        <f>M122*1.5</f>
        <v>20.877955221173536</v>
      </c>
      <c r="N121" s="384"/>
      <c r="O121" s="385"/>
      <c r="Q121" s="425" t="s">
        <v>843</v>
      </c>
      <c r="R121" s="390">
        <f>R122*1.5</f>
        <v>27.601899963045391</v>
      </c>
      <c r="S121" s="384"/>
      <c r="T121" s="385"/>
      <c r="U121" s="932"/>
      <c r="V121" s="425" t="s">
        <v>843</v>
      </c>
      <c r="W121" s="390">
        <f>W122*1.5</f>
        <v>20.956602523550849</v>
      </c>
      <c r="X121" s="384"/>
      <c r="Y121" s="385"/>
      <c r="Z121" s="932"/>
      <c r="AA121" s="425" t="s">
        <v>843</v>
      </c>
      <c r="AB121" s="390">
        <f>AB122*1.5</f>
        <v>27.691782594333752</v>
      </c>
      <c r="AC121" s="384"/>
      <c r="AD121" s="385"/>
      <c r="AE121" s="384"/>
      <c r="AF121" s="425" t="s">
        <v>843</v>
      </c>
      <c r="AG121" s="390">
        <f>AG122*1.5</f>
        <v>20.975517697540333</v>
      </c>
      <c r="AH121" s="384"/>
      <c r="AI121" s="385"/>
      <c r="AJ121" s="384"/>
      <c r="AK121" s="425" t="s">
        <v>843</v>
      </c>
      <c r="AL121" s="390">
        <f>AL122*1.5</f>
        <v>27.713399936036012</v>
      </c>
      <c r="AM121" s="384"/>
      <c r="AN121" s="385"/>
      <c r="AO121" s="384"/>
      <c r="AP121" s="425" t="s">
        <v>843</v>
      </c>
      <c r="AQ121" s="390">
        <f>AQ122*1.5</f>
        <v>21.088510973740647</v>
      </c>
      <c r="AR121" s="384"/>
      <c r="AS121" s="385"/>
      <c r="AT121" s="384"/>
      <c r="AU121" s="425" t="s">
        <v>843</v>
      </c>
      <c r="AV121" s="390">
        <f>AV122*1.5</f>
        <v>27.842535108836373</v>
      </c>
      <c r="AW121" s="384"/>
      <c r="AX121" s="385"/>
      <c r="AY121" s="384"/>
      <c r="AZ121" s="425" t="s">
        <v>843</v>
      </c>
      <c r="BA121" s="390">
        <f>BA122*1.5</f>
        <v>21.05888041256188</v>
      </c>
      <c r="BB121" s="384"/>
      <c r="BC121" s="385"/>
      <c r="BD121" s="384"/>
      <c r="BE121" s="425" t="s">
        <v>843</v>
      </c>
      <c r="BF121" s="390">
        <f>BF122*1.5</f>
        <v>27.808671610346359</v>
      </c>
      <c r="BG121" s="384"/>
      <c r="BH121" s="385"/>
      <c r="BI121" s="384"/>
      <c r="BJ121" s="425" t="s">
        <v>843</v>
      </c>
      <c r="BK121" s="390">
        <f>BK122*1.5</f>
        <v>20.097617987604767</v>
      </c>
      <c r="BL121" s="384"/>
      <c r="BM121" s="385"/>
      <c r="BN121" s="384"/>
      <c r="BO121" s="425" t="s">
        <v>843</v>
      </c>
      <c r="BP121" s="390">
        <f>BP122*1.5</f>
        <v>26.710085981823941</v>
      </c>
      <c r="BQ121" s="384"/>
      <c r="BR121" s="385"/>
      <c r="BS121" s="384"/>
      <c r="BT121" s="425" t="s">
        <v>843</v>
      </c>
      <c r="BU121" s="390">
        <f>BU122*1.5</f>
        <v>20.562309459500867</v>
      </c>
      <c r="BV121" s="384"/>
      <c r="BW121" s="385"/>
      <c r="BX121" s="384"/>
      <c r="BY121" s="425" t="s">
        <v>843</v>
      </c>
      <c r="BZ121" s="390">
        <f>BZ122*1.5</f>
        <v>27.241161949705202</v>
      </c>
      <c r="CA121" s="384"/>
      <c r="CB121" s="385"/>
      <c r="CC121" s="384"/>
      <c r="CD121" s="425" t="s">
        <v>843</v>
      </c>
      <c r="CE121" s="390">
        <f>CE122*1.5</f>
        <v>17.609237112421766</v>
      </c>
      <c r="CF121" s="384"/>
      <c r="CG121" s="385"/>
      <c r="CI121" s="425" t="s">
        <v>843</v>
      </c>
      <c r="CJ121" s="390">
        <f>CJ122*1.5</f>
        <v>24.943647250995799</v>
      </c>
      <c r="CK121" s="384"/>
      <c r="CL121" s="385"/>
      <c r="CN121" s="425" t="s">
        <v>843</v>
      </c>
      <c r="CO121" s="1038" cm="1">
        <f t="array" ref="CO121">1/($CQ$8/INDEX(121:121, $CQ$10) + (1-$CQ$8)/INDEX(121:121, $CQ$11))</f>
        <v>27.464624028064495</v>
      </c>
      <c r="CP121" s="384"/>
      <c r="CQ121" s="385"/>
      <c r="CT121" s="384"/>
    </row>
    <row r="122" spans="1:98" x14ac:dyDescent="0.3">
      <c r="A122" s="380"/>
      <c r="B122" s="491" t="s">
        <v>844</v>
      </c>
      <c r="C122" s="749">
        <f t="shared" si="2"/>
        <v>18.561690072557582</v>
      </c>
      <c r="D122" s="743" cm="1">
        <f t="array" ref="D122">IF(INDEX(122:122,$E$2)="","", INDEX(122:122, $E$2))</f>
        <v>18.561690072557582</v>
      </c>
      <c r="E122" s="740"/>
      <c r="F122" s="769"/>
      <c r="L122" s="425" t="s">
        <v>845</v>
      </c>
      <c r="M122" s="715">
        <v>13.918636814115692</v>
      </c>
      <c r="N122" s="384"/>
      <c r="O122" s="385"/>
      <c r="Q122" s="425" t="s">
        <v>845</v>
      </c>
      <c r="R122" s="715">
        <v>18.401266642030262</v>
      </c>
      <c r="S122" s="384"/>
      <c r="T122" s="385"/>
      <c r="U122" s="932"/>
      <c r="V122" s="425" t="s">
        <v>845</v>
      </c>
      <c r="W122" s="715">
        <v>13.971068349033899</v>
      </c>
      <c r="X122" s="384"/>
      <c r="Y122" s="385"/>
      <c r="Z122" s="932"/>
      <c r="AA122" s="425" t="s">
        <v>845</v>
      </c>
      <c r="AB122" s="715">
        <v>18.4611883962225</v>
      </c>
      <c r="AC122" s="384"/>
      <c r="AD122" s="385"/>
      <c r="AE122" s="384"/>
      <c r="AF122" s="425" t="s">
        <v>845</v>
      </c>
      <c r="AG122" s="715">
        <v>13.983678465026887</v>
      </c>
      <c r="AH122" s="384"/>
      <c r="AI122" s="385"/>
      <c r="AJ122" s="384"/>
      <c r="AK122" s="425" t="s">
        <v>845</v>
      </c>
      <c r="AL122" s="715">
        <v>18.475599957357343</v>
      </c>
      <c r="AM122" s="384"/>
      <c r="AN122" s="385"/>
      <c r="AO122" s="384"/>
      <c r="AP122" s="425" t="s">
        <v>845</v>
      </c>
      <c r="AQ122" s="715">
        <v>14.059007315827097</v>
      </c>
      <c r="AR122" s="384"/>
      <c r="AS122" s="385"/>
      <c r="AT122" s="384"/>
      <c r="AU122" s="425" t="s">
        <v>845</v>
      </c>
      <c r="AV122" s="715">
        <v>18.561690072557582</v>
      </c>
      <c r="AW122" s="384"/>
      <c r="AX122" s="385"/>
      <c r="AY122" s="384"/>
      <c r="AZ122" s="425" t="s">
        <v>845</v>
      </c>
      <c r="BA122" s="715">
        <v>14.039253608374587</v>
      </c>
      <c r="BB122" s="384"/>
      <c r="BC122" s="385"/>
      <c r="BD122" s="384"/>
      <c r="BE122" s="425" t="s">
        <v>845</v>
      </c>
      <c r="BF122" s="715">
        <v>18.539114406897571</v>
      </c>
      <c r="BG122" s="384"/>
      <c r="BH122" s="385"/>
      <c r="BI122" s="384"/>
      <c r="BJ122" s="425" t="s">
        <v>845</v>
      </c>
      <c r="BK122" s="715">
        <v>13.398411991736511</v>
      </c>
      <c r="BL122" s="384"/>
      <c r="BM122" s="385"/>
      <c r="BN122" s="384"/>
      <c r="BO122" s="425" t="s">
        <v>845</v>
      </c>
      <c r="BP122" s="715">
        <v>17.806723987882627</v>
      </c>
      <c r="BQ122" s="384"/>
      <c r="BR122" s="385"/>
      <c r="BS122" s="384"/>
      <c r="BT122" s="425" t="s">
        <v>845</v>
      </c>
      <c r="BU122" s="715">
        <v>13.708206306333912</v>
      </c>
      <c r="BV122" s="384"/>
      <c r="BW122" s="385"/>
      <c r="BX122" s="384"/>
      <c r="BY122" s="425" t="s">
        <v>845</v>
      </c>
      <c r="BZ122" s="715">
        <v>18.1607746331368</v>
      </c>
      <c r="CA122" s="384"/>
      <c r="CB122" s="385"/>
      <c r="CC122" s="384"/>
      <c r="CD122" s="425" t="s">
        <v>845</v>
      </c>
      <c r="CE122" s="715">
        <v>11.739491408281177</v>
      </c>
      <c r="CF122" s="384"/>
      <c r="CG122" s="385"/>
      <c r="CI122" s="425" t="s">
        <v>845</v>
      </c>
      <c r="CJ122" s="715">
        <v>16.629098167330532</v>
      </c>
      <c r="CK122" s="384"/>
      <c r="CL122" s="385"/>
      <c r="CN122" s="425" t="s">
        <v>845</v>
      </c>
      <c r="CO122" s="1038" cm="1">
        <f t="array" ref="CO122">1/($CQ$8/INDEX(122:122, $CQ$10) + (1-$CQ$8)/INDEX(122:122, $CQ$11))</f>
        <v>18.309749352042996</v>
      </c>
      <c r="CP122" s="384"/>
      <c r="CQ122" s="385"/>
      <c r="CT122" s="384"/>
    </row>
    <row r="123" spans="1:98" x14ac:dyDescent="0.3">
      <c r="A123" s="380"/>
      <c r="B123" s="491" t="s">
        <v>846</v>
      </c>
      <c r="C123" s="749">
        <f t="shared" si="2"/>
        <v>16.029534188676081</v>
      </c>
      <c r="D123" s="743" cm="1">
        <f t="array" ref="D123">IF(INDEX(123:123,$E$2)="","", INDEX(123:123, $E$2))</f>
        <v>16.029534188676081</v>
      </c>
      <c r="E123" s="1361"/>
      <c r="F123" s="769"/>
      <c r="L123" s="425" t="s">
        <v>847</v>
      </c>
      <c r="M123" s="715">
        <v>12.286038904733392</v>
      </c>
      <c r="N123" s="384"/>
      <c r="O123" s="385"/>
      <c r="Q123" s="425" t="s">
        <v>847</v>
      </c>
      <c r="R123" s="715">
        <v>15.869110758148761</v>
      </c>
      <c r="S123" s="384"/>
      <c r="T123" s="385"/>
      <c r="U123" s="932"/>
      <c r="V123" s="425" t="s">
        <v>847</v>
      </c>
      <c r="W123" s="715">
        <v>12.3384704396516</v>
      </c>
      <c r="X123" s="384"/>
      <c r="Y123" s="385"/>
      <c r="Z123" s="932"/>
      <c r="AA123" s="425" t="s">
        <v>847</v>
      </c>
      <c r="AB123" s="715">
        <v>15.929032512340999</v>
      </c>
      <c r="AC123" s="384"/>
      <c r="AD123" s="385"/>
      <c r="AE123" s="384"/>
      <c r="AF123" s="425" t="s">
        <v>847</v>
      </c>
      <c r="AG123" s="715">
        <v>12.351080555644586</v>
      </c>
      <c r="AH123" s="384"/>
      <c r="AI123" s="385"/>
      <c r="AJ123" s="384"/>
      <c r="AK123" s="425" t="s">
        <v>847</v>
      </c>
      <c r="AL123" s="715">
        <v>15.943444073475842</v>
      </c>
      <c r="AM123" s="384"/>
      <c r="AN123" s="385"/>
      <c r="AO123" s="384"/>
      <c r="AP123" s="425" t="s">
        <v>847</v>
      </c>
      <c r="AQ123" s="715">
        <v>12.426409406444797</v>
      </c>
      <c r="AR123" s="384"/>
      <c r="AS123" s="385"/>
      <c r="AT123" s="384"/>
      <c r="AU123" s="425" t="s">
        <v>847</v>
      </c>
      <c r="AV123" s="715">
        <v>16.029534188676081</v>
      </c>
      <c r="AW123" s="384"/>
      <c r="AX123" s="385"/>
      <c r="AY123" s="384"/>
      <c r="AZ123" s="425" t="s">
        <v>847</v>
      </c>
      <c r="BA123" s="715">
        <v>12.406655698992287</v>
      </c>
      <c r="BB123" s="384"/>
      <c r="BC123" s="385"/>
      <c r="BD123" s="384"/>
      <c r="BE123" s="425" t="s">
        <v>847</v>
      </c>
      <c r="BF123" s="715">
        <v>16.00695852301607</v>
      </c>
      <c r="BG123" s="384"/>
      <c r="BH123" s="385"/>
      <c r="BI123" s="384"/>
      <c r="BJ123" s="425" t="s">
        <v>847</v>
      </c>
      <c r="BK123" s="715">
        <v>11.765814082354211</v>
      </c>
      <c r="BL123" s="384"/>
      <c r="BM123" s="385"/>
      <c r="BN123" s="384"/>
      <c r="BO123" s="425" t="s">
        <v>847</v>
      </c>
      <c r="BP123" s="715">
        <v>15.274568104001126</v>
      </c>
      <c r="BQ123" s="384"/>
      <c r="BR123" s="385"/>
      <c r="BS123" s="384"/>
      <c r="BT123" s="425" t="s">
        <v>847</v>
      </c>
      <c r="BU123" s="715">
        <v>12.075608396951612</v>
      </c>
      <c r="BV123" s="384"/>
      <c r="BW123" s="385"/>
      <c r="BX123" s="384"/>
      <c r="BY123" s="425" t="s">
        <v>847</v>
      </c>
      <c r="BZ123" s="715">
        <v>15.628618749255299</v>
      </c>
      <c r="CA123" s="384"/>
      <c r="CB123" s="385"/>
      <c r="CC123" s="384"/>
      <c r="CD123" s="425" t="s">
        <v>847</v>
      </c>
      <c r="CE123" s="715">
        <v>10.106893498898877</v>
      </c>
      <c r="CF123" s="384"/>
      <c r="CG123" s="385"/>
      <c r="CI123" s="425" t="s">
        <v>847</v>
      </c>
      <c r="CJ123" s="715">
        <v>14.09694228344903</v>
      </c>
      <c r="CK123" s="384"/>
      <c r="CL123" s="385"/>
      <c r="CN123" s="425" t="s">
        <v>847</v>
      </c>
      <c r="CO123" s="1038" cm="1">
        <f t="array" ref="CO123">1/($CQ$8/INDEX(123:123, $CQ$10) + (1-$CQ$8)/INDEX(123:123, $CQ$11))</f>
        <v>15.777395733048424</v>
      </c>
      <c r="CP123" s="384"/>
      <c r="CQ123" s="385"/>
      <c r="CT123" s="384"/>
    </row>
    <row r="124" spans="1:98" x14ac:dyDescent="0.3">
      <c r="A124" s="380"/>
      <c r="B124" s="491" t="s">
        <v>848</v>
      </c>
      <c r="C124" s="749">
        <f t="shared" si="2"/>
        <v>14.174706353233283</v>
      </c>
      <c r="D124" s="743" cm="1">
        <f t="array" ref="D124">IF(INDEX(124:124,$E$2)="","", INDEX(124:124, $E$2))</f>
        <v>14.174706353233283</v>
      </c>
      <c r="E124" s="1362"/>
      <c r="F124" s="769"/>
      <c r="L124" s="425" t="s">
        <v>849</v>
      </c>
      <c r="M124" s="715">
        <v>10.294160953317892</v>
      </c>
      <c r="N124" s="384"/>
      <c r="O124" s="385"/>
      <c r="Q124" s="425" t="s">
        <v>849</v>
      </c>
      <c r="R124" s="715">
        <v>14.014282922705961</v>
      </c>
      <c r="S124" s="384"/>
      <c r="T124" s="385"/>
      <c r="U124" s="932"/>
      <c r="V124" s="425" t="s">
        <v>849</v>
      </c>
      <c r="W124" s="715">
        <v>10.3465924882361</v>
      </c>
      <c r="X124" s="384"/>
      <c r="Y124" s="385"/>
      <c r="Z124" s="932"/>
      <c r="AA124" s="425" t="s">
        <v>849</v>
      </c>
      <c r="AB124" s="715">
        <v>14.0742046768982</v>
      </c>
      <c r="AC124" s="384"/>
      <c r="AD124" s="385"/>
      <c r="AE124" s="384"/>
      <c r="AF124" s="425" t="s">
        <v>849</v>
      </c>
      <c r="AG124" s="715">
        <v>10.359202604229086</v>
      </c>
      <c r="AH124" s="384"/>
      <c r="AI124" s="385"/>
      <c r="AJ124" s="384"/>
      <c r="AK124" s="425" t="s">
        <v>849</v>
      </c>
      <c r="AL124" s="715">
        <v>14.088616238033042</v>
      </c>
      <c r="AM124" s="384"/>
      <c r="AN124" s="385"/>
      <c r="AO124" s="384"/>
      <c r="AP124" s="425" t="s">
        <v>849</v>
      </c>
      <c r="AQ124" s="715">
        <v>10.434531455029298</v>
      </c>
      <c r="AR124" s="384"/>
      <c r="AS124" s="385"/>
      <c r="AT124" s="384"/>
      <c r="AU124" s="425" t="s">
        <v>849</v>
      </c>
      <c r="AV124" s="715">
        <v>14.174706353233283</v>
      </c>
      <c r="AW124" s="384"/>
      <c r="AX124" s="385"/>
      <c r="AY124" s="384"/>
      <c r="AZ124" s="425" t="s">
        <v>849</v>
      </c>
      <c r="BA124" s="715">
        <v>10.414777747576787</v>
      </c>
      <c r="BB124" s="384"/>
      <c r="BC124" s="385"/>
      <c r="BD124" s="384"/>
      <c r="BE124" s="425" t="s">
        <v>849</v>
      </c>
      <c r="BF124" s="715">
        <v>14.152130687573269</v>
      </c>
      <c r="BG124" s="384"/>
      <c r="BH124" s="385"/>
      <c r="BI124" s="384"/>
      <c r="BJ124" s="425" t="s">
        <v>849</v>
      </c>
      <c r="BK124" s="715">
        <v>9.7739361309387114</v>
      </c>
      <c r="BL124" s="384"/>
      <c r="BM124" s="385"/>
      <c r="BN124" s="384"/>
      <c r="BO124" s="425" t="s">
        <v>849</v>
      </c>
      <c r="BP124" s="715">
        <v>13.419740268558327</v>
      </c>
      <c r="BQ124" s="384"/>
      <c r="BR124" s="385"/>
      <c r="BS124" s="384"/>
      <c r="BT124" s="425" t="s">
        <v>849</v>
      </c>
      <c r="BU124" s="715">
        <v>10.083730445536112</v>
      </c>
      <c r="BV124" s="384"/>
      <c r="BW124" s="385"/>
      <c r="BX124" s="384"/>
      <c r="BY124" s="425" t="s">
        <v>849</v>
      </c>
      <c r="BZ124" s="715">
        <v>13.773790913812499</v>
      </c>
      <c r="CA124" s="384"/>
      <c r="CB124" s="385"/>
      <c r="CC124" s="384"/>
      <c r="CD124" s="425" t="s">
        <v>849</v>
      </c>
      <c r="CE124" s="715">
        <v>8.1150155474833774</v>
      </c>
      <c r="CF124" s="384"/>
      <c r="CG124" s="385"/>
      <c r="CI124" s="425" t="s">
        <v>849</v>
      </c>
      <c r="CJ124" s="715">
        <v>12.24211444800623</v>
      </c>
      <c r="CK124" s="384"/>
      <c r="CL124" s="385"/>
      <c r="CN124" s="425" t="s">
        <v>849</v>
      </c>
      <c r="CO124" s="1038" cm="1">
        <f t="array" ref="CO124">1/($CQ$8/INDEX(124:124, $CQ$10) + (1-$CQ$8)/INDEX(124:124, $CQ$11))</f>
        <v>13.922377419684912</v>
      </c>
      <c r="CP124" s="384"/>
      <c r="CQ124" s="385"/>
      <c r="CT124" s="384"/>
    </row>
    <row r="125" spans="1:98" x14ac:dyDescent="0.3">
      <c r="A125" s="380"/>
      <c r="B125" s="491" t="s">
        <v>850</v>
      </c>
      <c r="C125" s="749">
        <f t="shared" si="2"/>
        <v>14.591694972057583</v>
      </c>
      <c r="D125" s="743" cm="1">
        <f t="array" ref="D125">IF(INDEX(125:125,$E$2)="","", INDEX(125:125, $E$2))</f>
        <v>14.591694972057583</v>
      </c>
      <c r="E125" s="1362"/>
      <c r="F125" s="769"/>
      <c r="L125" s="425" t="s">
        <v>851</v>
      </c>
      <c r="M125" s="786">
        <v>10.346914886256192</v>
      </c>
      <c r="N125" s="384"/>
      <c r="O125" s="385"/>
      <c r="Q125" s="425" t="s">
        <v>851</v>
      </c>
      <c r="R125" s="786">
        <v>14.431271541530261</v>
      </c>
      <c r="S125" s="384"/>
      <c r="T125" s="385"/>
      <c r="U125" s="932"/>
      <c r="V125" s="425" t="s">
        <v>851</v>
      </c>
      <c r="W125" s="786">
        <v>10.3993464211744</v>
      </c>
      <c r="X125" s="384"/>
      <c r="Y125" s="385"/>
      <c r="Z125" s="932"/>
      <c r="AA125" s="425" t="s">
        <v>851</v>
      </c>
      <c r="AB125" s="786">
        <v>14.4911932957225</v>
      </c>
      <c r="AC125" s="384"/>
      <c r="AD125" s="385"/>
      <c r="AE125" s="384"/>
      <c r="AF125" s="425" t="s">
        <v>851</v>
      </c>
      <c r="AG125" s="786">
        <v>10.411956537167388</v>
      </c>
      <c r="AH125" s="384"/>
      <c r="AI125" s="385"/>
      <c r="AJ125" s="384"/>
      <c r="AK125" s="425" t="s">
        <v>851</v>
      </c>
      <c r="AL125" s="786">
        <v>14.505604856857342</v>
      </c>
      <c r="AM125" s="384"/>
      <c r="AN125" s="385"/>
      <c r="AO125" s="384"/>
      <c r="AP125" s="425" t="s">
        <v>851</v>
      </c>
      <c r="AQ125" s="786">
        <v>10.487285387967598</v>
      </c>
      <c r="AR125" s="384"/>
      <c r="AS125" s="385"/>
      <c r="AT125" s="384"/>
      <c r="AU125" s="425" t="s">
        <v>851</v>
      </c>
      <c r="AV125" s="786">
        <v>14.591694972057583</v>
      </c>
      <c r="AW125" s="384"/>
      <c r="AX125" s="385"/>
      <c r="AY125" s="384"/>
      <c r="AZ125" s="425" t="s">
        <v>851</v>
      </c>
      <c r="BA125" s="786">
        <v>10.467531680515087</v>
      </c>
      <c r="BB125" s="384"/>
      <c r="BC125" s="385"/>
      <c r="BD125" s="384"/>
      <c r="BE125" s="425" t="s">
        <v>851</v>
      </c>
      <c r="BF125" s="786">
        <v>14.569119306397569</v>
      </c>
      <c r="BG125" s="384"/>
      <c r="BH125" s="385"/>
      <c r="BI125" s="384"/>
      <c r="BJ125" s="425" t="s">
        <v>851</v>
      </c>
      <c r="BK125" s="786">
        <v>9.8266900638770114</v>
      </c>
      <c r="BL125" s="384"/>
      <c r="BM125" s="385"/>
      <c r="BN125" s="384"/>
      <c r="BO125" s="425" t="s">
        <v>851</v>
      </c>
      <c r="BP125" s="786">
        <v>13.836728887382627</v>
      </c>
      <c r="BQ125" s="384"/>
      <c r="BR125" s="385"/>
      <c r="BS125" s="384"/>
      <c r="BT125" s="425" t="s">
        <v>851</v>
      </c>
      <c r="BU125" s="786">
        <v>10.136484378474412</v>
      </c>
      <c r="BV125" s="384"/>
      <c r="BW125" s="385"/>
      <c r="BX125" s="384"/>
      <c r="BY125" s="425" t="s">
        <v>851</v>
      </c>
      <c r="BZ125" s="786">
        <v>14.1907795326368</v>
      </c>
      <c r="CA125" s="384"/>
      <c r="CB125" s="385"/>
      <c r="CC125" s="384"/>
      <c r="CD125" s="425" t="s">
        <v>851</v>
      </c>
      <c r="CE125" s="786">
        <v>8.1677694804216774</v>
      </c>
      <c r="CF125" s="384"/>
      <c r="CG125" s="385"/>
      <c r="CI125" s="425" t="s">
        <v>851</v>
      </c>
      <c r="CJ125" s="786">
        <v>12.65910306683053</v>
      </c>
      <c r="CK125" s="384"/>
      <c r="CL125" s="385"/>
      <c r="CN125" s="425" t="s">
        <v>851</v>
      </c>
      <c r="CO125" s="1038" cm="1">
        <f t="array" ref="CO125">1/($CQ$8/INDEX(125:125, $CQ$10) + (1-$CQ$8)/INDEX(125:125, $CQ$11))</f>
        <v>14.339413153693153</v>
      </c>
      <c r="CP125" s="384"/>
      <c r="CQ125" s="385"/>
      <c r="CT125" s="384"/>
    </row>
    <row r="126" spans="1:98" x14ac:dyDescent="0.3">
      <c r="A126" s="380"/>
      <c r="B126" s="491" t="s">
        <v>852</v>
      </c>
      <c r="C126" s="749">
        <f t="shared" si="2"/>
        <v>14.854182043555884</v>
      </c>
      <c r="D126" s="743" cm="1">
        <f t="array" ref="D126">IF(INDEX(126:126,$E$2)="","", INDEX(126:126, $E$2))</f>
        <v>14.854182043555884</v>
      </c>
      <c r="E126" s="1362"/>
      <c r="F126" s="769"/>
      <c r="L126" s="425" t="s">
        <v>853</v>
      </c>
      <c r="M126" s="715">
        <v>11.849917606989392</v>
      </c>
      <c r="N126" s="384"/>
      <c r="O126" s="385"/>
      <c r="Q126" s="425" t="s">
        <v>853</v>
      </c>
      <c r="R126" s="715">
        <v>14.693758613028562</v>
      </c>
      <c r="S126" s="384"/>
      <c r="T126" s="385"/>
      <c r="U126" s="932"/>
      <c r="V126" s="425" t="s">
        <v>853</v>
      </c>
      <c r="W126" s="715">
        <v>11.9023491419076</v>
      </c>
      <c r="X126" s="384"/>
      <c r="Y126" s="385"/>
      <c r="Z126" s="932"/>
      <c r="AA126" s="425" t="s">
        <v>853</v>
      </c>
      <c r="AB126" s="715">
        <v>14.753680367220801</v>
      </c>
      <c r="AC126" s="384"/>
      <c r="AD126" s="385"/>
      <c r="AE126" s="384"/>
      <c r="AF126" s="425" t="s">
        <v>853</v>
      </c>
      <c r="AG126" s="715">
        <v>11.914959257900588</v>
      </c>
      <c r="AH126" s="384"/>
      <c r="AI126" s="385"/>
      <c r="AJ126" s="384"/>
      <c r="AK126" s="425" t="s">
        <v>853</v>
      </c>
      <c r="AL126" s="715">
        <v>14.768091928355643</v>
      </c>
      <c r="AM126" s="384"/>
      <c r="AN126" s="385"/>
      <c r="AO126" s="384"/>
      <c r="AP126" s="425" t="s">
        <v>853</v>
      </c>
      <c r="AQ126" s="715">
        <v>11.990288108700797</v>
      </c>
      <c r="AR126" s="384"/>
      <c r="AS126" s="385"/>
      <c r="AT126" s="384"/>
      <c r="AU126" s="425" t="s">
        <v>853</v>
      </c>
      <c r="AV126" s="715">
        <v>14.854182043555884</v>
      </c>
      <c r="AW126" s="384"/>
      <c r="AX126" s="385"/>
      <c r="AY126" s="384"/>
      <c r="AZ126" s="425" t="s">
        <v>853</v>
      </c>
      <c r="BA126" s="715">
        <v>11.970534401248287</v>
      </c>
      <c r="BB126" s="384"/>
      <c r="BC126" s="385"/>
      <c r="BD126" s="384"/>
      <c r="BE126" s="425" t="s">
        <v>853</v>
      </c>
      <c r="BF126" s="715">
        <v>14.83160637789587</v>
      </c>
      <c r="BG126" s="384"/>
      <c r="BH126" s="385"/>
      <c r="BI126" s="384"/>
      <c r="BJ126" s="425" t="s">
        <v>853</v>
      </c>
      <c r="BK126" s="715">
        <v>11.329692784610211</v>
      </c>
      <c r="BL126" s="384"/>
      <c r="BM126" s="385"/>
      <c r="BN126" s="384"/>
      <c r="BO126" s="425" t="s">
        <v>853</v>
      </c>
      <c r="BP126" s="715">
        <v>14.099215958880928</v>
      </c>
      <c r="BQ126" s="384"/>
      <c r="BR126" s="385"/>
      <c r="BS126" s="384"/>
      <c r="BT126" s="425" t="s">
        <v>853</v>
      </c>
      <c r="BU126" s="715">
        <v>11.639487099207612</v>
      </c>
      <c r="BV126" s="384"/>
      <c r="BW126" s="385"/>
      <c r="BX126" s="384"/>
      <c r="BY126" s="425" t="s">
        <v>853</v>
      </c>
      <c r="BZ126" s="715">
        <v>14.4532666041351</v>
      </c>
      <c r="CA126" s="384"/>
      <c r="CB126" s="385"/>
      <c r="CC126" s="384"/>
      <c r="CD126" s="425" t="s">
        <v>853</v>
      </c>
      <c r="CE126" s="715">
        <v>9.6707722011548771</v>
      </c>
      <c r="CF126" s="384"/>
      <c r="CG126" s="385"/>
      <c r="CI126" s="425" t="s">
        <v>853</v>
      </c>
      <c r="CJ126" s="715">
        <v>12.921590138328831</v>
      </c>
      <c r="CK126" s="384"/>
      <c r="CL126" s="385"/>
      <c r="CN126" s="425" t="s">
        <v>853</v>
      </c>
      <c r="CO126" s="1038" cm="1">
        <f t="array" ref="CO126">1/($CQ$8/INDEX(126:126, $CQ$10) + (1-$CQ$8)/INDEX(126:126, $CQ$11))</f>
        <v>14.60192850343212</v>
      </c>
      <c r="CP126" s="384"/>
      <c r="CQ126" s="385"/>
      <c r="CT126" s="384"/>
    </row>
    <row r="127" spans="1:98" x14ac:dyDescent="0.3">
      <c r="A127" s="380"/>
      <c r="B127" s="491" t="s">
        <v>854</v>
      </c>
      <c r="C127" s="749">
        <f t="shared" si="2"/>
        <v>15.334246838909083</v>
      </c>
      <c r="D127" s="743" cm="1">
        <f t="array" ref="D127">IF(INDEX(127:127,$E$2)="","", INDEX(127:127, $E$2))</f>
        <v>15.334246838909083</v>
      </c>
      <c r="E127" s="1362"/>
      <c r="F127" s="769"/>
      <c r="L127" s="425" t="s">
        <v>855</v>
      </c>
      <c r="M127" s="715">
        <v>12.050677795917291</v>
      </c>
      <c r="N127" s="384"/>
      <c r="O127" s="385"/>
      <c r="Q127" s="425" t="s">
        <v>855</v>
      </c>
      <c r="R127" s="715">
        <v>15.173823408381761</v>
      </c>
      <c r="S127" s="384"/>
      <c r="T127" s="385"/>
      <c r="U127" s="932"/>
      <c r="V127" s="425" t="s">
        <v>855</v>
      </c>
      <c r="W127" s="715">
        <v>12.103109330835499</v>
      </c>
      <c r="X127" s="384"/>
      <c r="Y127" s="385"/>
      <c r="Z127" s="932"/>
      <c r="AA127" s="425" t="s">
        <v>855</v>
      </c>
      <c r="AB127" s="715">
        <v>15.233745162573999</v>
      </c>
      <c r="AC127" s="384"/>
      <c r="AD127" s="385"/>
      <c r="AE127" s="384"/>
      <c r="AF127" s="425" t="s">
        <v>855</v>
      </c>
      <c r="AG127" s="715">
        <v>12.115719446828486</v>
      </c>
      <c r="AH127" s="384"/>
      <c r="AI127" s="385"/>
      <c r="AJ127" s="384"/>
      <c r="AK127" s="425" t="s">
        <v>855</v>
      </c>
      <c r="AL127" s="715">
        <v>15.248156723708842</v>
      </c>
      <c r="AM127" s="384"/>
      <c r="AN127" s="385"/>
      <c r="AO127" s="384"/>
      <c r="AP127" s="425" t="s">
        <v>855</v>
      </c>
      <c r="AQ127" s="715">
        <v>12.191048297628697</v>
      </c>
      <c r="AR127" s="384"/>
      <c r="AS127" s="385"/>
      <c r="AT127" s="384"/>
      <c r="AU127" s="425" t="s">
        <v>855</v>
      </c>
      <c r="AV127" s="715">
        <v>15.334246838909083</v>
      </c>
      <c r="AW127" s="384"/>
      <c r="AX127" s="385"/>
      <c r="AY127" s="384"/>
      <c r="AZ127" s="425" t="s">
        <v>855</v>
      </c>
      <c r="BA127" s="715">
        <v>12.171294590176187</v>
      </c>
      <c r="BB127" s="384"/>
      <c r="BC127" s="385"/>
      <c r="BD127" s="384"/>
      <c r="BE127" s="425" t="s">
        <v>855</v>
      </c>
      <c r="BF127" s="715">
        <v>15.311671173249069</v>
      </c>
      <c r="BG127" s="384"/>
      <c r="BH127" s="385"/>
      <c r="BI127" s="384"/>
      <c r="BJ127" s="425" t="s">
        <v>855</v>
      </c>
      <c r="BK127" s="715">
        <v>11.530452973538111</v>
      </c>
      <c r="BL127" s="384"/>
      <c r="BM127" s="385"/>
      <c r="BN127" s="384"/>
      <c r="BO127" s="425" t="s">
        <v>855</v>
      </c>
      <c r="BP127" s="715">
        <v>14.579280754234127</v>
      </c>
      <c r="BQ127" s="384"/>
      <c r="BR127" s="385"/>
      <c r="BS127" s="384"/>
      <c r="BT127" s="425" t="s">
        <v>855</v>
      </c>
      <c r="BU127" s="715">
        <v>11.840247288135512</v>
      </c>
      <c r="BV127" s="384"/>
      <c r="BW127" s="385"/>
      <c r="BX127" s="384"/>
      <c r="BY127" s="425" t="s">
        <v>855</v>
      </c>
      <c r="BZ127" s="715">
        <v>14.933331399488299</v>
      </c>
      <c r="CA127" s="384"/>
      <c r="CB127" s="385"/>
      <c r="CC127" s="384"/>
      <c r="CD127" s="425" t="s">
        <v>855</v>
      </c>
      <c r="CE127" s="715">
        <v>9.8715323900827769</v>
      </c>
      <c r="CF127" s="384"/>
      <c r="CG127" s="385"/>
      <c r="CI127" s="425" t="s">
        <v>855</v>
      </c>
      <c r="CJ127" s="715">
        <v>13.40165493368203</v>
      </c>
      <c r="CK127" s="384"/>
      <c r="CL127" s="385"/>
      <c r="CN127" s="425" t="s">
        <v>855</v>
      </c>
      <c r="CO127" s="1038" cm="1">
        <f t="array" ref="CO127">1/($CQ$8/INDEX(127:127, $CQ$10) + (1-$CQ$8)/INDEX(127:127, $CQ$11))</f>
        <v>15.082042471039991</v>
      </c>
      <c r="CP127" s="384"/>
      <c r="CQ127" s="385"/>
      <c r="CT127" s="384"/>
    </row>
    <row r="128" spans="1:98" x14ac:dyDescent="0.3">
      <c r="A128" s="380"/>
      <c r="B128" s="491" t="s">
        <v>856</v>
      </c>
      <c r="C128" s="749">
        <f t="shared" si="2"/>
        <v>15.464730283625183</v>
      </c>
      <c r="D128" s="743" cm="1">
        <f t="array" ref="D128">IF(INDEX(128:128,$E$2)="","", INDEX(128:128, $E$2))</f>
        <v>15.464730283625183</v>
      </c>
      <c r="E128" s="1362"/>
      <c r="F128" s="769"/>
      <c r="L128" s="425" t="s">
        <v>857</v>
      </c>
      <c r="M128" s="715">
        <v>12.197568465081792</v>
      </c>
      <c r="N128" s="384"/>
      <c r="O128" s="385"/>
      <c r="Q128" s="425" t="s">
        <v>857</v>
      </c>
      <c r="R128" s="715">
        <v>15.304306853097861</v>
      </c>
      <c r="S128" s="384"/>
      <c r="T128" s="385"/>
      <c r="U128" s="932"/>
      <c r="V128" s="425" t="s">
        <v>857</v>
      </c>
      <c r="W128" s="715">
        <v>12.25</v>
      </c>
      <c r="X128" s="384"/>
      <c r="Y128" s="385"/>
      <c r="Z128" s="932"/>
      <c r="AA128" s="425" t="s">
        <v>857</v>
      </c>
      <c r="AB128" s="715">
        <v>15.3642286072901</v>
      </c>
      <c r="AC128" s="384"/>
      <c r="AD128" s="385"/>
      <c r="AE128" s="384"/>
      <c r="AF128" s="425" t="s">
        <v>857</v>
      </c>
      <c r="AG128" s="715">
        <v>12.262610115992988</v>
      </c>
      <c r="AH128" s="384"/>
      <c r="AI128" s="385"/>
      <c r="AJ128" s="384"/>
      <c r="AK128" s="425" t="s">
        <v>857</v>
      </c>
      <c r="AL128" s="715">
        <v>15.378640168424942</v>
      </c>
      <c r="AM128" s="384"/>
      <c r="AN128" s="385"/>
      <c r="AO128" s="384"/>
      <c r="AP128" s="425" t="s">
        <v>857</v>
      </c>
      <c r="AQ128" s="715">
        <v>12.337938966793198</v>
      </c>
      <c r="AR128" s="384"/>
      <c r="AS128" s="385"/>
      <c r="AT128" s="384"/>
      <c r="AU128" s="425" t="s">
        <v>857</v>
      </c>
      <c r="AV128" s="715">
        <v>15.464730283625183</v>
      </c>
      <c r="AW128" s="384"/>
      <c r="AX128" s="385"/>
      <c r="AY128" s="384"/>
      <c r="AZ128" s="425" t="s">
        <v>857</v>
      </c>
      <c r="BA128" s="715">
        <v>12.318185259340687</v>
      </c>
      <c r="BB128" s="384"/>
      <c r="BC128" s="385"/>
      <c r="BD128" s="384"/>
      <c r="BE128" s="425" t="s">
        <v>857</v>
      </c>
      <c r="BF128" s="715">
        <v>15.442154617965169</v>
      </c>
      <c r="BG128" s="384"/>
      <c r="BH128" s="385"/>
      <c r="BI128" s="384"/>
      <c r="BJ128" s="425" t="s">
        <v>857</v>
      </c>
      <c r="BK128" s="715">
        <v>11.677343642702612</v>
      </c>
      <c r="BL128" s="384"/>
      <c r="BM128" s="385"/>
      <c r="BN128" s="384"/>
      <c r="BO128" s="425" t="s">
        <v>857</v>
      </c>
      <c r="BP128" s="715">
        <v>14.709764198950227</v>
      </c>
      <c r="BQ128" s="384"/>
      <c r="BR128" s="385"/>
      <c r="BS128" s="384"/>
      <c r="BT128" s="425" t="s">
        <v>857</v>
      </c>
      <c r="BU128" s="715">
        <v>11.987137957300012</v>
      </c>
      <c r="BV128" s="384"/>
      <c r="BW128" s="385"/>
      <c r="BX128" s="384"/>
      <c r="BY128" s="425" t="s">
        <v>857</v>
      </c>
      <c r="BZ128" s="715">
        <v>15.0638148442044</v>
      </c>
      <c r="CA128" s="384"/>
      <c r="CB128" s="385"/>
      <c r="CC128" s="384"/>
      <c r="CD128" s="425" t="s">
        <v>857</v>
      </c>
      <c r="CE128" s="715">
        <v>10.018423059247278</v>
      </c>
      <c r="CF128" s="384"/>
      <c r="CG128" s="385"/>
      <c r="CI128" s="425" t="s">
        <v>857</v>
      </c>
      <c r="CJ128" s="715">
        <v>13.53213837839813</v>
      </c>
      <c r="CK128" s="384"/>
      <c r="CL128" s="385"/>
      <c r="CN128" s="425" t="s">
        <v>857</v>
      </c>
      <c r="CO128" s="1038" cm="1">
        <f t="array" ref="CO128">1/($CQ$8/INDEX(128:128, $CQ$10) + (1-$CQ$8)/INDEX(128:128, $CQ$11))</f>
        <v>15.212538744608564</v>
      </c>
      <c r="CP128" s="384"/>
      <c r="CQ128" s="385"/>
      <c r="CT128" s="384"/>
    </row>
    <row r="129" spans="1:98" x14ac:dyDescent="0.3">
      <c r="A129" s="380"/>
      <c r="B129" s="491" t="s">
        <v>858</v>
      </c>
      <c r="C129" s="749">
        <f t="shared" si="2"/>
        <v>15.913922421474284</v>
      </c>
      <c r="D129" s="743" cm="1">
        <f t="array" ref="D129">IF(INDEX(129:129,$E$2)="","", INDEX(129:129, $E$2))</f>
        <v>15.913922421474284</v>
      </c>
      <c r="E129" s="1362"/>
      <c r="F129" s="769"/>
      <c r="L129" s="425" t="s">
        <v>859</v>
      </c>
      <c r="M129" s="715">
        <v>12.326653215168792</v>
      </c>
      <c r="N129" s="384"/>
      <c r="O129" s="385"/>
      <c r="Q129" s="425" t="s">
        <v>859</v>
      </c>
      <c r="R129" s="715">
        <v>15.753498990946962</v>
      </c>
      <c r="S129" s="384"/>
      <c r="T129" s="385"/>
      <c r="U129" s="932"/>
      <c r="V129" s="425" t="s">
        <v>859</v>
      </c>
      <c r="W129" s="715">
        <v>12.379084750086999</v>
      </c>
      <c r="X129" s="384"/>
      <c r="Y129" s="385"/>
      <c r="Z129" s="932"/>
      <c r="AA129" s="425" t="s">
        <v>859</v>
      </c>
      <c r="AB129" s="715">
        <v>15.813420745139201</v>
      </c>
      <c r="AC129" s="384"/>
      <c r="AD129" s="385"/>
      <c r="AE129" s="384"/>
      <c r="AF129" s="425" t="s">
        <v>859</v>
      </c>
      <c r="AG129" s="715">
        <v>12.391694866079987</v>
      </c>
      <c r="AH129" s="384"/>
      <c r="AI129" s="385"/>
      <c r="AJ129" s="384"/>
      <c r="AK129" s="425" t="s">
        <v>859</v>
      </c>
      <c r="AL129" s="715">
        <v>15.827832306274043</v>
      </c>
      <c r="AM129" s="384"/>
      <c r="AN129" s="385"/>
      <c r="AO129" s="384"/>
      <c r="AP129" s="425" t="s">
        <v>859</v>
      </c>
      <c r="AQ129" s="715">
        <v>12.467023716880197</v>
      </c>
      <c r="AR129" s="384"/>
      <c r="AS129" s="385"/>
      <c r="AT129" s="384"/>
      <c r="AU129" s="425" t="s">
        <v>859</v>
      </c>
      <c r="AV129" s="715">
        <v>15.913922421474284</v>
      </c>
      <c r="AW129" s="384"/>
      <c r="AX129" s="385"/>
      <c r="AY129" s="384"/>
      <c r="AZ129" s="425" t="s">
        <v>859</v>
      </c>
      <c r="BA129" s="715">
        <v>12.447270009427687</v>
      </c>
      <c r="BB129" s="384"/>
      <c r="BC129" s="385"/>
      <c r="BD129" s="384"/>
      <c r="BE129" s="425" t="s">
        <v>859</v>
      </c>
      <c r="BF129" s="715">
        <v>15.89134675581427</v>
      </c>
      <c r="BG129" s="384"/>
      <c r="BH129" s="385"/>
      <c r="BI129" s="384"/>
      <c r="BJ129" s="425" t="s">
        <v>859</v>
      </c>
      <c r="BK129" s="715">
        <v>11.806428392789611</v>
      </c>
      <c r="BL129" s="384"/>
      <c r="BM129" s="385"/>
      <c r="BN129" s="384"/>
      <c r="BO129" s="425" t="s">
        <v>859</v>
      </c>
      <c r="BP129" s="715">
        <v>15.158956336799328</v>
      </c>
      <c r="BQ129" s="384"/>
      <c r="BR129" s="385"/>
      <c r="BS129" s="384"/>
      <c r="BT129" s="425" t="s">
        <v>859</v>
      </c>
      <c r="BU129" s="715">
        <v>12.116222707387012</v>
      </c>
      <c r="BV129" s="384"/>
      <c r="BW129" s="385"/>
      <c r="BX129" s="384"/>
      <c r="BY129" s="425" t="s">
        <v>859</v>
      </c>
      <c r="BZ129" s="715">
        <v>15.513006982053501</v>
      </c>
      <c r="CA129" s="384"/>
      <c r="CB129" s="385"/>
      <c r="CC129" s="384"/>
      <c r="CD129" s="425" t="s">
        <v>859</v>
      </c>
      <c r="CE129" s="715">
        <v>10.147507809334277</v>
      </c>
      <c r="CF129" s="384"/>
      <c r="CG129" s="385"/>
      <c r="CI129" s="425" t="s">
        <v>859</v>
      </c>
      <c r="CJ129" s="715">
        <v>13.981330516247231</v>
      </c>
      <c r="CK129" s="384"/>
      <c r="CL129" s="385"/>
      <c r="CN129" s="425" t="s">
        <v>859</v>
      </c>
      <c r="CO129" s="1038" cm="1">
        <f t="array" ref="CO129">1/($CQ$8/INDEX(129:129, $CQ$10) + (1-$CQ$8)/INDEX(129:129, $CQ$11))</f>
        <v>15.661773411626575</v>
      </c>
      <c r="CP129" s="384"/>
      <c r="CQ129" s="385"/>
      <c r="CT129" s="384"/>
    </row>
    <row r="130" spans="1:98" x14ac:dyDescent="0.3">
      <c r="A130" s="380"/>
      <c r="B130" s="491" t="s">
        <v>860</v>
      </c>
      <c r="C130" s="749">
        <f t="shared" si="2"/>
        <v>16.709618542548</v>
      </c>
      <c r="D130" s="743" cm="1">
        <f t="array" ref="D130">IF(INDEX(130:130,$E$2)="","", INDEX(130:130, $E$2))</f>
        <v>16.709618542548</v>
      </c>
      <c r="E130" s="1362"/>
      <c r="F130" s="769"/>
      <c r="L130" s="425" t="s">
        <v>861</v>
      </c>
      <c r="M130" s="390">
        <f>M129*1.05</f>
        <v>12.942985875927231</v>
      </c>
      <c r="N130" s="384"/>
      <c r="O130" s="385"/>
      <c r="Q130" s="425" t="s">
        <v>861</v>
      </c>
      <c r="R130" s="390">
        <f>R129*1.05</f>
        <v>16.541173940494311</v>
      </c>
      <c r="S130" s="384"/>
      <c r="T130" s="385"/>
      <c r="U130" s="932"/>
      <c r="V130" s="425" t="s">
        <v>861</v>
      </c>
      <c r="W130" s="390">
        <f>W129*1.05</f>
        <v>12.99803898759135</v>
      </c>
      <c r="X130" s="384"/>
      <c r="Y130" s="385"/>
      <c r="Z130" s="932"/>
      <c r="AA130" s="425" t="s">
        <v>861</v>
      </c>
      <c r="AB130" s="390">
        <f>AB129*1.05</f>
        <v>16.604091782396161</v>
      </c>
      <c r="AC130" s="384"/>
      <c r="AD130" s="385"/>
      <c r="AE130" s="384"/>
      <c r="AF130" s="425" t="s">
        <v>861</v>
      </c>
      <c r="AG130" s="390">
        <f>AG129*1.05</f>
        <v>13.011279609383987</v>
      </c>
      <c r="AH130" s="384"/>
      <c r="AI130" s="385"/>
      <c r="AJ130" s="384"/>
      <c r="AK130" s="425" t="s">
        <v>861</v>
      </c>
      <c r="AL130" s="390">
        <f>AL129*1.05</f>
        <v>16.619223921587746</v>
      </c>
      <c r="AM130" s="384"/>
      <c r="AN130" s="385"/>
      <c r="AO130" s="384"/>
      <c r="AP130" s="425" t="s">
        <v>861</v>
      </c>
      <c r="AQ130" s="390">
        <f>AQ129*1.05</f>
        <v>13.090374902724207</v>
      </c>
      <c r="AR130" s="384"/>
      <c r="AS130" s="385"/>
      <c r="AT130" s="384"/>
      <c r="AU130" s="425" t="s">
        <v>861</v>
      </c>
      <c r="AV130" s="390">
        <f>AV129*1.05</f>
        <v>16.709618542548</v>
      </c>
      <c r="AW130" s="384"/>
      <c r="AX130" s="385"/>
      <c r="AY130" s="384"/>
      <c r="AZ130" s="425" t="s">
        <v>861</v>
      </c>
      <c r="BA130" s="390">
        <f>BA129*1.05</f>
        <v>13.069633509899072</v>
      </c>
      <c r="BB130" s="384"/>
      <c r="BC130" s="385"/>
      <c r="BD130" s="384"/>
      <c r="BE130" s="425" t="s">
        <v>861</v>
      </c>
      <c r="BF130" s="390">
        <f>BF129*1.05</f>
        <v>16.685914093604985</v>
      </c>
      <c r="BG130" s="384"/>
      <c r="BH130" s="385"/>
      <c r="BI130" s="384"/>
      <c r="BJ130" s="425" t="s">
        <v>861</v>
      </c>
      <c r="BK130" s="390">
        <f>BK129*1.05</f>
        <v>12.396749812429093</v>
      </c>
      <c r="BL130" s="384"/>
      <c r="BM130" s="385"/>
      <c r="BN130" s="384"/>
      <c r="BO130" s="425" t="s">
        <v>861</v>
      </c>
      <c r="BP130" s="390">
        <f>BP129*1.05</f>
        <v>15.916904153639296</v>
      </c>
      <c r="BQ130" s="384"/>
      <c r="BR130" s="385"/>
      <c r="BS130" s="384"/>
      <c r="BT130" s="425" t="s">
        <v>861</v>
      </c>
      <c r="BU130" s="390">
        <f>BU129*1.05</f>
        <v>12.722033842756362</v>
      </c>
      <c r="BV130" s="384"/>
      <c r="BW130" s="385"/>
      <c r="BX130" s="384"/>
      <c r="BY130" s="425" t="s">
        <v>861</v>
      </c>
      <c r="BZ130" s="390">
        <f>BZ129*1.05</f>
        <v>16.288657331156177</v>
      </c>
      <c r="CA130" s="384"/>
      <c r="CB130" s="385"/>
      <c r="CC130" s="384"/>
      <c r="CD130" s="425" t="s">
        <v>861</v>
      </c>
      <c r="CE130" s="390">
        <f>CE129*1.05</f>
        <v>10.654883199800992</v>
      </c>
      <c r="CF130" s="384"/>
      <c r="CG130" s="385"/>
      <c r="CI130" s="425" t="s">
        <v>861</v>
      </c>
      <c r="CJ130" s="390">
        <f>CJ129*1.05</f>
        <v>14.680397042059594</v>
      </c>
      <c r="CK130" s="384"/>
      <c r="CL130" s="385"/>
      <c r="CN130" s="425" t="s">
        <v>861</v>
      </c>
      <c r="CO130" s="1038" cm="1">
        <f t="array" ref="CO130">1/($CQ$8/INDEX(130:130, $CQ$10) + (1-$CQ$8)/INDEX(130:130, $CQ$11))</f>
        <v>16.444862082207905</v>
      </c>
      <c r="CP130" s="384"/>
      <c r="CQ130" s="385"/>
      <c r="CT130" s="384"/>
    </row>
    <row r="131" spans="1:98" x14ac:dyDescent="0.3">
      <c r="A131" s="380"/>
      <c r="B131" s="491"/>
      <c r="C131" s="749"/>
      <c r="D131" s="743"/>
      <c r="E131" s="740"/>
      <c r="F131" s="769"/>
      <c r="L131" s="425"/>
      <c r="M131" s="384"/>
      <c r="N131" s="384"/>
      <c r="O131" s="385"/>
      <c r="Q131" s="425"/>
      <c r="R131" s="384"/>
      <c r="S131" s="384"/>
      <c r="T131" s="385"/>
      <c r="U131" s="932"/>
      <c r="V131" s="425"/>
      <c r="W131" s="715"/>
      <c r="X131" s="384"/>
      <c r="Y131" s="385"/>
      <c r="Z131" s="932"/>
      <c r="AA131" s="425"/>
      <c r="AB131" s="715"/>
      <c r="AC131" s="384"/>
      <c r="AD131" s="385"/>
      <c r="AE131" s="384"/>
      <c r="AF131" s="425"/>
      <c r="AG131" s="384"/>
      <c r="AH131" s="384"/>
      <c r="AI131" s="385"/>
      <c r="AJ131" s="384"/>
      <c r="AK131" s="425"/>
      <c r="AL131" s="384"/>
      <c r="AM131" s="384"/>
      <c r="AN131" s="385"/>
      <c r="AO131" s="384"/>
      <c r="AP131" s="425"/>
      <c r="AQ131" s="384"/>
      <c r="AR131" s="384"/>
      <c r="AS131" s="385"/>
      <c r="AT131" s="384"/>
      <c r="AU131" s="425"/>
      <c r="AV131" s="384"/>
      <c r="AW131" s="384"/>
      <c r="AX131" s="385"/>
      <c r="AY131" s="384"/>
      <c r="AZ131" s="425"/>
      <c r="BA131" s="384"/>
      <c r="BB131" s="384"/>
      <c r="BC131" s="385"/>
      <c r="BD131" s="384"/>
      <c r="BE131" s="425"/>
      <c r="BF131" s="384"/>
      <c r="BG131" s="384"/>
      <c r="BH131" s="385"/>
      <c r="BI131" s="384"/>
      <c r="BJ131" s="425"/>
      <c r="BK131" s="384"/>
      <c r="BL131" s="384"/>
      <c r="BM131" s="385"/>
      <c r="BN131" s="384"/>
      <c r="BO131" s="425"/>
      <c r="BP131" s="384"/>
      <c r="BQ131" s="384"/>
      <c r="BR131" s="385"/>
      <c r="BS131" s="384"/>
      <c r="BT131" s="425"/>
      <c r="BU131" s="384"/>
      <c r="BV131" s="384"/>
      <c r="BW131" s="385"/>
      <c r="BX131" s="384"/>
      <c r="BY131" s="425"/>
      <c r="BZ131" s="384"/>
      <c r="CA131" s="384"/>
      <c r="CB131" s="385"/>
      <c r="CC131" s="384"/>
      <c r="CD131" s="425"/>
      <c r="CE131" s="384"/>
      <c r="CF131" s="384"/>
      <c r="CG131" s="385"/>
      <c r="CI131" s="425"/>
      <c r="CJ131" s="384"/>
      <c r="CK131" s="384"/>
      <c r="CL131" s="385"/>
      <c r="CN131" s="425"/>
      <c r="CO131" s="384"/>
      <c r="CP131" s="384"/>
      <c r="CQ131" s="385"/>
      <c r="CT131" s="384"/>
    </row>
    <row r="132" spans="1:98" ht="15.5" x14ac:dyDescent="0.35">
      <c r="A132" s="380"/>
      <c r="B132" s="627" t="s">
        <v>862</v>
      </c>
      <c r="C132" s="749" t="str">
        <f t="shared" si="2"/>
        <v/>
      </c>
      <c r="D132" s="743" t="str" cm="1">
        <f t="array" ref="D132">IF(INDEX(132:132,$E$2)="","", INDEX(132:132, $E$2))</f>
        <v/>
      </c>
      <c r="E132" s="740"/>
      <c r="F132" s="769"/>
      <c r="L132" s="790" t="s">
        <v>863</v>
      </c>
      <c r="M132" s="384"/>
      <c r="N132" s="384"/>
      <c r="O132" s="385"/>
      <c r="Q132" s="790" t="s">
        <v>863</v>
      </c>
      <c r="R132" s="384"/>
      <c r="S132" s="384"/>
      <c r="T132" s="385"/>
      <c r="U132" s="932"/>
      <c r="V132" s="790" t="s">
        <v>863</v>
      </c>
      <c r="W132" s="384"/>
      <c r="X132" s="384"/>
      <c r="Y132" s="385"/>
      <c r="Z132" s="932"/>
      <c r="AA132" s="790" t="s">
        <v>863</v>
      </c>
      <c r="AB132" s="384"/>
      <c r="AC132" s="384"/>
      <c r="AD132" s="385"/>
      <c r="AE132" s="384"/>
      <c r="AF132" s="790" t="s">
        <v>863</v>
      </c>
      <c r="AG132" s="384"/>
      <c r="AH132" s="384"/>
      <c r="AI132" s="385"/>
      <c r="AJ132" s="384"/>
      <c r="AK132" s="790" t="s">
        <v>863</v>
      </c>
      <c r="AL132" s="384"/>
      <c r="AM132" s="384"/>
      <c r="AN132" s="385"/>
      <c r="AO132" s="384"/>
      <c r="AP132" s="790" t="s">
        <v>863</v>
      </c>
      <c r="AQ132" s="384"/>
      <c r="AR132" s="384"/>
      <c r="AS132" s="385"/>
      <c r="AT132" s="384"/>
      <c r="AU132" s="790" t="s">
        <v>863</v>
      </c>
      <c r="AV132" s="384"/>
      <c r="AW132" s="384"/>
      <c r="AX132" s="385"/>
      <c r="AY132" s="384"/>
      <c r="AZ132" s="790" t="s">
        <v>863</v>
      </c>
      <c r="BA132" s="384"/>
      <c r="BB132" s="384"/>
      <c r="BC132" s="385"/>
      <c r="BD132" s="384"/>
      <c r="BE132" s="790" t="s">
        <v>863</v>
      </c>
      <c r="BF132" s="384"/>
      <c r="BG132" s="384"/>
      <c r="BH132" s="385"/>
      <c r="BI132" s="384"/>
      <c r="BJ132" s="790" t="s">
        <v>863</v>
      </c>
      <c r="BK132" s="384"/>
      <c r="BL132" s="384"/>
      <c r="BM132" s="385"/>
      <c r="BN132" s="384"/>
      <c r="BO132" s="790" t="s">
        <v>863</v>
      </c>
      <c r="BP132" s="384"/>
      <c r="BQ132" s="384"/>
      <c r="BR132" s="385"/>
      <c r="BS132" s="384"/>
      <c r="BT132" s="790" t="s">
        <v>863</v>
      </c>
      <c r="BU132" s="384"/>
      <c r="BV132" s="384"/>
      <c r="BW132" s="385"/>
      <c r="BX132" s="384"/>
      <c r="BY132" s="790" t="s">
        <v>863</v>
      </c>
      <c r="BZ132" s="384"/>
      <c r="CA132" s="384"/>
      <c r="CB132" s="385"/>
      <c r="CC132" s="384"/>
      <c r="CD132" s="790" t="s">
        <v>863</v>
      </c>
      <c r="CE132" s="384"/>
      <c r="CF132" s="384"/>
      <c r="CG132" s="385"/>
      <c r="CI132" s="790" t="s">
        <v>863</v>
      </c>
      <c r="CJ132" s="384"/>
      <c r="CK132" s="384"/>
      <c r="CL132" s="385"/>
      <c r="CN132" s="790" t="s">
        <v>863</v>
      </c>
      <c r="CO132" s="384"/>
      <c r="CP132" s="384"/>
      <c r="CQ132" s="385"/>
      <c r="CT132" s="384"/>
    </row>
    <row r="133" spans="1:98" ht="15.5" x14ac:dyDescent="0.35">
      <c r="A133" s="380"/>
      <c r="B133" s="1044" t="s">
        <v>864</v>
      </c>
      <c r="C133" s="749">
        <f>IF(AND(D133="",E133=""),"",IF(E133="",D133,E133))</f>
        <v>3.5</v>
      </c>
      <c r="D133" s="1045" cm="1">
        <f t="array" ref="D133">IF(INDEX(133:133,$E$2)="","", INDEX(133:133, $E$2))</f>
        <v>3.5</v>
      </c>
      <c r="E133"/>
      <c r="F133" s="769"/>
      <c r="G133" s="1043"/>
      <c r="L133" s="789" t="s">
        <v>865</v>
      </c>
      <c r="M133" s="410">
        <v>2</v>
      </c>
      <c r="N133" s="384"/>
      <c r="O133" s="385"/>
      <c r="Q133" s="789" t="s">
        <v>865</v>
      </c>
      <c r="R133" s="1041">
        <v>3.5</v>
      </c>
      <c r="S133" s="384"/>
      <c r="T133" s="385"/>
      <c r="U133" s="932"/>
      <c r="V133" s="789" t="s">
        <v>865</v>
      </c>
      <c r="W133" s="1041">
        <v>2</v>
      </c>
      <c r="X133" s="384"/>
      <c r="Y133" s="385"/>
      <c r="Z133" s="366"/>
      <c r="AA133" s="789" t="s">
        <v>865</v>
      </c>
      <c r="AB133" s="1041">
        <v>3.5</v>
      </c>
      <c r="AC133" s="384"/>
      <c r="AD133" s="385"/>
      <c r="AE133" s="384"/>
      <c r="AF133" s="789" t="s">
        <v>865</v>
      </c>
      <c r="AG133" s="1041">
        <v>2</v>
      </c>
      <c r="AH133" s="384"/>
      <c r="AI133" s="385"/>
      <c r="AJ133" s="384"/>
      <c r="AK133" s="789" t="s">
        <v>865</v>
      </c>
      <c r="AL133" s="1041">
        <v>3.5</v>
      </c>
      <c r="AM133" s="384"/>
      <c r="AN133" s="385"/>
      <c r="AO133" s="384"/>
      <c r="AP133" s="789" t="s">
        <v>865</v>
      </c>
      <c r="AQ133" s="1041">
        <v>2</v>
      </c>
      <c r="AR133" s="384"/>
      <c r="AS133" s="385"/>
      <c r="AT133" s="384"/>
      <c r="AU133" s="789" t="s">
        <v>865</v>
      </c>
      <c r="AV133" s="1041">
        <v>3.5</v>
      </c>
      <c r="AW133" s="384"/>
      <c r="AX133" s="385"/>
      <c r="AY133" s="384"/>
      <c r="AZ133" s="789" t="s">
        <v>865</v>
      </c>
      <c r="BA133" s="1041">
        <v>2</v>
      </c>
      <c r="BB133" s="384"/>
      <c r="BC133" s="385"/>
      <c r="BD133" s="384"/>
      <c r="BE133" s="789" t="s">
        <v>865</v>
      </c>
      <c r="BF133" s="1041">
        <v>3.5</v>
      </c>
      <c r="BG133" s="384"/>
      <c r="BH133" s="385"/>
      <c r="BI133" s="384"/>
      <c r="BJ133" s="789" t="s">
        <v>865</v>
      </c>
      <c r="BK133" s="1041">
        <v>2</v>
      </c>
      <c r="BL133" s="384"/>
      <c r="BM133" s="385"/>
      <c r="BN133" s="384"/>
      <c r="BO133" s="789" t="s">
        <v>865</v>
      </c>
      <c r="BP133" s="1041">
        <v>3.5</v>
      </c>
      <c r="BQ133" s="384"/>
      <c r="BR133" s="385"/>
      <c r="BS133" s="384"/>
      <c r="BT133" s="789" t="s">
        <v>865</v>
      </c>
      <c r="BU133" s="1041">
        <v>2</v>
      </c>
      <c r="BV133" s="384"/>
      <c r="BW133" s="385"/>
      <c r="BX133" s="384"/>
      <c r="BY133" s="789" t="s">
        <v>865</v>
      </c>
      <c r="BZ133" s="1041">
        <v>3.5</v>
      </c>
      <c r="CA133" s="384"/>
      <c r="CB133" s="385"/>
      <c r="CC133" s="384"/>
      <c r="CD133" s="789" t="s">
        <v>865</v>
      </c>
      <c r="CE133" s="1041">
        <v>2</v>
      </c>
      <c r="CF133" s="384"/>
      <c r="CG133" s="385"/>
      <c r="CH133" s="366"/>
      <c r="CI133" s="789" t="s">
        <v>865</v>
      </c>
      <c r="CJ133" s="1041">
        <v>3.5</v>
      </c>
      <c r="CK133" s="384"/>
      <c r="CL133" s="385"/>
      <c r="CN133" s="789" t="s">
        <v>865</v>
      </c>
      <c r="CO133" s="1038" cm="1">
        <f t="array" ref="CO133">1/($CQ$8/INDEX(133:133, $CQ$10) + (1-$CQ$8)/INDEX(133:133, $CQ$11))</f>
        <v>3.5</v>
      </c>
      <c r="CP133" s="384"/>
      <c r="CQ133" s="385"/>
      <c r="CT133" s="384"/>
    </row>
    <row r="134" spans="1:98" x14ac:dyDescent="0.3">
      <c r="A134" s="380"/>
      <c r="B134" s="762" t="s">
        <v>866</v>
      </c>
      <c r="C134" s="749">
        <f t="shared" si="2"/>
        <v>52.049835631484207</v>
      </c>
      <c r="D134" s="743" cm="1">
        <f t="array" ref="D134">IF(INDEX(134:134,$E$2)="","", INDEX(134:134, $E$2))</f>
        <v>52.049835631484207</v>
      </c>
      <c r="E134"/>
      <c r="F134" s="769"/>
      <c r="G134" s="1043"/>
      <c r="L134" s="789" t="s">
        <v>866</v>
      </c>
      <c r="M134" s="390">
        <f>M133/M8/M17/((M11/M17)/(M11/M17+M12/M18+M13/M19))/(1-M22/100)*10000</f>
        <v>44.975752167995246</v>
      </c>
      <c r="N134" s="384"/>
      <c r="O134" s="385"/>
      <c r="Q134" s="789" t="s">
        <v>866</v>
      </c>
      <c r="R134" s="390">
        <f>R133/R8/R17/((R11/R17)/(R11/R17+R12/R18+R13/R19))/(1-R22/100)*10000</f>
        <v>64.902772276036359</v>
      </c>
      <c r="S134" s="384"/>
      <c r="T134" s="385"/>
      <c r="U134" s="932"/>
      <c r="V134" s="789" t="s">
        <v>866</v>
      </c>
      <c r="W134" s="390">
        <f>W133/W8/W17/((W11/W17)/(W11/W17+W12/W18+W13/W19))/(1-W22/100)*10000</f>
        <v>41.177692925588389</v>
      </c>
      <c r="X134" s="384"/>
      <c r="Y134" s="385"/>
      <c r="Z134" s="366"/>
      <c r="AA134" s="789" t="s">
        <v>866</v>
      </c>
      <c r="AB134" s="390">
        <f>AB133/AB8/AB17/((AB11/AB17)/(AB11/AB17+AB12/AB18+AB13/AB19))/(1-AB22/100)*10000</f>
        <v>59.421939555772468</v>
      </c>
      <c r="AC134" s="384"/>
      <c r="AD134" s="385"/>
      <c r="AE134" s="384"/>
      <c r="AF134" s="789" t="s">
        <v>866</v>
      </c>
      <c r="AG134" s="390">
        <f>AG133/AG8/AG17/((AG11/AG17)/(AG11/AG17+AG12/AG18+AG13/AG19))/(1-AG22/100)*10000</f>
        <v>40.358021720154973</v>
      </c>
      <c r="AH134" s="384"/>
      <c r="AI134" s="385"/>
      <c r="AJ134" s="384"/>
      <c r="AK134" s="789" t="s">
        <v>866</v>
      </c>
      <c r="AL134" s="390">
        <f>AL133/AL8/AL17/((AL11/AL17)/(AL11/AL17+AL12/AL18+AL13/AL19))/(1-AL22/100)*10000</f>
        <v>58.239103671477345</v>
      </c>
      <c r="AM134" s="384"/>
      <c r="AN134" s="385"/>
      <c r="AO134" s="384"/>
      <c r="AP134" s="789" t="s">
        <v>866</v>
      </c>
      <c r="AQ134" s="390">
        <f>AQ133/AQ8/AQ17/((AQ11/AQ17)/(AQ11/AQ17+AQ12/AQ18+AQ13/AQ19))/(1-AQ22/100)*10000</f>
        <v>36.069037202142255</v>
      </c>
      <c r="AR134" s="384"/>
      <c r="AS134" s="385"/>
      <c r="AT134" s="384"/>
      <c r="AU134" s="789" t="s">
        <v>866</v>
      </c>
      <c r="AV134" s="390">
        <f>AV133/AV8/AV17/((AV11/AV17)/(AV11/AV17+AV12/AV18+AV13/AV19))/(1-AV22/100)*10000</f>
        <v>52.049835631484207</v>
      </c>
      <c r="AW134" s="384"/>
      <c r="AX134" s="385"/>
      <c r="AY134" s="384"/>
      <c r="AZ134" s="789" t="s">
        <v>866</v>
      </c>
      <c r="BA134" s="390">
        <f>BA133/BA8/BA17/((BA11/BA17)/(BA11/BA17+BA12/BA18+BA13/BA19))/(1-BA22/100)*10000</f>
        <v>37.249430881479576</v>
      </c>
      <c r="BB134" s="384"/>
      <c r="BC134" s="385"/>
      <c r="BD134" s="384"/>
      <c r="BE134" s="789" t="s">
        <v>866</v>
      </c>
      <c r="BF134" s="390">
        <f>BF133/BF8/BF17/((BF11/BF17)/(BF11/BF17+BF12/BF18+BF13/BF19))/(1-BF22/100)*10000</f>
        <v>53.687641451823339</v>
      </c>
      <c r="BG134" s="384"/>
      <c r="BH134" s="385"/>
      <c r="BI134" s="384"/>
      <c r="BJ134" s="789" t="s">
        <v>866</v>
      </c>
      <c r="BK134" s="390">
        <f>BK133/BK8/BK17/((BK11/BK17)/(BK11/BK17+BK12/BK18+BK13/BK19))/(1-BK22/100)*10000</f>
        <v>63.854020967096254</v>
      </c>
      <c r="BL134" s="384"/>
      <c r="BM134" s="385"/>
      <c r="BN134" s="384"/>
      <c r="BO134" s="789" t="s">
        <v>866</v>
      </c>
      <c r="BP134" s="390">
        <f>BP133/BP8/BP17/((BP11/BP17)/(BP11/BP17+BP12/BP18+BP13/BP19))/(1-BP22/100)*10000</f>
        <v>93.22637297566942</v>
      </c>
      <c r="BQ134" s="384"/>
      <c r="BR134" s="385"/>
      <c r="BS134" s="384"/>
      <c r="BT134" s="789" t="s">
        <v>866</v>
      </c>
      <c r="BU134" s="390">
        <f>BU133/BU8/BU17/((BU11/BU17)/(BU11/BU17+BU12/BU18+BU13/BU19))/(1-BU22/100)*10000</f>
        <v>70.500483124076808</v>
      </c>
      <c r="BV134" s="384"/>
      <c r="BW134" s="385"/>
      <c r="BX134" s="384"/>
      <c r="BY134" s="789" t="s">
        <v>866</v>
      </c>
      <c r="BZ134" s="390">
        <f>BZ133/BZ8/BZ17/((BZ11/BZ17)/(BZ11/BZ17+BZ12/BZ18+BZ13/BZ19))/(1-BZ22/100)*10000</f>
        <v>102.14427910309907</v>
      </c>
      <c r="CA134" s="384"/>
      <c r="CB134" s="385"/>
      <c r="CC134" s="384"/>
      <c r="CD134" s="789" t="s">
        <v>866</v>
      </c>
      <c r="CE134" s="390">
        <f>CE133/CE8/CE17/((CE11/CE17)/(CE11/CE17+CE12/CE18+CE13/CE19))/(1-CE22/100)*10000</f>
        <v>70.500483124076808</v>
      </c>
      <c r="CF134" s="384"/>
      <c r="CG134" s="385"/>
      <c r="CH134" s="366"/>
      <c r="CI134" s="789" t="s">
        <v>866</v>
      </c>
      <c r="CJ134" s="390">
        <f>CJ133/CJ8/CJ17/((CJ11/CJ17)/(CJ11/CJ17+CJ12/CJ18+CJ13/CJ19))/(1-CJ22/100)*10000</f>
        <v>102.14427910309907</v>
      </c>
      <c r="CK134" s="384"/>
      <c r="CL134" s="385"/>
      <c r="CN134" s="789" t="s">
        <v>866</v>
      </c>
      <c r="CO134" s="1038">
        <f>CO133/CO8/CO17/((CO11/CO17)/(CO11/CO17+CO12/CO18+CO13/CO19))/(1-CO22/100)*10000</f>
        <v>75.842414834731613</v>
      </c>
      <c r="CP134" s="384"/>
      <c r="CQ134" s="385"/>
      <c r="CT134" s="384"/>
    </row>
    <row r="135" spans="1:98" x14ac:dyDescent="0.3">
      <c r="A135" s="380"/>
      <c r="B135" s="762" t="s">
        <v>867</v>
      </c>
      <c r="C135" s="749">
        <f t="shared" si="2"/>
        <v>66.229321917446242</v>
      </c>
      <c r="D135" s="743" cm="1">
        <f t="array" ref="D135">IF(INDEX(135:135,$E$2)="","", INDEX(135:135, $E$2))</f>
        <v>66.229321917446242</v>
      </c>
      <c r="E135"/>
      <c r="F135" s="769"/>
      <c r="G135" s="1043"/>
      <c r="L135" s="789" t="s">
        <v>867</v>
      </c>
      <c r="M135" s="390">
        <f>M133*1.1/M37/M46/((M40/M46)/(M40/M46+M41/M47+M42/M48))/(1-M51/100)*10000</f>
        <v>44.707325079561066</v>
      </c>
      <c r="N135" s="384"/>
      <c r="O135" s="385"/>
      <c r="Q135" s="789" t="s">
        <v>867</v>
      </c>
      <c r="R135" s="390">
        <f>R133*1.1/R37/R46/((R40/R46)/(R40/R46+R41/R47+R42/R48))/(1-R51/100)*10000</f>
        <v>66.229321917446242</v>
      </c>
      <c r="S135" s="384"/>
      <c r="T135" s="385"/>
      <c r="U135" s="932"/>
      <c r="V135" s="789" t="s">
        <v>867</v>
      </c>
      <c r="W135" s="390">
        <f>W133*1.1/W37/W46/((W40/W46)/(W40/W46+W41/W47+W42/W48))/(1-W51/100)*10000</f>
        <v>44.707325079561066</v>
      </c>
      <c r="X135" s="384"/>
      <c r="Y135" s="385"/>
      <c r="Z135" s="366"/>
      <c r="AA135" s="789" t="s">
        <v>867</v>
      </c>
      <c r="AB135" s="390">
        <f>AB133*1.1/AB37/AB46/((AB40/AB46)/(AB40/AB46+AB41/AB47+AB42/AB48))/(1-AB51/100)*10000</f>
        <v>66.229321917446242</v>
      </c>
      <c r="AC135" s="384"/>
      <c r="AD135" s="385"/>
      <c r="AE135" s="384"/>
      <c r="AF135" s="789" t="s">
        <v>867</v>
      </c>
      <c r="AG135" s="390">
        <f>AG133*1.1/AG37/AG46/((AG40/AG46)/(AG40/AG46+AG41/AG47+AG42/AG48))/(1-AG51/100)*10000</f>
        <v>44.707325079561066</v>
      </c>
      <c r="AH135" s="384"/>
      <c r="AI135" s="385"/>
      <c r="AJ135" s="384"/>
      <c r="AK135" s="789" t="s">
        <v>867</v>
      </c>
      <c r="AL135" s="390">
        <f>AL133*1.1/AL37/AL46/((AL40/AL46)/(AL40/AL46+AL41/AL47+AL42/AL48))/(1-AL51/100)*10000</f>
        <v>66.229321917446242</v>
      </c>
      <c r="AM135" s="384"/>
      <c r="AN135" s="385"/>
      <c r="AO135" s="384"/>
      <c r="AP135" s="789" t="s">
        <v>867</v>
      </c>
      <c r="AQ135" s="390">
        <f>AQ133*1.1/AQ37/AQ46/((AQ40/AQ46)/(AQ40/AQ46+AQ41/AQ47+AQ42/AQ48))/(1-AQ51/100)*10000</f>
        <v>44.707325079561066</v>
      </c>
      <c r="AR135" s="384"/>
      <c r="AS135" s="385"/>
      <c r="AT135" s="384"/>
      <c r="AU135" s="789" t="s">
        <v>867</v>
      </c>
      <c r="AV135" s="390">
        <f>AV133*1.1/AV37/AV46/((AV40/AV46)/(AV40/AV46+AV41/AV47+AV42/AV48))/(1-AV51/100)*10000</f>
        <v>66.229321917446242</v>
      </c>
      <c r="AW135" s="384"/>
      <c r="AX135" s="385"/>
      <c r="AY135" s="384"/>
      <c r="AZ135" s="789" t="s">
        <v>867</v>
      </c>
      <c r="BA135" s="390">
        <f>BA133*1.1/BA37/BA46/((BA40/BA46)/(BA40/BA46+BA41/BA47+BA42/BA48))/(1-BA51/100)*10000</f>
        <v>44.707325079561066</v>
      </c>
      <c r="BB135" s="384"/>
      <c r="BC135" s="385"/>
      <c r="BD135" s="384"/>
      <c r="BE135" s="789" t="s">
        <v>867</v>
      </c>
      <c r="BF135" s="390">
        <f>BF133*1.1/BF37/BF46/((BF40/BF46)/(BF40/BF46+BF41/BF47+BF42/BF48))/(1-BF51/100)*10000</f>
        <v>66.229321917446242</v>
      </c>
      <c r="BG135" s="384"/>
      <c r="BH135" s="385"/>
      <c r="BI135" s="384"/>
      <c r="BJ135" s="789" t="s">
        <v>867</v>
      </c>
      <c r="BK135" s="390">
        <f>BK133*1.1/BK37/BK46/((BK40/BK46)/(BK40/BK46+BK41/BK47+BK42/BK48))/(1-BK51/100)*10000</f>
        <v>44.707325079561066</v>
      </c>
      <c r="BL135" s="384"/>
      <c r="BM135" s="385"/>
      <c r="BN135" s="384"/>
      <c r="BO135" s="789" t="s">
        <v>867</v>
      </c>
      <c r="BP135" s="390">
        <f>BP133*1.1/BP37/BP46/((BP40/BP46)/(BP40/BP46+BP41/BP47+BP42/BP48))/(1-BP51/100)*10000</f>
        <v>66.229321917446242</v>
      </c>
      <c r="BQ135" s="384"/>
      <c r="BR135" s="385"/>
      <c r="BS135" s="384"/>
      <c r="BT135" s="789" t="s">
        <v>867</v>
      </c>
      <c r="BU135" s="390">
        <f>BU133*1.1/BU37/BU46/((BU40/BU46)/(BU40/BU46+BU41/BU47+BU42/BU48))/(1-BU51/100)*10000</f>
        <v>44.707325079561066</v>
      </c>
      <c r="BV135" s="384"/>
      <c r="BW135" s="385"/>
      <c r="BX135" s="384"/>
      <c r="BY135" s="789" t="s">
        <v>867</v>
      </c>
      <c r="BZ135" s="390">
        <f>BZ133*1.1/BZ37/BZ46/((BZ40/BZ46)/(BZ40/BZ46+BZ41/BZ47+BZ42/BZ48))/(1-BZ51/100)*10000</f>
        <v>66.229321917446242</v>
      </c>
      <c r="CA135" s="384"/>
      <c r="CB135" s="385"/>
      <c r="CC135" s="384"/>
      <c r="CD135" s="789" t="s">
        <v>867</v>
      </c>
      <c r="CE135" s="390">
        <f>CE133*1.1/CE37/CE46/((CE40/CE46)/(CE40/CE46+CE41/CE47+CE42/CE48))/(1-CE51/100)*10000</f>
        <v>68.859292744451665</v>
      </c>
      <c r="CF135" s="384"/>
      <c r="CG135" s="385"/>
      <c r="CH135" s="366"/>
      <c r="CI135" s="789" t="s">
        <v>867</v>
      </c>
      <c r="CJ135" s="390">
        <f>CJ133*1.1/CJ37/CJ46/((CJ40/CJ46)/(CJ40/CJ46+CJ41/CJ47+CJ42/CJ48))/(1-CJ51/100)*10000</f>
        <v>100.84159275692684</v>
      </c>
      <c r="CK135" s="384"/>
      <c r="CL135" s="385"/>
      <c r="CN135" s="789" t="s">
        <v>867</v>
      </c>
      <c r="CO135" s="1038">
        <f>CO133*1.1/CO37/CO46/((CO40/CO46)/(CO40/CO46+CO41/CO47+CO42/CO48))/(1-CO51/100)*10000</f>
        <v>78.237818889231875</v>
      </c>
      <c r="CP135" s="384"/>
      <c r="CQ135" s="385"/>
      <c r="CT135" s="384"/>
    </row>
    <row r="136" spans="1:98" x14ac:dyDescent="0.3">
      <c r="A136" s="380"/>
      <c r="B136" s="762" t="s">
        <v>868</v>
      </c>
      <c r="C136" s="749">
        <f t="shared" ref="C136" si="3">IF(AND(D136="",E136=""),"",IF(E136="",D136,E136))</f>
        <v>5</v>
      </c>
      <c r="D136" s="743" cm="1">
        <f t="array" ref="D136">IF(INDEX(136:136,$E$2)="","", INDEX(136:136, $E$2))</f>
        <v>5</v>
      </c>
      <c r="E136"/>
      <c r="F136" s="769"/>
      <c r="G136" s="1043"/>
      <c r="L136" s="789" t="s">
        <v>869</v>
      </c>
      <c r="M136" s="390">
        <v>5</v>
      </c>
      <c r="N136" s="384"/>
      <c r="O136" s="385"/>
      <c r="Q136" s="789" t="s">
        <v>869</v>
      </c>
      <c r="R136" s="390">
        <v>5</v>
      </c>
      <c r="S136" s="384"/>
      <c r="T136" s="385"/>
      <c r="U136" s="932"/>
      <c r="V136" s="789" t="s">
        <v>869</v>
      </c>
      <c r="W136" s="390">
        <v>5</v>
      </c>
      <c r="X136" s="384"/>
      <c r="Y136" s="385"/>
      <c r="Z136" s="366"/>
      <c r="AA136" s="789" t="s">
        <v>869</v>
      </c>
      <c r="AB136" s="390">
        <v>5</v>
      </c>
      <c r="AC136" s="384"/>
      <c r="AD136" s="385"/>
      <c r="AE136" s="384"/>
      <c r="AF136" s="789" t="s">
        <v>869</v>
      </c>
      <c r="AG136" s="390">
        <v>5</v>
      </c>
      <c r="AH136" s="384"/>
      <c r="AI136" s="385"/>
      <c r="AJ136" s="384"/>
      <c r="AK136" s="789" t="s">
        <v>869</v>
      </c>
      <c r="AL136" s="390">
        <v>5</v>
      </c>
      <c r="AM136" s="384"/>
      <c r="AN136" s="385"/>
      <c r="AO136" s="384"/>
      <c r="AP136" s="789" t="s">
        <v>869</v>
      </c>
      <c r="AQ136" s="390">
        <v>5</v>
      </c>
      <c r="AR136" s="384"/>
      <c r="AS136" s="385"/>
      <c r="AT136" s="384"/>
      <c r="AU136" s="789" t="s">
        <v>869</v>
      </c>
      <c r="AV136" s="390">
        <v>5</v>
      </c>
      <c r="AW136" s="384"/>
      <c r="AX136" s="385"/>
      <c r="AY136" s="384"/>
      <c r="AZ136" s="789" t="s">
        <v>869</v>
      </c>
      <c r="BA136" s="390">
        <v>5</v>
      </c>
      <c r="BB136" s="384"/>
      <c r="BC136" s="385"/>
      <c r="BD136" s="384"/>
      <c r="BE136" s="789" t="s">
        <v>869</v>
      </c>
      <c r="BF136" s="390">
        <v>5</v>
      </c>
      <c r="BG136" s="384"/>
      <c r="BH136" s="385"/>
      <c r="BI136" s="384"/>
      <c r="BJ136" s="789" t="s">
        <v>869</v>
      </c>
      <c r="BK136" s="390">
        <v>5</v>
      </c>
      <c r="BL136" s="384"/>
      <c r="BM136" s="385"/>
      <c r="BN136" s="384"/>
      <c r="BO136" s="789" t="s">
        <v>869</v>
      </c>
      <c r="BP136" s="390">
        <v>5</v>
      </c>
      <c r="BQ136" s="384"/>
      <c r="BR136" s="385"/>
      <c r="BS136" s="384"/>
      <c r="BT136" s="789" t="s">
        <v>869</v>
      </c>
      <c r="BU136" s="390">
        <v>5</v>
      </c>
      <c r="BV136" s="384"/>
      <c r="BW136" s="385"/>
      <c r="BX136" s="384"/>
      <c r="BY136" s="789" t="s">
        <v>869</v>
      </c>
      <c r="BZ136" s="390">
        <v>5</v>
      </c>
      <c r="CA136" s="384"/>
      <c r="CB136" s="385"/>
      <c r="CC136" s="384"/>
      <c r="CD136" s="789" t="s">
        <v>869</v>
      </c>
      <c r="CE136" s="390">
        <v>5</v>
      </c>
      <c r="CF136" s="384"/>
      <c r="CG136" s="385"/>
      <c r="CH136" s="366"/>
      <c r="CI136" s="789" t="s">
        <v>869</v>
      </c>
      <c r="CJ136" s="390">
        <v>5</v>
      </c>
      <c r="CK136" s="384"/>
      <c r="CL136" s="385"/>
      <c r="CN136" s="789" t="s">
        <v>869</v>
      </c>
      <c r="CO136" s="390">
        <v>5</v>
      </c>
      <c r="CP136" s="384"/>
      <c r="CQ136" s="385"/>
      <c r="CT136" s="384"/>
    </row>
    <row r="137" spans="1:98" x14ac:dyDescent="0.3">
      <c r="A137" s="380"/>
      <c r="B137" s="762"/>
      <c r="C137" s="749"/>
      <c r="D137" s="743"/>
      <c r="E137" s="740"/>
      <c r="F137" s="769"/>
      <c r="L137" s="789"/>
      <c r="M137" s="384"/>
      <c r="N137" s="384"/>
      <c r="O137" s="385"/>
      <c r="Q137" s="789"/>
      <c r="R137" s="384"/>
      <c r="S137" s="384"/>
      <c r="T137" s="385"/>
      <c r="U137" s="932"/>
      <c r="V137" s="789"/>
      <c r="W137" s="390"/>
      <c r="X137" s="384"/>
      <c r="Y137" s="385"/>
      <c r="Z137" s="932"/>
      <c r="AA137" s="789"/>
      <c r="AB137" s="390"/>
      <c r="AC137" s="384"/>
      <c r="AD137" s="385"/>
      <c r="AE137" s="384"/>
      <c r="AF137" s="789"/>
      <c r="AG137" s="390"/>
      <c r="AH137" s="384"/>
      <c r="AI137" s="385"/>
      <c r="AJ137" s="384"/>
      <c r="AK137" s="789"/>
      <c r="AL137" s="390"/>
      <c r="AM137" s="384"/>
      <c r="AN137" s="385"/>
      <c r="AO137" s="384"/>
      <c r="AP137" s="789"/>
      <c r="AQ137" s="390"/>
      <c r="AR137" s="384"/>
      <c r="AS137" s="385"/>
      <c r="AT137" s="384"/>
      <c r="AU137" s="789"/>
      <c r="AV137" s="390"/>
      <c r="AW137" s="384"/>
      <c r="AX137" s="385"/>
      <c r="AY137" s="384"/>
      <c r="AZ137" s="789"/>
      <c r="BA137" s="390"/>
      <c r="BB137" s="384"/>
      <c r="BC137" s="385"/>
      <c r="BD137" s="384"/>
      <c r="BE137" s="789"/>
      <c r="BF137" s="390"/>
      <c r="BG137" s="384"/>
      <c r="BH137" s="385"/>
      <c r="BI137" s="384"/>
      <c r="BJ137" s="789"/>
      <c r="BK137" s="390"/>
      <c r="BL137" s="384"/>
      <c r="BM137" s="385"/>
      <c r="BN137" s="384"/>
      <c r="BO137" s="789"/>
      <c r="BP137" s="390"/>
      <c r="BQ137" s="384"/>
      <c r="BR137" s="385"/>
      <c r="BS137" s="384"/>
      <c r="BT137" s="789"/>
      <c r="BU137" s="390"/>
      <c r="BV137" s="384"/>
      <c r="BW137" s="385"/>
      <c r="BX137" s="384"/>
      <c r="BY137" s="789"/>
      <c r="BZ137" s="390"/>
      <c r="CA137" s="384"/>
      <c r="CB137" s="385"/>
      <c r="CC137" s="384"/>
      <c r="CD137" s="789"/>
      <c r="CE137" s="390"/>
      <c r="CF137" s="384"/>
      <c r="CG137" s="385"/>
      <c r="CI137" s="789"/>
      <c r="CJ137" s="390"/>
      <c r="CK137" s="384"/>
      <c r="CL137" s="385"/>
      <c r="CN137" s="789"/>
      <c r="CO137" s="384"/>
      <c r="CP137" s="384"/>
      <c r="CQ137" s="385"/>
      <c r="CT137" s="384"/>
    </row>
    <row r="138" spans="1:98" ht="15.5" x14ac:dyDescent="0.35">
      <c r="A138" s="380"/>
      <c r="B138" s="627" t="s">
        <v>870</v>
      </c>
      <c r="C138" s="749" t="str">
        <f t="shared" si="2"/>
        <v/>
      </c>
      <c r="D138" s="743" t="str" cm="1">
        <f t="array" ref="D138">IF(INDEX(138:138,$E$2)="","", INDEX(138:138, $E$2))</f>
        <v/>
      </c>
      <c r="E138" s="740"/>
      <c r="F138" s="769"/>
      <c r="L138" s="790" t="s">
        <v>870</v>
      </c>
      <c r="M138" s="384"/>
      <c r="N138" s="384"/>
      <c r="O138" s="385"/>
      <c r="Q138" s="790" t="s">
        <v>870</v>
      </c>
      <c r="R138" s="384"/>
      <c r="S138" s="384"/>
      <c r="T138" s="385"/>
      <c r="U138" s="932"/>
      <c r="V138" s="790" t="s">
        <v>870</v>
      </c>
      <c r="W138" s="384"/>
      <c r="X138" s="384"/>
      <c r="Y138" s="385"/>
      <c r="Z138" s="932"/>
      <c r="AA138" s="790" t="s">
        <v>870</v>
      </c>
      <c r="AB138" s="384"/>
      <c r="AC138" s="384"/>
      <c r="AD138" s="385"/>
      <c r="AE138" s="384"/>
      <c r="AF138" s="790" t="s">
        <v>870</v>
      </c>
      <c r="AG138" s="384"/>
      <c r="AH138" s="384"/>
      <c r="AI138" s="385"/>
      <c r="AJ138" s="384"/>
      <c r="AK138" s="790" t="s">
        <v>870</v>
      </c>
      <c r="AL138" s="384"/>
      <c r="AM138" s="384"/>
      <c r="AN138" s="385"/>
      <c r="AO138" s="384"/>
      <c r="AP138" s="790" t="s">
        <v>870</v>
      </c>
      <c r="AQ138" s="384"/>
      <c r="AR138" s="384"/>
      <c r="AS138" s="385"/>
      <c r="AT138" s="384"/>
      <c r="AU138" s="790" t="s">
        <v>870</v>
      </c>
      <c r="AV138" s="384"/>
      <c r="AW138" s="384"/>
      <c r="AX138" s="385"/>
      <c r="AY138" s="384"/>
      <c r="AZ138" s="790" t="s">
        <v>870</v>
      </c>
      <c r="BA138" s="384"/>
      <c r="BB138" s="384"/>
      <c r="BC138" s="385"/>
      <c r="BD138" s="384"/>
      <c r="BE138" s="790" t="s">
        <v>870</v>
      </c>
      <c r="BF138" s="384"/>
      <c r="BG138" s="384"/>
      <c r="BH138" s="385"/>
      <c r="BI138" s="384"/>
      <c r="BJ138" s="790" t="s">
        <v>870</v>
      </c>
      <c r="BK138" s="384"/>
      <c r="BL138" s="384"/>
      <c r="BM138" s="385"/>
      <c r="BN138" s="384"/>
      <c r="BO138" s="790" t="s">
        <v>870</v>
      </c>
      <c r="BP138" s="384"/>
      <c r="BQ138" s="384"/>
      <c r="BR138" s="385"/>
      <c r="BS138" s="384"/>
      <c r="BT138" s="790" t="s">
        <v>870</v>
      </c>
      <c r="BU138" s="384"/>
      <c r="BV138" s="384"/>
      <c r="BW138" s="385"/>
      <c r="BX138" s="384"/>
      <c r="BY138" s="790" t="s">
        <v>870</v>
      </c>
      <c r="BZ138" s="384"/>
      <c r="CA138" s="384"/>
      <c r="CB138" s="385"/>
      <c r="CC138" s="384"/>
      <c r="CD138" s="790" t="s">
        <v>870</v>
      </c>
      <c r="CE138" s="384"/>
      <c r="CF138" s="384"/>
      <c r="CG138" s="385"/>
      <c r="CI138" s="790" t="s">
        <v>870</v>
      </c>
      <c r="CJ138" s="384"/>
      <c r="CK138" s="384"/>
      <c r="CL138" s="385"/>
      <c r="CN138" s="790" t="s">
        <v>870</v>
      </c>
      <c r="CO138" s="384"/>
      <c r="CP138" s="384"/>
      <c r="CQ138" s="385"/>
      <c r="CT138" s="384"/>
    </row>
    <row r="139" spans="1:98" x14ac:dyDescent="0.3">
      <c r="A139" s="380"/>
      <c r="B139" s="491" t="s">
        <v>871</v>
      </c>
      <c r="C139" s="749">
        <f t="shared" si="2"/>
        <v>0.93064727822791293</v>
      </c>
      <c r="D139" s="743" cm="1">
        <f t="array" ref="D139">IF(INDEX(139:139,$E$2)="","", INDEX(139:139, $E$2))</f>
        <v>0.93064727822791293</v>
      </c>
      <c r="E139" s="740"/>
      <c r="F139" s="769"/>
      <c r="L139" s="425" t="s">
        <v>872</v>
      </c>
      <c r="M139" s="390">
        <f>1/(M134/10000)/M24/(M25/1000*96485/8.314/298.15)*((1-M133*M136/M68)*(1-M136/M141)^2)^-0.5</f>
        <v>0.6252518691967045</v>
      </c>
      <c r="N139" s="384"/>
      <c r="O139" s="385"/>
      <c r="Q139" s="425" t="s">
        <v>872</v>
      </c>
      <c r="R139" s="390">
        <f>1/(R134/10000)/R24/(R25/1000*96485/8.314/298.15)*((1-R133*R136/R68)*(1-R136/R141)^2)^-0.5</f>
        <v>0.74634774700581219</v>
      </c>
      <c r="S139" s="384"/>
      <c r="T139" s="385"/>
      <c r="U139" s="932"/>
      <c r="V139" s="425" t="s">
        <v>872</v>
      </c>
      <c r="W139" s="390">
        <f>1/(W134/10000)/W24/(W25/1000*96485/8.314/298.15)*((1-W133*W136/W68)*(1-W136/W141)^2)^-0.5</f>
        <v>0.68292250278285682</v>
      </c>
      <c r="X139" s="384"/>
      <c r="Y139" s="385"/>
      <c r="Z139" s="932"/>
      <c r="AA139" s="425" t="s">
        <v>872</v>
      </c>
      <c r="AB139" s="390">
        <f>1/(AB134/10000)/AB24/(AB25/1000*96485/8.314/298.15)*((1-AB133*AB136/AB68)*(1-AB136/AB141)^2)^-0.5</f>
        <v>0.81518776103203405</v>
      </c>
      <c r="AC139" s="384"/>
      <c r="AD139" s="385"/>
      <c r="AE139" s="384"/>
      <c r="AF139" s="425" t="s">
        <v>872</v>
      </c>
      <c r="AG139" s="390">
        <f>1/(AG134/10000)/AG24/(AG25/1000*96485/8.314/298.15)*((1-AG133*AG136/AG68)*(1-AG136/AG141)^2)^-0.5</f>
        <v>0.69679265516433686</v>
      </c>
      <c r="AH139" s="384"/>
      <c r="AI139" s="385"/>
      <c r="AJ139" s="384"/>
      <c r="AK139" s="425" t="s">
        <v>872</v>
      </c>
      <c r="AL139" s="390">
        <f>1/(AL134/10000)/AL24/(AL25/1000*96485/8.314/298.15)*((1-AL133*AL136/AL68)*(1-AL136/AL141)^2)^-0.5</f>
        <v>0.83174422010163196</v>
      </c>
      <c r="AM139" s="384"/>
      <c r="AN139" s="385"/>
      <c r="AO139" s="384"/>
      <c r="AP139" s="425" t="s">
        <v>872</v>
      </c>
      <c r="AQ139" s="390">
        <f>1/(AQ134/10000)/AQ24/(AQ25/1000*96485/8.314/298.15)*((1-AQ133*AQ136/AQ68)*(1-AQ136/AQ141)^2)^-0.5</f>
        <v>0.77964856544317618</v>
      </c>
      <c r="AR139" s="384"/>
      <c r="AS139" s="385"/>
      <c r="AT139" s="384"/>
      <c r="AU139" s="425" t="s">
        <v>872</v>
      </c>
      <c r="AV139" s="390">
        <f>1/(AV134/10000)/AV24/(AV25/1000*96485/8.314/298.15)*((1-AV133*AV136/AV68)*(1-AV136/AV141)^2)^-0.5</f>
        <v>0.93064727822791293</v>
      </c>
      <c r="AW139" s="384"/>
      <c r="AX139" s="385"/>
      <c r="AY139" s="384"/>
      <c r="AZ139" s="425" t="s">
        <v>872</v>
      </c>
      <c r="BA139" s="390">
        <f>1/(BA134/10000)/BA24/(BA25/1000*96485/8.314/298.15)*((1-BA133*BA136/BA68)*(1-BA136/BA141)^2)^-0.5</f>
        <v>0.75792101491010566</v>
      </c>
      <c r="BB139" s="384"/>
      <c r="BC139" s="385"/>
      <c r="BD139" s="384"/>
      <c r="BE139" s="425" t="s">
        <v>872</v>
      </c>
      <c r="BF139" s="390">
        <f>1/(BF134/10000)/BF24/(BF25/1000*96485/8.314/298.15)*((1-BF133*BF136/BF68)*(1-BF136/BF141)^2)^-0.5</f>
        <v>0.90471163662935838</v>
      </c>
      <c r="BG139" s="384"/>
      <c r="BH139" s="385"/>
      <c r="BI139" s="384"/>
      <c r="BJ139" s="425" t="s">
        <v>872</v>
      </c>
      <c r="BK139" s="390">
        <f>1/(BK134/10000)/BK24/(BK25/1000*96485/8.314/298.15)*((1-BK133*BK136/BK68)*(1-BK136/BK141)^2)^-0.5</f>
        <v>5.3044796475054216E-2</v>
      </c>
      <c r="BL139" s="384"/>
      <c r="BM139" s="385"/>
      <c r="BN139" s="384"/>
      <c r="BO139" s="425" t="s">
        <v>872</v>
      </c>
      <c r="BP139" s="390">
        <f>1/(BP134/10000)/BP24/(BP25/1000*96485/8.314/298.15)*((1-BP133*BP136/BP68)*(1-BP136/BP141)^2)^-0.5</f>
        <v>6.3318266269882281E-2</v>
      </c>
      <c r="BQ139" s="384"/>
      <c r="BR139" s="385"/>
      <c r="BS139" s="384"/>
      <c r="BT139" s="425" t="s">
        <v>872</v>
      </c>
      <c r="BU139" s="390">
        <f>1/(BU134/10000)/BU24/(BU25/1000*96485/8.314/298.15)*((1-BU133*BU136/BU68)*(1-BU136/BU141)^2)^-0.5</f>
        <v>0.39379458440497955</v>
      </c>
      <c r="BV139" s="384"/>
      <c r="BW139" s="385"/>
      <c r="BX139" s="384"/>
      <c r="BY139" s="425" t="s">
        <v>872</v>
      </c>
      <c r="BZ139" s="390">
        <f>1/(BZ134/10000)/BZ24/(BZ25/1000*96485/8.314/298.15)*((1-BZ133*BZ136/BZ68)*(1-BZ136/BZ141)^2)^-0.5</f>
        <v>0.4700628903858311</v>
      </c>
      <c r="CA139" s="384"/>
      <c r="CB139" s="385"/>
      <c r="CC139" s="384"/>
      <c r="CD139" s="425" t="s">
        <v>872</v>
      </c>
      <c r="CE139" s="390">
        <f>1/(CE134/10000)/CE24/(CE25/1000*96485/8.314/298.15)*((1-CE133*CE136/CE68)*(1-CE136/CE141)^2)^-0.5</f>
        <v>0.39379458440497955</v>
      </c>
      <c r="CF139" s="384"/>
      <c r="CG139" s="385"/>
      <c r="CI139" s="425" t="s">
        <v>872</v>
      </c>
      <c r="CJ139" s="390">
        <f>1/(CJ134/10000)/CJ24/(CJ25/1000*96485/8.314/298.15)*((1-CJ133*CJ136/CJ68)*(1-CJ136/CJ141)^2)^-0.5</f>
        <v>0.4700628903858311</v>
      </c>
      <c r="CK139" s="384"/>
      <c r="CL139" s="385"/>
      <c r="CN139" s="425" t="s">
        <v>872</v>
      </c>
      <c r="CO139" s="390">
        <f>1/(CO134/10000)/CO24/(CO25/1000*96485/8.314/298.15)*((1-CO133*CO136/CO68)*(1-CO136/CO141)^2)^-0.5</f>
        <v>0.63588608791277645</v>
      </c>
      <c r="CP139" s="384"/>
      <c r="CQ139" s="385"/>
      <c r="CT139" s="384"/>
    </row>
    <row r="140" spans="1:98" x14ac:dyDescent="0.3">
      <c r="A140" s="380"/>
      <c r="B140" s="491" t="s">
        <v>873</v>
      </c>
      <c r="C140" s="749">
        <f t="shared" si="2"/>
        <v>2.154850253047718</v>
      </c>
      <c r="D140" s="739" cm="1">
        <f t="array" ref="D140">IF(INDEX(140:140,$E$2)="","", INDEX(140:140, $E$2))</f>
        <v>2.154850253047718</v>
      </c>
      <c r="E140" s="740"/>
      <c r="F140" s="769"/>
      <c r="L140" s="425" t="s">
        <v>874</v>
      </c>
      <c r="M140" s="390">
        <f>1/(M135/10000)/M53/(M54/1000*96485/8.314/298.15)</f>
        <v>2.5139919618890043</v>
      </c>
      <c r="N140" s="384"/>
      <c r="O140" s="385"/>
      <c r="Q140" s="425" t="s">
        <v>874</v>
      </c>
      <c r="R140" s="390">
        <f>1/(R135/10000)/R53/(R54/1000*96485/8.314/298.15)</f>
        <v>2.154850253047718</v>
      </c>
      <c r="S140" s="384"/>
      <c r="T140" s="385"/>
      <c r="U140" s="932"/>
      <c r="V140" s="425" t="s">
        <v>874</v>
      </c>
      <c r="W140" s="390">
        <f>1/(W135/10000)/W53/(W54/1000*96485/8.314/298.15)</f>
        <v>2.5139919618890043</v>
      </c>
      <c r="X140" s="384"/>
      <c r="Y140" s="385"/>
      <c r="Z140" s="932"/>
      <c r="AA140" s="425" t="s">
        <v>874</v>
      </c>
      <c r="AB140" s="390">
        <f>1/(AB135/10000)/AB53/(AB54/1000*96485/8.314/298.15)</f>
        <v>2.154850253047718</v>
      </c>
      <c r="AC140" s="384"/>
      <c r="AD140" s="385"/>
      <c r="AE140" s="384"/>
      <c r="AF140" s="425" t="s">
        <v>874</v>
      </c>
      <c r="AG140" s="390">
        <f>1/(AG135/10000)/AG53/(AG54/1000*96485/8.314/298.15)</f>
        <v>2.5139919618890043</v>
      </c>
      <c r="AH140" s="384"/>
      <c r="AI140" s="385"/>
      <c r="AJ140" s="384"/>
      <c r="AK140" s="425" t="s">
        <v>874</v>
      </c>
      <c r="AL140" s="390">
        <f>1/(AL135/10000)/AL53/(AL54/1000*96485/8.314/298.15)</f>
        <v>2.154850253047718</v>
      </c>
      <c r="AM140" s="384"/>
      <c r="AN140" s="385"/>
      <c r="AO140" s="384"/>
      <c r="AP140" s="425" t="s">
        <v>874</v>
      </c>
      <c r="AQ140" s="390">
        <f>1/(AQ135/10000)/AQ53/(AQ54/1000*96485/8.314/298.15)</f>
        <v>2.5139919618890043</v>
      </c>
      <c r="AR140" s="384"/>
      <c r="AS140" s="385"/>
      <c r="AT140" s="384"/>
      <c r="AU140" s="425" t="s">
        <v>874</v>
      </c>
      <c r="AV140" s="390">
        <f>1/(AV135/10000)/AV53/(AV54/1000*96485/8.314/298.15)</f>
        <v>2.154850253047718</v>
      </c>
      <c r="AW140" s="384"/>
      <c r="AX140" s="385"/>
      <c r="AY140" s="384"/>
      <c r="AZ140" s="425" t="s">
        <v>874</v>
      </c>
      <c r="BA140" s="390">
        <f>1/(BA135/10000)/BA53/(BA54/1000*96485/8.314/298.15)</f>
        <v>2.5139919618890043</v>
      </c>
      <c r="BB140" s="384"/>
      <c r="BC140" s="385"/>
      <c r="BD140" s="384"/>
      <c r="BE140" s="425" t="s">
        <v>874</v>
      </c>
      <c r="BF140" s="390">
        <f>1/(BF135/10000)/BF53/(BF54/1000*96485/8.314/298.15)</f>
        <v>2.154850253047718</v>
      </c>
      <c r="BG140" s="384"/>
      <c r="BH140" s="385"/>
      <c r="BI140" s="384"/>
      <c r="BJ140" s="425" t="s">
        <v>874</v>
      </c>
      <c r="BK140" s="390">
        <f>1/(BK135/10000)/BK53/(BK54/1000*96485/8.314/298.15)</f>
        <v>2.5139919618890043</v>
      </c>
      <c r="BL140" s="384"/>
      <c r="BM140" s="385"/>
      <c r="BN140" s="384"/>
      <c r="BO140" s="425" t="s">
        <v>874</v>
      </c>
      <c r="BP140" s="390">
        <f>1/(BP135/10000)/BP53/(BP54/1000*96485/8.314/298.15)</f>
        <v>2.154850253047718</v>
      </c>
      <c r="BQ140" s="384"/>
      <c r="BR140" s="385"/>
      <c r="BS140" s="384"/>
      <c r="BT140" s="425" t="s">
        <v>874</v>
      </c>
      <c r="BU140" s="390">
        <f>1/(BU135/10000)/BU53/(BU54/1000*96485/8.314/298.15)</f>
        <v>2.5139919618890043</v>
      </c>
      <c r="BV140" s="384"/>
      <c r="BW140" s="385"/>
      <c r="BX140" s="384"/>
      <c r="BY140" s="425" t="s">
        <v>874</v>
      </c>
      <c r="BZ140" s="390">
        <f>1/(BZ135/10000)/BZ53/(BZ54/1000*96485/8.314/298.15)</f>
        <v>2.154850253047718</v>
      </c>
      <c r="CA140" s="384"/>
      <c r="CB140" s="385"/>
      <c r="CC140" s="384"/>
      <c r="CD140" s="425" t="s">
        <v>874</v>
      </c>
      <c r="CE140" s="390">
        <f>1/(CE135/10000)/CE53/(CE54/1000*96485/8.314/298.15)</f>
        <v>0.54527706383626895</v>
      </c>
      <c r="CF140" s="384"/>
      <c r="CG140" s="385"/>
      <c r="CI140" s="425" t="s">
        <v>874</v>
      </c>
      <c r="CJ140" s="390">
        <f>1/(CJ135/10000)/CJ53/(CJ54/1000*96485/8.314/298.15)</f>
        <v>0.62317378724145034</v>
      </c>
      <c r="CK140" s="384"/>
      <c r="CL140" s="385"/>
      <c r="CN140" s="425" t="s">
        <v>874</v>
      </c>
      <c r="CO140" s="1038">
        <f>1/(CO135/10000)/CO53/(CO54/1000*96485/8.314/298.15)</f>
        <v>1.4365668353651453</v>
      </c>
      <c r="CP140" s="384"/>
      <c r="CQ140" s="385"/>
      <c r="CT140" s="384"/>
    </row>
    <row r="141" spans="1:98" x14ac:dyDescent="0.3">
      <c r="A141" s="380"/>
      <c r="B141" s="762" t="s">
        <v>875</v>
      </c>
      <c r="C141" s="749">
        <f t="shared" si="2"/>
        <v>120</v>
      </c>
      <c r="D141" s="743" cm="1">
        <f t="array" ref="D141">IF(INDEX(141:141,$E$2)="","", INDEX(141:141, $E$2))</f>
        <v>120</v>
      </c>
      <c r="E141" s="740"/>
      <c r="F141" s="769"/>
      <c r="L141" s="789" t="s">
        <v>875</v>
      </c>
      <c r="M141" s="410">
        <v>120</v>
      </c>
      <c r="N141" s="384"/>
      <c r="O141" s="385"/>
      <c r="Q141" s="789" t="s">
        <v>875</v>
      </c>
      <c r="R141" s="410">
        <v>120</v>
      </c>
      <c r="S141" s="384"/>
      <c r="T141" s="385"/>
      <c r="U141" s="932"/>
      <c r="V141" s="789" t="s">
        <v>875</v>
      </c>
      <c r="W141" s="410">
        <v>120</v>
      </c>
      <c r="X141" s="384"/>
      <c r="Y141" s="385"/>
      <c r="Z141" s="932"/>
      <c r="AA141" s="789" t="s">
        <v>875</v>
      </c>
      <c r="AB141" s="410">
        <v>120</v>
      </c>
      <c r="AC141" s="384"/>
      <c r="AD141" s="385"/>
      <c r="AE141" s="384"/>
      <c r="AF141" s="789" t="s">
        <v>875</v>
      </c>
      <c r="AG141" s="410">
        <v>120</v>
      </c>
      <c r="AH141" s="384"/>
      <c r="AI141" s="385"/>
      <c r="AJ141" s="384"/>
      <c r="AK141" s="789" t="s">
        <v>875</v>
      </c>
      <c r="AL141" s="410">
        <v>120</v>
      </c>
      <c r="AM141" s="384"/>
      <c r="AN141" s="385"/>
      <c r="AO141" s="384"/>
      <c r="AP141" s="789" t="s">
        <v>875</v>
      </c>
      <c r="AQ141" s="410">
        <v>120</v>
      </c>
      <c r="AR141" s="384"/>
      <c r="AS141" s="385"/>
      <c r="AT141" s="384"/>
      <c r="AU141" s="789" t="s">
        <v>875</v>
      </c>
      <c r="AV141" s="410">
        <v>120</v>
      </c>
      <c r="AW141" s="384"/>
      <c r="AX141" s="385"/>
      <c r="AY141" s="384"/>
      <c r="AZ141" s="789" t="s">
        <v>875</v>
      </c>
      <c r="BA141" s="410">
        <v>120</v>
      </c>
      <c r="BB141" s="384"/>
      <c r="BC141" s="385"/>
      <c r="BD141" s="384"/>
      <c r="BE141" s="789" t="s">
        <v>875</v>
      </c>
      <c r="BF141" s="410">
        <v>120</v>
      </c>
      <c r="BG141" s="384"/>
      <c r="BH141" s="385"/>
      <c r="BI141" s="384"/>
      <c r="BJ141" s="789" t="s">
        <v>875</v>
      </c>
      <c r="BK141" s="410">
        <v>120</v>
      </c>
      <c r="BL141" s="384"/>
      <c r="BM141" s="385"/>
      <c r="BN141" s="384"/>
      <c r="BO141" s="789" t="s">
        <v>875</v>
      </c>
      <c r="BP141" s="410">
        <v>120</v>
      </c>
      <c r="BQ141" s="384"/>
      <c r="BR141" s="385"/>
      <c r="BS141" s="384"/>
      <c r="BT141" s="789" t="s">
        <v>875</v>
      </c>
      <c r="BU141" s="410">
        <v>120</v>
      </c>
      <c r="BV141" s="384"/>
      <c r="BW141" s="385"/>
      <c r="BX141" s="384"/>
      <c r="BY141" s="789" t="s">
        <v>875</v>
      </c>
      <c r="BZ141" s="410">
        <v>120</v>
      </c>
      <c r="CA141" s="384"/>
      <c r="CB141" s="385"/>
      <c r="CC141" s="384"/>
      <c r="CD141" s="789" t="s">
        <v>875</v>
      </c>
      <c r="CE141" s="410">
        <v>120</v>
      </c>
      <c r="CF141" s="384"/>
      <c r="CG141" s="385"/>
      <c r="CI141" s="789" t="s">
        <v>875</v>
      </c>
      <c r="CJ141" s="410">
        <v>120</v>
      </c>
      <c r="CK141" s="384"/>
      <c r="CL141" s="385"/>
      <c r="CN141" s="789" t="s">
        <v>875</v>
      </c>
      <c r="CO141" s="1041">
        <v>120</v>
      </c>
      <c r="CP141" s="384"/>
      <c r="CQ141" s="385"/>
      <c r="CT141" s="384"/>
    </row>
    <row r="142" spans="1:98" x14ac:dyDescent="0.3">
      <c r="B142" s="762" t="s">
        <v>876</v>
      </c>
      <c r="C142" s="749">
        <f>D142</f>
        <v>-30</v>
      </c>
      <c r="D142" s="739" cm="1">
        <f t="array" ref="D142">IF(INDEX(142:142,$E$2)="","", INDEX(142:142, $E$2))</f>
        <v>-30</v>
      </c>
      <c r="E142" s="740"/>
      <c r="F142" s="407"/>
      <c r="L142" s="789" t="s">
        <v>877</v>
      </c>
      <c r="M142" s="410">
        <v>-30</v>
      </c>
      <c r="N142" s="384"/>
      <c r="O142" s="385"/>
      <c r="Q142" s="789" t="s">
        <v>877</v>
      </c>
      <c r="R142" s="410">
        <v>-30</v>
      </c>
      <c r="S142" s="384"/>
      <c r="T142" s="385"/>
      <c r="U142" s="932"/>
      <c r="V142" s="789" t="s">
        <v>877</v>
      </c>
      <c r="W142" s="422">
        <v>-30</v>
      </c>
      <c r="X142" s="384"/>
      <c r="Y142" s="385"/>
      <c r="Z142" s="932"/>
      <c r="AA142" s="789" t="s">
        <v>877</v>
      </c>
      <c r="AB142" s="422">
        <v>-30</v>
      </c>
      <c r="AC142" s="384"/>
      <c r="AD142" s="385"/>
      <c r="AE142" s="384"/>
      <c r="AF142" s="789" t="s">
        <v>877</v>
      </c>
      <c r="AG142" s="410">
        <v>-30</v>
      </c>
      <c r="AH142" s="384"/>
      <c r="AI142" s="385"/>
      <c r="AJ142" s="384"/>
      <c r="AK142" s="789" t="s">
        <v>877</v>
      </c>
      <c r="AL142" s="410">
        <v>-30</v>
      </c>
      <c r="AM142" s="384"/>
      <c r="AN142" s="385"/>
      <c r="AO142" s="384"/>
      <c r="AP142" s="789" t="s">
        <v>877</v>
      </c>
      <c r="AQ142" s="410">
        <v>-30</v>
      </c>
      <c r="AR142" s="384"/>
      <c r="AS142" s="385"/>
      <c r="AT142" s="384"/>
      <c r="AU142" s="789" t="s">
        <v>877</v>
      </c>
      <c r="AV142" s="410">
        <v>-30</v>
      </c>
      <c r="AW142" s="384"/>
      <c r="AX142" s="385"/>
      <c r="AY142" s="384"/>
      <c r="AZ142" s="789" t="s">
        <v>877</v>
      </c>
      <c r="BA142" s="410">
        <v>-30</v>
      </c>
      <c r="BB142" s="384"/>
      <c r="BC142" s="385"/>
      <c r="BD142" s="384"/>
      <c r="BE142" s="789" t="s">
        <v>877</v>
      </c>
      <c r="BF142" s="410">
        <v>-30</v>
      </c>
      <c r="BG142" s="384"/>
      <c r="BH142" s="385"/>
      <c r="BI142" s="384"/>
      <c r="BJ142" s="789" t="s">
        <v>877</v>
      </c>
      <c r="BK142" s="410">
        <v>-30</v>
      </c>
      <c r="BL142" s="384"/>
      <c r="BM142" s="385"/>
      <c r="BN142" s="384"/>
      <c r="BO142" s="789" t="s">
        <v>877</v>
      </c>
      <c r="BP142" s="410">
        <v>-30</v>
      </c>
      <c r="BQ142" s="384"/>
      <c r="BR142" s="385"/>
      <c r="BS142" s="384"/>
      <c r="BT142" s="789" t="s">
        <v>877</v>
      </c>
      <c r="BU142" s="410">
        <v>-30</v>
      </c>
      <c r="BV142" s="384"/>
      <c r="BW142" s="385"/>
      <c r="BX142" s="384"/>
      <c r="BY142" s="789" t="s">
        <v>877</v>
      </c>
      <c r="BZ142" s="410">
        <v>-30</v>
      </c>
      <c r="CA142" s="384"/>
      <c r="CB142" s="385"/>
      <c r="CC142" s="384"/>
      <c r="CD142" s="789" t="s">
        <v>877</v>
      </c>
      <c r="CE142" s="410">
        <v>-30</v>
      </c>
      <c r="CF142" s="384"/>
      <c r="CG142" s="385"/>
      <c r="CI142" s="789" t="s">
        <v>877</v>
      </c>
      <c r="CJ142" s="410">
        <v>-30</v>
      </c>
      <c r="CK142" s="384"/>
      <c r="CL142" s="385"/>
      <c r="CN142" s="789" t="s">
        <v>877</v>
      </c>
      <c r="CO142" s="1041">
        <v>-30</v>
      </c>
      <c r="CP142" s="384"/>
      <c r="CQ142" s="385"/>
    </row>
    <row r="143" spans="1:98" ht="14.5" thickBot="1" x14ac:dyDescent="0.35">
      <c r="A143" s="380"/>
      <c r="B143" s="785"/>
      <c r="C143" s="784"/>
      <c r="D143" s="743" t="str" cm="1">
        <f t="array" ref="D143">IF(INDEX(143:143,$E$2)="","", INDEX(143:143, $E$2))</f>
        <v/>
      </c>
      <c r="E143" s="740"/>
      <c r="F143" s="769"/>
      <c r="L143" s="383"/>
      <c r="M143" s="384"/>
      <c r="N143" s="384"/>
      <c r="O143" s="385"/>
      <c r="Q143" s="383"/>
      <c r="R143" s="384"/>
      <c r="S143" s="384"/>
      <c r="T143" s="385"/>
      <c r="U143" s="932"/>
      <c r="V143" s="383"/>
      <c r="W143" s="384"/>
      <c r="X143" s="384"/>
      <c r="Y143" s="385"/>
      <c r="Z143" s="932"/>
      <c r="AA143" s="383"/>
      <c r="AB143" s="384"/>
      <c r="AC143" s="384"/>
      <c r="AD143" s="385"/>
      <c r="AE143" s="384"/>
      <c r="AF143" s="383"/>
      <c r="AG143" s="384"/>
      <c r="AH143" s="384"/>
      <c r="AI143" s="385"/>
      <c r="AJ143" s="384"/>
      <c r="AK143" s="383"/>
      <c r="AL143" s="384"/>
      <c r="AM143" s="384"/>
      <c r="AN143" s="385"/>
      <c r="AO143" s="384"/>
      <c r="AP143" s="383"/>
      <c r="AQ143" s="384"/>
      <c r="AR143" s="384"/>
      <c r="AS143" s="385"/>
      <c r="AT143" s="384"/>
      <c r="AU143" s="383"/>
      <c r="AV143" s="384"/>
      <c r="AW143" s="384"/>
      <c r="AX143" s="385"/>
      <c r="AY143" s="384"/>
      <c r="AZ143" s="383"/>
      <c r="BA143" s="384"/>
      <c r="BB143" s="384"/>
      <c r="BC143" s="385"/>
      <c r="BD143" s="384"/>
      <c r="BE143" s="383"/>
      <c r="BF143" s="384"/>
      <c r="BG143" s="384"/>
      <c r="BH143" s="385"/>
      <c r="BI143" s="384"/>
      <c r="BJ143" s="383"/>
      <c r="BK143" s="384"/>
      <c r="BL143" s="384"/>
      <c r="BM143" s="385"/>
      <c r="BN143" s="384"/>
      <c r="BO143" s="383"/>
      <c r="BP143" s="384"/>
      <c r="BQ143" s="384"/>
      <c r="BR143" s="385"/>
      <c r="BS143" s="384"/>
      <c r="BT143" s="383"/>
      <c r="BU143" s="384"/>
      <c r="BV143" s="384"/>
      <c r="BW143" s="385"/>
      <c r="BX143" s="384"/>
      <c r="BY143" s="383"/>
      <c r="BZ143" s="384"/>
      <c r="CA143" s="384"/>
      <c r="CB143" s="385"/>
      <c r="CC143" s="384"/>
      <c r="CD143" s="383"/>
      <c r="CE143" s="384"/>
      <c r="CF143" s="384"/>
      <c r="CG143" s="385"/>
      <c r="CI143" s="383"/>
      <c r="CJ143" s="384"/>
      <c r="CK143" s="384"/>
      <c r="CL143" s="385"/>
      <c r="CN143" s="383"/>
      <c r="CO143" s="384"/>
      <c r="CP143" s="384"/>
      <c r="CQ143" s="385"/>
      <c r="CT143" s="384"/>
    </row>
    <row r="144" spans="1:98" ht="18.5" thickBot="1" x14ac:dyDescent="0.45">
      <c r="A144" s="380"/>
      <c r="B144" s="591" t="s">
        <v>878</v>
      </c>
      <c r="C144" s="753"/>
      <c r="D144" s="753"/>
      <c r="E144" s="753"/>
      <c r="F144" s="590"/>
      <c r="L144" s="425"/>
      <c r="M144" s="426"/>
      <c r="N144" s="410"/>
      <c r="O144" s="421"/>
      <c r="P144" s="410"/>
      <c r="Q144" s="425"/>
      <c r="R144" s="426"/>
      <c r="S144" s="410"/>
      <c r="T144" s="421"/>
      <c r="U144" s="932"/>
      <c r="V144" s="425"/>
      <c r="W144" s="426"/>
      <c r="X144" s="410"/>
      <c r="Y144" s="421"/>
      <c r="Z144" s="932"/>
      <c r="AA144" s="425"/>
      <c r="AB144" s="426"/>
      <c r="AC144" s="410"/>
      <c r="AD144" s="421"/>
      <c r="AE144" s="410"/>
      <c r="AF144" s="425"/>
      <c r="AG144" s="426"/>
      <c r="AH144" s="410"/>
      <c r="AI144" s="421"/>
      <c r="AJ144" s="384"/>
      <c r="AK144" s="425"/>
      <c r="AL144" s="426"/>
      <c r="AM144" s="410"/>
      <c r="AN144" s="421"/>
      <c r="AO144" s="384"/>
      <c r="AP144" s="425"/>
      <c r="AQ144" s="426"/>
      <c r="AR144" s="410"/>
      <c r="AS144" s="421"/>
      <c r="AT144" s="384"/>
      <c r="AU144" s="425"/>
      <c r="AV144" s="426"/>
      <c r="AW144" s="410"/>
      <c r="AX144" s="421"/>
      <c r="AY144" s="384"/>
      <c r="AZ144" s="425"/>
      <c r="BA144" s="426"/>
      <c r="BB144" s="410"/>
      <c r="BC144" s="421"/>
      <c r="BD144" s="384"/>
      <c r="BE144" s="425"/>
      <c r="BF144" s="426"/>
      <c r="BG144" s="410"/>
      <c r="BH144" s="421"/>
      <c r="BI144" s="384"/>
      <c r="BJ144" s="425"/>
      <c r="BK144" s="426"/>
      <c r="BL144" s="410"/>
      <c r="BM144" s="421"/>
      <c r="BN144" s="384"/>
      <c r="BO144" s="425"/>
      <c r="BP144" s="426"/>
      <c r="BQ144" s="410"/>
      <c r="BR144" s="421"/>
      <c r="BS144" s="384"/>
      <c r="BT144" s="425"/>
      <c r="BU144" s="426"/>
      <c r="BV144" s="410"/>
      <c r="BW144" s="421"/>
      <c r="BX144" s="384"/>
      <c r="BY144" s="425"/>
      <c r="BZ144" s="426"/>
      <c r="CA144" s="410"/>
      <c r="CB144" s="421"/>
      <c r="CC144" s="384"/>
      <c r="CD144" s="425"/>
      <c r="CE144" s="426"/>
      <c r="CF144" s="410"/>
      <c r="CG144" s="421"/>
      <c r="CI144" s="425"/>
      <c r="CJ144" s="426"/>
      <c r="CK144" s="410"/>
      <c r="CL144" s="421"/>
      <c r="CN144" s="425"/>
      <c r="CO144" s="426"/>
      <c r="CP144" s="410"/>
      <c r="CQ144" s="421"/>
      <c r="CT144" s="410"/>
    </row>
    <row r="145" spans="1:129" x14ac:dyDescent="0.3">
      <c r="A145" s="380"/>
      <c r="B145" s="763"/>
      <c r="C145" s="764" t="str">
        <f>IF(AND(D145="",E145=""),"",IF(E145="",D145,E145))</f>
        <v/>
      </c>
      <c r="D145" s="739" t="str">
        <f>IF(INDEX(145:145,$E$2)="","", INDEX(145:145, $E$2))</f>
        <v/>
      </c>
      <c r="E145" s="740"/>
      <c r="F145" s="427"/>
      <c r="L145" s="418" t="s">
        <v>879</v>
      </c>
      <c r="M145" s="420"/>
      <c r="N145" s="428"/>
      <c r="O145" s="423"/>
      <c r="Q145" s="418" t="s">
        <v>879</v>
      </c>
      <c r="R145" s="420"/>
      <c r="S145" s="428"/>
      <c r="T145" s="423"/>
      <c r="U145" s="932"/>
      <c r="V145" s="418" t="s">
        <v>879</v>
      </c>
      <c r="W145" s="420"/>
      <c r="X145" s="428"/>
      <c r="Y145" s="423"/>
      <c r="Z145" s="932"/>
      <c r="AA145" s="418" t="s">
        <v>879</v>
      </c>
      <c r="AB145" s="420"/>
      <c r="AC145" s="428"/>
      <c r="AD145" s="423"/>
      <c r="AE145" s="424"/>
      <c r="AF145" s="418" t="s">
        <v>879</v>
      </c>
      <c r="AG145" s="420"/>
      <c r="AH145" s="428"/>
      <c r="AI145" s="423"/>
      <c r="AJ145" s="384"/>
      <c r="AK145" s="418" t="s">
        <v>879</v>
      </c>
      <c r="AL145" s="420"/>
      <c r="AM145" s="428"/>
      <c r="AN145" s="423"/>
      <c r="AO145" s="384"/>
      <c r="AP145" s="418" t="s">
        <v>879</v>
      </c>
      <c r="AQ145" s="420"/>
      <c r="AR145" s="428"/>
      <c r="AS145" s="423"/>
      <c r="AT145" s="384"/>
      <c r="AU145" s="418" t="s">
        <v>879</v>
      </c>
      <c r="AV145" s="420"/>
      <c r="AW145" s="428"/>
      <c r="AX145" s="423"/>
      <c r="AY145" s="384"/>
      <c r="AZ145" s="418" t="s">
        <v>879</v>
      </c>
      <c r="BA145" s="420"/>
      <c r="BB145" s="428"/>
      <c r="BC145" s="423"/>
      <c r="BD145" s="384"/>
      <c r="BE145" s="418" t="s">
        <v>879</v>
      </c>
      <c r="BF145" s="420"/>
      <c r="BG145" s="428"/>
      <c r="BH145" s="423"/>
      <c r="BI145" s="384"/>
      <c r="BJ145" s="418" t="s">
        <v>879</v>
      </c>
      <c r="BK145" s="420"/>
      <c r="BL145" s="428"/>
      <c r="BM145" s="423"/>
      <c r="BN145" s="384"/>
      <c r="BO145" s="418" t="s">
        <v>879</v>
      </c>
      <c r="BP145" s="420"/>
      <c r="BQ145" s="428"/>
      <c r="BR145" s="423"/>
      <c r="BS145" s="384"/>
      <c r="BT145" s="418" t="s">
        <v>879</v>
      </c>
      <c r="BU145" s="420"/>
      <c r="BV145" s="428"/>
      <c r="BW145" s="423"/>
      <c r="BX145" s="384"/>
      <c r="BY145" s="418" t="s">
        <v>879</v>
      </c>
      <c r="BZ145" s="420"/>
      <c r="CA145" s="428"/>
      <c r="CB145" s="423"/>
      <c r="CC145" s="384"/>
      <c r="CD145" s="418" t="s">
        <v>879</v>
      </c>
      <c r="CE145" s="420"/>
      <c r="CF145" s="428"/>
      <c r="CG145" s="423"/>
      <c r="CI145" s="418" t="s">
        <v>879</v>
      </c>
      <c r="CJ145" s="420"/>
      <c r="CK145" s="428"/>
      <c r="CL145" s="423"/>
      <c r="CN145" s="418" t="s">
        <v>879</v>
      </c>
      <c r="CO145" s="420"/>
      <c r="CP145" s="428"/>
      <c r="CQ145" s="423"/>
      <c r="CT145" s="424"/>
    </row>
    <row r="146" spans="1:129" s="777" customFormat="1" ht="15.5" x14ac:dyDescent="0.35">
      <c r="A146" s="772"/>
      <c r="B146" s="770" t="s">
        <v>880</v>
      </c>
      <c r="C146" s="773"/>
      <c r="D146" s="774" t="str">
        <f>IF(INDEX(146:146,$E$2)="","", INDEX(146:146, $E$2))</f>
        <v/>
      </c>
      <c r="E146" s="775"/>
      <c r="F146" s="776"/>
      <c r="L146" s="394" t="s">
        <v>80</v>
      </c>
      <c r="M146" s="1289"/>
      <c r="N146" s="779"/>
      <c r="O146" s="780"/>
      <c r="P146" s="779"/>
      <c r="Q146" s="394" t="s">
        <v>80</v>
      </c>
      <c r="R146" s="778"/>
      <c r="S146" s="779"/>
      <c r="T146" s="780"/>
      <c r="U146" s="773"/>
      <c r="V146" s="394" t="s">
        <v>80</v>
      </c>
      <c r="W146" s="778"/>
      <c r="X146" s="779"/>
      <c r="Y146" s="780"/>
      <c r="Z146" s="773"/>
      <c r="AA146" s="394" t="s">
        <v>80</v>
      </c>
      <c r="AB146" s="778"/>
      <c r="AC146" s="779"/>
      <c r="AD146" s="780"/>
      <c r="AE146" s="781"/>
      <c r="AF146" s="394" t="s">
        <v>80</v>
      </c>
      <c r="AG146" s="778"/>
      <c r="AH146" s="779"/>
      <c r="AI146" s="780"/>
      <c r="AJ146" s="779"/>
      <c r="AK146" s="394" t="s">
        <v>80</v>
      </c>
      <c r="AL146" s="778"/>
      <c r="AM146" s="779"/>
      <c r="AN146" s="780"/>
      <c r="AO146" s="779"/>
      <c r="AP146" s="394" t="s">
        <v>80</v>
      </c>
      <c r="AQ146" s="778"/>
      <c r="AR146" s="779"/>
      <c r="AS146" s="780"/>
      <c r="AT146" s="779"/>
      <c r="AU146" s="394" t="s">
        <v>80</v>
      </c>
      <c r="AV146" s="778"/>
      <c r="AW146" s="779"/>
      <c r="AX146" s="780"/>
      <c r="AY146" s="779"/>
      <c r="AZ146" s="394" t="s">
        <v>80</v>
      </c>
      <c r="BA146" s="778"/>
      <c r="BB146" s="779"/>
      <c r="BC146" s="780"/>
      <c r="BD146" s="779"/>
      <c r="BE146" s="394" t="s">
        <v>80</v>
      </c>
      <c r="BF146" s="778"/>
      <c r="BG146" s="779"/>
      <c r="BH146" s="780"/>
      <c r="BI146" s="779"/>
      <c r="BJ146" s="394" t="s">
        <v>80</v>
      </c>
      <c r="BK146" s="778"/>
      <c r="BL146" s="779"/>
      <c r="BM146" s="780"/>
      <c r="BN146" s="779"/>
      <c r="BO146" s="394" t="s">
        <v>80</v>
      </c>
      <c r="BP146" s="778"/>
      <c r="BQ146" s="779"/>
      <c r="BR146" s="780"/>
      <c r="BS146" s="779"/>
      <c r="BT146" s="394" t="s">
        <v>80</v>
      </c>
      <c r="BU146" s="778"/>
      <c r="BV146" s="779"/>
      <c r="BW146" s="780"/>
      <c r="BX146" s="779"/>
      <c r="BY146" s="394" t="s">
        <v>80</v>
      </c>
      <c r="BZ146" s="778"/>
      <c r="CA146" s="779"/>
      <c r="CB146" s="780"/>
      <c r="CC146" s="779"/>
      <c r="CD146" s="394" t="s">
        <v>80</v>
      </c>
      <c r="CE146" s="778"/>
      <c r="CF146" s="779"/>
      <c r="CG146" s="780"/>
      <c r="CH146" s="783"/>
      <c r="CI146" s="394" t="s">
        <v>80</v>
      </c>
      <c r="CJ146" s="778"/>
      <c r="CK146" s="779"/>
      <c r="CL146" s="780"/>
      <c r="CM146" s="783"/>
      <c r="CN146" s="394" t="s">
        <v>80</v>
      </c>
      <c r="CO146" s="778"/>
      <c r="CP146" s="779"/>
      <c r="CQ146" s="780"/>
      <c r="CR146" s="782"/>
      <c r="CS146" s="782"/>
      <c r="CT146" s="781"/>
      <c r="CU146" s="783"/>
      <c r="CV146" s="783"/>
      <c r="CW146" s="783"/>
      <c r="CX146" s="783"/>
      <c r="CY146" s="783"/>
      <c r="CZ146" s="783"/>
      <c r="DA146" s="783"/>
      <c r="DB146" s="783"/>
      <c r="DC146" s="783"/>
      <c r="DD146" s="783"/>
      <c r="DE146" s="783"/>
      <c r="DF146" s="783"/>
      <c r="DG146" s="783"/>
      <c r="DH146" s="783"/>
      <c r="DI146" s="783"/>
      <c r="DJ146" s="783"/>
      <c r="DK146" s="783"/>
      <c r="DL146" s="783"/>
      <c r="DM146" s="783"/>
      <c r="DN146" s="783"/>
      <c r="DO146" s="783"/>
      <c r="DP146" s="783"/>
      <c r="DQ146" s="783"/>
      <c r="DR146" s="783"/>
      <c r="DS146" s="783"/>
      <c r="DT146" s="783"/>
      <c r="DU146" s="783"/>
      <c r="DV146" s="783"/>
      <c r="DW146" s="783"/>
      <c r="DX146" s="783"/>
      <c r="DY146" s="7"/>
    </row>
    <row r="147" spans="1:129" x14ac:dyDescent="0.3">
      <c r="A147" s="380"/>
      <c r="B147" s="742" t="s">
        <v>881</v>
      </c>
      <c r="C147" s="765">
        <f>IF(NOT(Dashboard!E86=""),Dashboard!E86,IF(AND(D147="",E147=""),"",IF(E147="",D147,E147)))</f>
        <v>26</v>
      </c>
      <c r="D147" s="766" cm="1">
        <f t="array" ref="D147">IF(INDEX(147:147,$E$2)="","", INDEX(147:147, $E$2))</f>
        <v>26</v>
      </c>
      <c r="E147" s="740"/>
      <c r="F147" s="429"/>
      <c r="L147" s="398" t="s">
        <v>696</v>
      </c>
      <c r="M147" s="390">
        <v>25.5</v>
      </c>
      <c r="N147" s="384"/>
      <c r="O147" s="430"/>
      <c r="Q147" s="398" t="s">
        <v>696</v>
      </c>
      <c r="R147" s="390">
        <v>25.5</v>
      </c>
      <c r="S147" s="384"/>
      <c r="T147" s="430"/>
      <c r="U147" s="932"/>
      <c r="V147" s="398" t="s">
        <v>696</v>
      </c>
      <c r="W147" s="390">
        <v>24</v>
      </c>
      <c r="X147" s="384"/>
      <c r="Y147" s="430"/>
      <c r="Z147" s="932"/>
      <c r="AA147" s="398" t="s">
        <v>696</v>
      </c>
      <c r="AB147" s="390">
        <v>24</v>
      </c>
      <c r="AC147" s="384"/>
      <c r="AD147" s="430"/>
      <c r="AE147" s="608"/>
      <c r="AF147" s="398" t="s">
        <v>696</v>
      </c>
      <c r="AG147" s="390">
        <v>25</v>
      </c>
      <c r="AH147" s="384"/>
      <c r="AI147" s="430"/>
      <c r="AJ147" s="384"/>
      <c r="AK147" s="398" t="s">
        <v>696</v>
      </c>
      <c r="AL147" s="390">
        <v>25</v>
      </c>
      <c r="AM147" s="384"/>
      <c r="AN147" s="430"/>
      <c r="AO147" s="384"/>
      <c r="AP147" s="398" t="s">
        <v>696</v>
      </c>
      <c r="AQ147" s="390">
        <v>26</v>
      </c>
      <c r="AR147" s="384"/>
      <c r="AS147" s="430"/>
      <c r="AT147" s="384"/>
      <c r="AU147" s="398" t="s">
        <v>696</v>
      </c>
      <c r="AV147" s="390">
        <v>26</v>
      </c>
      <c r="AW147" s="384"/>
      <c r="AX147" s="430"/>
      <c r="AY147" s="384"/>
      <c r="AZ147" s="398" t="s">
        <v>696</v>
      </c>
      <c r="BA147" s="390">
        <v>26</v>
      </c>
      <c r="BB147" s="384"/>
      <c r="BC147" s="430"/>
      <c r="BD147" s="384"/>
      <c r="BE147" s="398" t="s">
        <v>696</v>
      </c>
      <c r="BF147" s="390">
        <v>26</v>
      </c>
      <c r="BG147" s="384"/>
      <c r="BH147" s="430"/>
      <c r="BI147" s="384"/>
      <c r="BJ147" s="398" t="s">
        <v>696</v>
      </c>
      <c r="BK147" s="390">
        <v>10</v>
      </c>
      <c r="BL147" s="384"/>
      <c r="BM147" s="430"/>
      <c r="BN147" s="384"/>
      <c r="BO147" s="398" t="s">
        <v>696</v>
      </c>
      <c r="BP147" s="390">
        <v>10</v>
      </c>
      <c r="BQ147" s="384"/>
      <c r="BR147" s="430"/>
      <c r="BS147" s="384"/>
      <c r="BT147" s="398" t="s">
        <v>696</v>
      </c>
      <c r="BU147" s="390">
        <v>9</v>
      </c>
      <c r="BV147" s="384"/>
      <c r="BW147" s="430"/>
      <c r="BX147" s="384"/>
      <c r="BY147" s="398" t="s">
        <v>696</v>
      </c>
      <c r="BZ147" s="390">
        <v>9</v>
      </c>
      <c r="CA147" s="384"/>
      <c r="CB147" s="430"/>
      <c r="CC147" s="384"/>
      <c r="CD147" s="398" t="s">
        <v>696</v>
      </c>
      <c r="CE147" s="390">
        <v>9</v>
      </c>
      <c r="CF147" s="384"/>
      <c r="CG147" s="430"/>
      <c r="CI147" s="398" t="s">
        <v>696</v>
      </c>
      <c r="CJ147" s="390">
        <v>9</v>
      </c>
      <c r="CK147" s="384"/>
      <c r="CL147" s="430"/>
      <c r="CN147" s="398" t="s">
        <v>696</v>
      </c>
      <c r="CO147" s="1038" cm="1">
        <f t="array" ref="CO147">INDEX(147:147, $CQ$10)*$CQ$8 + INDEX(147:147, $CQ$11)*(1-$CQ$8)</f>
        <v>16.5</v>
      </c>
      <c r="CP147" s="384"/>
      <c r="CQ147" s="430"/>
      <c r="CT147" s="608"/>
    </row>
    <row r="148" spans="1:129" x14ac:dyDescent="0.3">
      <c r="A148" s="380"/>
      <c r="B148" s="742" t="s">
        <v>882</v>
      </c>
      <c r="C148" s="765">
        <f>IF(NOT(Dashboard!E87=""),Dashboard!E87,IF(AND(D148="",E148=""),"",IF(E148="",D148,E148)))</f>
        <v>7</v>
      </c>
      <c r="D148" s="766" cm="1">
        <f t="array" ref="D148">IF(INDEX(148:148,$E$2)="","", INDEX(148:148, $E$2))</f>
        <v>7</v>
      </c>
      <c r="E148" s="740"/>
      <c r="F148" s="429"/>
      <c r="L148" s="398" t="s">
        <v>727</v>
      </c>
      <c r="M148" s="390">
        <v>7</v>
      </c>
      <c r="N148" s="384"/>
      <c r="O148" s="430"/>
      <c r="Q148" s="398" t="s">
        <v>727</v>
      </c>
      <c r="R148" s="390">
        <v>7</v>
      </c>
      <c r="S148" s="384"/>
      <c r="T148" s="430"/>
      <c r="U148" s="932"/>
      <c r="V148" s="398" t="s">
        <v>727</v>
      </c>
      <c r="W148" s="390">
        <v>7</v>
      </c>
      <c r="X148" s="384"/>
      <c r="Y148" s="430"/>
      <c r="Z148" s="932"/>
      <c r="AA148" s="398" t="s">
        <v>727</v>
      </c>
      <c r="AB148" s="390">
        <v>7</v>
      </c>
      <c r="AC148" s="384"/>
      <c r="AD148" s="430"/>
      <c r="AE148" s="608"/>
      <c r="AF148" s="398" t="s">
        <v>727</v>
      </c>
      <c r="AG148" s="390">
        <v>7</v>
      </c>
      <c r="AH148" s="384"/>
      <c r="AI148" s="430"/>
      <c r="AJ148" s="384"/>
      <c r="AK148" s="398" t="s">
        <v>727</v>
      </c>
      <c r="AL148" s="390">
        <v>7</v>
      </c>
      <c r="AM148" s="384"/>
      <c r="AN148" s="430"/>
      <c r="AO148" s="384"/>
      <c r="AP148" s="398" t="s">
        <v>727</v>
      </c>
      <c r="AQ148" s="390">
        <v>7</v>
      </c>
      <c r="AR148" s="384"/>
      <c r="AS148" s="430"/>
      <c r="AT148" s="384"/>
      <c r="AU148" s="398" t="s">
        <v>727</v>
      </c>
      <c r="AV148" s="390">
        <v>7</v>
      </c>
      <c r="AW148" s="384"/>
      <c r="AX148" s="430"/>
      <c r="AY148" s="384"/>
      <c r="AZ148" s="398" t="s">
        <v>727</v>
      </c>
      <c r="BA148" s="390">
        <v>7</v>
      </c>
      <c r="BB148" s="384"/>
      <c r="BC148" s="430"/>
      <c r="BD148" s="384"/>
      <c r="BE148" s="398" t="s">
        <v>727</v>
      </c>
      <c r="BF148" s="390">
        <v>7</v>
      </c>
      <c r="BG148" s="384"/>
      <c r="BH148" s="430"/>
      <c r="BI148" s="384"/>
      <c r="BJ148" s="398" t="s">
        <v>727</v>
      </c>
      <c r="BK148" s="390">
        <v>7</v>
      </c>
      <c r="BL148" s="384"/>
      <c r="BM148" s="430"/>
      <c r="BN148" s="384"/>
      <c r="BO148" s="398" t="s">
        <v>727</v>
      </c>
      <c r="BP148" s="390">
        <v>7</v>
      </c>
      <c r="BQ148" s="384"/>
      <c r="BR148" s="430"/>
      <c r="BS148" s="384"/>
      <c r="BT148" s="398" t="s">
        <v>727</v>
      </c>
      <c r="BU148" s="390">
        <v>7</v>
      </c>
      <c r="BV148" s="384"/>
      <c r="BW148" s="430"/>
      <c r="BX148" s="384"/>
      <c r="BY148" s="398" t="s">
        <v>727</v>
      </c>
      <c r="BZ148" s="390">
        <v>7</v>
      </c>
      <c r="CA148" s="384"/>
      <c r="CB148" s="430"/>
      <c r="CC148" s="384"/>
      <c r="CD148" s="398" t="s">
        <v>727</v>
      </c>
      <c r="CE148" s="390">
        <v>7</v>
      </c>
      <c r="CF148" s="384"/>
      <c r="CG148" s="430"/>
      <c r="CI148" s="398" t="s">
        <v>727</v>
      </c>
      <c r="CJ148" s="390">
        <v>7</v>
      </c>
      <c r="CK148" s="384"/>
      <c r="CL148" s="430"/>
      <c r="CN148" s="398" t="s">
        <v>727</v>
      </c>
      <c r="CO148" s="390">
        <v>7</v>
      </c>
      <c r="CP148" s="384"/>
      <c r="CQ148" s="430"/>
      <c r="CT148" s="608"/>
    </row>
    <row r="149" spans="1:129" x14ac:dyDescent="0.3">
      <c r="A149" s="380"/>
      <c r="B149" s="741" t="s">
        <v>883</v>
      </c>
      <c r="C149" s="765">
        <f>IF(NOT(Dashboard!E88=""),Dashboard!E88,IF(AND(D149="",E149=""),"",IF(E149="",D149,E149)))</f>
        <v>15</v>
      </c>
      <c r="D149" s="766" cm="1">
        <f t="array" ref="D149">IF(INDEX(149:149,$E$2)="","", INDEX(149:149, $E$2))</f>
        <v>15</v>
      </c>
      <c r="E149" s="740"/>
      <c r="F149" s="432"/>
      <c r="L149" s="383" t="s">
        <v>884</v>
      </c>
      <c r="M149" s="390">
        <v>15</v>
      </c>
      <c r="N149" s="384"/>
      <c r="O149" s="433"/>
      <c r="Q149" s="383" t="s">
        <v>884</v>
      </c>
      <c r="R149" s="390">
        <v>15</v>
      </c>
      <c r="S149" s="384"/>
      <c r="T149" s="433"/>
      <c r="U149" s="932"/>
      <c r="V149" s="383" t="s">
        <v>884</v>
      </c>
      <c r="W149" s="390">
        <v>15</v>
      </c>
      <c r="X149" s="384"/>
      <c r="Y149" s="433"/>
      <c r="Z149" s="932"/>
      <c r="AA149" s="383" t="s">
        <v>884</v>
      </c>
      <c r="AB149" s="390">
        <v>15</v>
      </c>
      <c r="AC149" s="384"/>
      <c r="AD149" s="433"/>
      <c r="AE149" s="609"/>
      <c r="AF149" s="383" t="s">
        <v>884</v>
      </c>
      <c r="AG149" s="390">
        <v>15</v>
      </c>
      <c r="AH149" s="384"/>
      <c r="AI149" s="433"/>
      <c r="AJ149" s="384"/>
      <c r="AK149" s="383" t="s">
        <v>884</v>
      </c>
      <c r="AL149" s="390">
        <v>15</v>
      </c>
      <c r="AM149" s="384"/>
      <c r="AN149" s="433"/>
      <c r="AO149" s="384"/>
      <c r="AP149" s="383" t="s">
        <v>884</v>
      </c>
      <c r="AQ149" s="390">
        <v>15</v>
      </c>
      <c r="AR149" s="384"/>
      <c r="AS149" s="433"/>
      <c r="AT149" s="384"/>
      <c r="AU149" s="383" t="s">
        <v>884</v>
      </c>
      <c r="AV149" s="390">
        <v>15</v>
      </c>
      <c r="AW149" s="384"/>
      <c r="AX149" s="433"/>
      <c r="AY149" s="384"/>
      <c r="AZ149" s="383" t="s">
        <v>884</v>
      </c>
      <c r="BA149" s="390">
        <v>15</v>
      </c>
      <c r="BB149" s="384"/>
      <c r="BC149" s="433"/>
      <c r="BD149" s="384"/>
      <c r="BE149" s="383" t="s">
        <v>884</v>
      </c>
      <c r="BF149" s="390">
        <v>15</v>
      </c>
      <c r="BG149" s="384"/>
      <c r="BH149" s="433"/>
      <c r="BI149" s="384"/>
      <c r="BJ149" s="383" t="s">
        <v>884</v>
      </c>
      <c r="BK149" s="390">
        <v>15</v>
      </c>
      <c r="BL149" s="384"/>
      <c r="BM149" s="433"/>
      <c r="BN149" s="384"/>
      <c r="BO149" s="383" t="s">
        <v>884</v>
      </c>
      <c r="BP149" s="390">
        <v>15</v>
      </c>
      <c r="BQ149" s="384"/>
      <c r="BR149" s="433"/>
      <c r="BS149" s="384"/>
      <c r="BT149" s="383" t="s">
        <v>884</v>
      </c>
      <c r="BU149" s="390">
        <v>15</v>
      </c>
      <c r="BV149" s="384"/>
      <c r="BW149" s="433"/>
      <c r="BX149" s="384"/>
      <c r="BY149" s="383" t="s">
        <v>884</v>
      </c>
      <c r="BZ149" s="390">
        <v>15</v>
      </c>
      <c r="CA149" s="384"/>
      <c r="CB149" s="433"/>
      <c r="CC149" s="384"/>
      <c r="CD149" s="383" t="s">
        <v>884</v>
      </c>
      <c r="CE149" s="390">
        <v>15</v>
      </c>
      <c r="CF149" s="384"/>
      <c r="CG149" s="433"/>
      <c r="CI149" s="383" t="s">
        <v>729</v>
      </c>
      <c r="CJ149" s="390">
        <v>15</v>
      </c>
      <c r="CK149" s="384"/>
      <c r="CL149" s="433"/>
      <c r="CN149" s="383" t="s">
        <v>884</v>
      </c>
      <c r="CO149" s="390">
        <v>15</v>
      </c>
      <c r="CP149" s="384"/>
      <c r="CQ149" s="433"/>
      <c r="CT149" s="609"/>
    </row>
    <row r="150" spans="1:129" x14ac:dyDescent="0.3">
      <c r="A150" s="380"/>
      <c r="B150" s="741" t="s">
        <v>885</v>
      </c>
      <c r="C150" s="765">
        <f>IF(NOT(Dashboard!E89=""),Dashboard!E89,IF(AND(D150="",E150=""),"",IF(E150="",D150,E150)))</f>
        <v>2.7</v>
      </c>
      <c r="D150" s="766" cm="1">
        <f t="array" ref="D150">IF(INDEX(150:150,$E$2)="","", INDEX(150:150, $E$2))</f>
        <v>2.7</v>
      </c>
      <c r="E150" s="740"/>
      <c r="F150" s="434"/>
      <c r="L150" s="383" t="s">
        <v>886</v>
      </c>
      <c r="M150" s="390">
        <v>2.7</v>
      </c>
      <c r="N150" s="384"/>
      <c r="O150" s="435"/>
      <c r="Q150" s="383" t="s">
        <v>886</v>
      </c>
      <c r="R150" s="390">
        <v>2.7</v>
      </c>
      <c r="S150" s="384"/>
      <c r="T150" s="435"/>
      <c r="U150" s="932"/>
      <c r="V150" s="383" t="s">
        <v>886</v>
      </c>
      <c r="W150" s="390">
        <v>2.7</v>
      </c>
      <c r="X150" s="384"/>
      <c r="Y150" s="435"/>
      <c r="Z150" s="932"/>
      <c r="AA150" s="383" t="s">
        <v>886</v>
      </c>
      <c r="AB150" s="390">
        <v>2.7</v>
      </c>
      <c r="AC150" s="384"/>
      <c r="AD150" s="435"/>
      <c r="AE150" s="610"/>
      <c r="AF150" s="383" t="s">
        <v>886</v>
      </c>
      <c r="AG150" s="390">
        <v>2.7</v>
      </c>
      <c r="AH150" s="384"/>
      <c r="AI150" s="435"/>
      <c r="AJ150" s="384"/>
      <c r="AK150" s="383" t="s">
        <v>886</v>
      </c>
      <c r="AL150" s="390">
        <v>2.7</v>
      </c>
      <c r="AM150" s="384"/>
      <c r="AN150" s="435"/>
      <c r="AO150" s="384"/>
      <c r="AP150" s="383" t="s">
        <v>886</v>
      </c>
      <c r="AQ150" s="390">
        <v>2.7</v>
      </c>
      <c r="AR150" s="384"/>
      <c r="AS150" s="435"/>
      <c r="AT150" s="384"/>
      <c r="AU150" s="383" t="s">
        <v>886</v>
      </c>
      <c r="AV150" s="390">
        <v>2.7</v>
      </c>
      <c r="AW150" s="384"/>
      <c r="AX150" s="435"/>
      <c r="AY150" s="384"/>
      <c r="AZ150" s="383" t="s">
        <v>886</v>
      </c>
      <c r="BA150" s="390">
        <v>2.7</v>
      </c>
      <c r="BB150" s="384"/>
      <c r="BC150" s="435"/>
      <c r="BD150" s="384"/>
      <c r="BE150" s="383" t="s">
        <v>886</v>
      </c>
      <c r="BF150" s="390">
        <v>2.7</v>
      </c>
      <c r="BG150" s="384"/>
      <c r="BH150" s="435"/>
      <c r="BI150" s="384"/>
      <c r="BJ150" s="383" t="s">
        <v>886</v>
      </c>
      <c r="BK150" s="390">
        <v>2.7</v>
      </c>
      <c r="BL150" s="384"/>
      <c r="BM150" s="435"/>
      <c r="BN150" s="384"/>
      <c r="BO150" s="383" t="s">
        <v>886</v>
      </c>
      <c r="BP150" s="390">
        <v>2.7</v>
      </c>
      <c r="BQ150" s="384"/>
      <c r="BR150" s="435"/>
      <c r="BS150" s="384"/>
      <c r="BT150" s="383" t="s">
        <v>886</v>
      </c>
      <c r="BU150" s="390">
        <v>2.7</v>
      </c>
      <c r="BV150" s="384"/>
      <c r="BW150" s="435"/>
      <c r="BX150" s="384"/>
      <c r="BY150" s="383" t="s">
        <v>886</v>
      </c>
      <c r="BZ150" s="390">
        <v>2.7</v>
      </c>
      <c r="CA150" s="384"/>
      <c r="CB150" s="435"/>
      <c r="CC150" s="384"/>
      <c r="CD150" s="383" t="s">
        <v>886</v>
      </c>
      <c r="CE150" s="390">
        <v>2.7</v>
      </c>
      <c r="CF150" s="384"/>
      <c r="CG150" s="435"/>
      <c r="CI150" s="383" t="s">
        <v>886</v>
      </c>
      <c r="CJ150" s="390">
        <v>2.7</v>
      </c>
      <c r="CK150" s="384"/>
      <c r="CL150" s="435"/>
      <c r="CN150" s="383" t="s">
        <v>886</v>
      </c>
      <c r="CO150" s="390">
        <v>2.7</v>
      </c>
      <c r="CP150" s="384"/>
      <c r="CQ150" s="435"/>
      <c r="CT150" s="610"/>
    </row>
    <row r="151" spans="1:129" x14ac:dyDescent="0.3">
      <c r="A151" s="380"/>
      <c r="B151" s="741"/>
      <c r="C151" s="765"/>
      <c r="D151" s="766"/>
      <c r="E151" s="740"/>
      <c r="F151" s="434"/>
      <c r="L151" s="383"/>
      <c r="M151" s="390"/>
      <c r="N151" s="384"/>
      <c r="O151" s="435"/>
      <c r="Q151" s="383"/>
      <c r="R151" s="390"/>
      <c r="S151" s="384"/>
      <c r="T151" s="435"/>
      <c r="U151" s="932"/>
      <c r="V151" s="383"/>
      <c r="W151" s="390"/>
      <c r="X151" s="384"/>
      <c r="Y151" s="435"/>
      <c r="Z151" s="932"/>
      <c r="AA151" s="383"/>
      <c r="AB151" s="390"/>
      <c r="AC151" s="384"/>
      <c r="AD151" s="435"/>
      <c r="AE151" s="610"/>
      <c r="AF151" s="383"/>
      <c r="AG151" s="390"/>
      <c r="AH151" s="384"/>
      <c r="AI151" s="435"/>
      <c r="AJ151" s="384"/>
      <c r="AK151" s="383"/>
      <c r="AL151" s="390"/>
      <c r="AM151" s="384"/>
      <c r="AN151" s="435"/>
      <c r="AO151" s="384"/>
      <c r="AP151" s="383"/>
      <c r="AQ151" s="390"/>
      <c r="AR151" s="384"/>
      <c r="AS151" s="435"/>
      <c r="AT151" s="384"/>
      <c r="AU151" s="383"/>
      <c r="AV151" s="390"/>
      <c r="AW151" s="384"/>
      <c r="AX151" s="435"/>
      <c r="AY151" s="384"/>
      <c r="AZ151" s="383"/>
      <c r="BA151" s="390"/>
      <c r="BB151" s="384"/>
      <c r="BC151" s="435"/>
      <c r="BD151" s="384"/>
      <c r="BE151" s="383"/>
      <c r="BF151" s="390"/>
      <c r="BG151" s="384"/>
      <c r="BH151" s="435"/>
      <c r="BI151" s="384"/>
      <c r="BJ151" s="383"/>
      <c r="BK151" s="390"/>
      <c r="BL151" s="384"/>
      <c r="BM151" s="435"/>
      <c r="BN151" s="384"/>
      <c r="BO151" s="383"/>
      <c r="BP151" s="390"/>
      <c r="BQ151" s="384"/>
      <c r="BR151" s="435"/>
      <c r="BS151" s="384"/>
      <c r="BT151" s="383"/>
      <c r="BU151" s="390"/>
      <c r="BV151" s="384"/>
      <c r="BW151" s="435"/>
      <c r="BX151" s="384"/>
      <c r="BY151" s="383"/>
      <c r="BZ151" s="390"/>
      <c r="CA151" s="384"/>
      <c r="CB151" s="435"/>
      <c r="CC151" s="384"/>
      <c r="CD151" s="383"/>
      <c r="CE151" s="390"/>
      <c r="CF151" s="384"/>
      <c r="CG151" s="435"/>
      <c r="CI151" s="383"/>
      <c r="CJ151" s="390"/>
      <c r="CK151" s="384"/>
      <c r="CL151" s="435"/>
      <c r="CN151" s="383"/>
      <c r="CO151" s="393"/>
      <c r="CP151" s="384"/>
      <c r="CQ151" s="435"/>
      <c r="CT151" s="610"/>
    </row>
    <row r="152" spans="1:129" ht="15.5" x14ac:dyDescent="0.35">
      <c r="A152" s="380"/>
      <c r="B152" s="770" t="s">
        <v>887</v>
      </c>
      <c r="C152" s="765"/>
      <c r="D152" s="766"/>
      <c r="E152" s="740"/>
      <c r="F152" s="436"/>
      <c r="L152" s="394" t="s">
        <v>887</v>
      </c>
      <c r="M152" s="390"/>
      <c r="N152" s="384"/>
      <c r="O152" s="437"/>
      <c r="Q152" s="394" t="s">
        <v>887</v>
      </c>
      <c r="R152" s="390"/>
      <c r="S152" s="384"/>
      <c r="T152" s="437"/>
      <c r="U152" s="932"/>
      <c r="V152" s="394" t="s">
        <v>887</v>
      </c>
      <c r="W152" s="390"/>
      <c r="X152" s="384"/>
      <c r="Y152" s="437"/>
      <c r="Z152" s="932"/>
      <c r="AA152" s="394" t="s">
        <v>887</v>
      </c>
      <c r="AB152" s="390"/>
      <c r="AC152" s="384"/>
      <c r="AD152" s="437"/>
      <c r="AE152" s="611"/>
      <c r="AF152" s="394" t="s">
        <v>887</v>
      </c>
      <c r="AG152" s="390"/>
      <c r="AH152" s="384"/>
      <c r="AI152" s="437"/>
      <c r="AJ152" s="384"/>
      <c r="AK152" s="394" t="s">
        <v>887</v>
      </c>
      <c r="AL152" s="390"/>
      <c r="AM152" s="384"/>
      <c r="AN152" s="437"/>
      <c r="AO152" s="384"/>
      <c r="AP152" s="394" t="s">
        <v>887</v>
      </c>
      <c r="AQ152" s="390"/>
      <c r="AR152" s="384"/>
      <c r="AS152" s="437"/>
      <c r="AT152" s="384"/>
      <c r="AU152" s="394" t="s">
        <v>887</v>
      </c>
      <c r="AV152" s="390"/>
      <c r="AW152" s="384"/>
      <c r="AX152" s="437"/>
      <c r="AY152" s="384"/>
      <c r="AZ152" s="394" t="s">
        <v>887</v>
      </c>
      <c r="BA152" s="390"/>
      <c r="BB152" s="384"/>
      <c r="BC152" s="437"/>
      <c r="BD152" s="384"/>
      <c r="BE152" s="394" t="s">
        <v>887</v>
      </c>
      <c r="BF152" s="390"/>
      <c r="BG152" s="384"/>
      <c r="BH152" s="437"/>
      <c r="BI152" s="384"/>
      <c r="BJ152" s="394" t="s">
        <v>887</v>
      </c>
      <c r="BK152" s="390"/>
      <c r="BL152" s="384"/>
      <c r="BM152" s="437"/>
      <c r="BN152" s="384"/>
      <c r="BO152" s="394" t="s">
        <v>887</v>
      </c>
      <c r="BP152" s="390"/>
      <c r="BQ152" s="384"/>
      <c r="BR152" s="437"/>
      <c r="BS152" s="384"/>
      <c r="BT152" s="394" t="s">
        <v>887</v>
      </c>
      <c r="BU152" s="390"/>
      <c r="BV152" s="384"/>
      <c r="BW152" s="437"/>
      <c r="BX152" s="384"/>
      <c r="BY152" s="394" t="s">
        <v>887</v>
      </c>
      <c r="BZ152" s="390"/>
      <c r="CA152" s="384"/>
      <c r="CB152" s="437"/>
      <c r="CC152" s="384"/>
      <c r="CD152" s="394" t="s">
        <v>887</v>
      </c>
      <c r="CE152" s="390"/>
      <c r="CF152" s="384"/>
      <c r="CG152" s="437"/>
      <c r="CI152" s="394" t="s">
        <v>887</v>
      </c>
      <c r="CJ152" s="390"/>
      <c r="CK152" s="384"/>
      <c r="CL152" s="437"/>
      <c r="CN152" s="394" t="s">
        <v>887</v>
      </c>
      <c r="CO152" s="431"/>
      <c r="CP152" s="384"/>
      <c r="CQ152" s="437"/>
      <c r="CT152" s="611"/>
    </row>
    <row r="153" spans="1:129" x14ac:dyDescent="0.3">
      <c r="A153" s="380"/>
      <c r="B153" s="742" t="s">
        <v>888</v>
      </c>
      <c r="C153" s="765">
        <f>IF(NOT(Dashboard!E92=""),Dashboard!E92,IF(AND(D153="",E153=""),"",IF(E153="",D153,E153)))</f>
        <v>10</v>
      </c>
      <c r="D153" s="766" cm="1">
        <f t="array" ref="D153">IF(INDEX(153:153,$E$2)="","", INDEX(153:153, $E$2))</f>
        <v>10</v>
      </c>
      <c r="E153" s="740"/>
      <c r="F153" s="427"/>
      <c r="L153" s="383" t="s">
        <v>696</v>
      </c>
      <c r="M153" s="390">
        <v>10</v>
      </c>
      <c r="N153" s="384"/>
      <c r="O153" s="423"/>
      <c r="Q153" s="383" t="s">
        <v>696</v>
      </c>
      <c r="R153" s="390">
        <v>10</v>
      </c>
      <c r="S153" s="384"/>
      <c r="T153" s="423"/>
      <c r="U153" s="932"/>
      <c r="V153" s="383" t="s">
        <v>696</v>
      </c>
      <c r="W153" s="390">
        <v>10</v>
      </c>
      <c r="X153" s="384"/>
      <c r="Y153" s="423"/>
      <c r="Z153" s="932"/>
      <c r="AA153" s="383" t="s">
        <v>696</v>
      </c>
      <c r="AB153" s="390">
        <v>10</v>
      </c>
      <c r="AC153" s="384"/>
      <c r="AD153" s="423"/>
      <c r="AE153" s="424"/>
      <c r="AF153" s="383" t="s">
        <v>696</v>
      </c>
      <c r="AG153" s="390">
        <v>10</v>
      </c>
      <c r="AH153" s="384"/>
      <c r="AI153" s="423"/>
      <c r="AJ153" s="384"/>
      <c r="AK153" s="383" t="s">
        <v>696</v>
      </c>
      <c r="AL153" s="390">
        <v>10</v>
      </c>
      <c r="AM153" s="384"/>
      <c r="AN153" s="423"/>
      <c r="AO153" s="384"/>
      <c r="AP153" s="383" t="s">
        <v>696</v>
      </c>
      <c r="AQ153" s="390">
        <v>10</v>
      </c>
      <c r="AR153" s="384"/>
      <c r="AS153" s="423"/>
      <c r="AT153" s="384"/>
      <c r="AU153" s="383" t="s">
        <v>696</v>
      </c>
      <c r="AV153" s="390">
        <v>10</v>
      </c>
      <c r="AW153" s="384"/>
      <c r="AX153" s="423"/>
      <c r="AY153" s="384"/>
      <c r="AZ153" s="383" t="s">
        <v>696</v>
      </c>
      <c r="BA153" s="390">
        <v>10</v>
      </c>
      <c r="BB153" s="384"/>
      <c r="BC153" s="423"/>
      <c r="BD153" s="384"/>
      <c r="BE153" s="383" t="s">
        <v>696</v>
      </c>
      <c r="BF153" s="390">
        <v>10</v>
      </c>
      <c r="BG153" s="384"/>
      <c r="BH153" s="423"/>
      <c r="BI153" s="384"/>
      <c r="BJ153" s="383" t="s">
        <v>696</v>
      </c>
      <c r="BK153" s="390">
        <v>10</v>
      </c>
      <c r="BL153" s="384"/>
      <c r="BM153" s="423"/>
      <c r="BN153" s="384"/>
      <c r="BO153" s="383" t="s">
        <v>696</v>
      </c>
      <c r="BP153" s="390">
        <v>10</v>
      </c>
      <c r="BQ153" s="384"/>
      <c r="BR153" s="423"/>
      <c r="BS153" s="384"/>
      <c r="BT153" s="383" t="s">
        <v>696</v>
      </c>
      <c r="BU153" s="390">
        <v>10</v>
      </c>
      <c r="BV153" s="384"/>
      <c r="BW153" s="423"/>
      <c r="BX153" s="384"/>
      <c r="BY153" s="383" t="s">
        <v>696</v>
      </c>
      <c r="BZ153" s="390">
        <v>10</v>
      </c>
      <c r="CA153" s="384"/>
      <c r="CB153" s="423"/>
      <c r="CC153" s="384"/>
      <c r="CD153" s="383" t="s">
        <v>696</v>
      </c>
      <c r="CE153" s="390">
        <v>15</v>
      </c>
      <c r="CF153" s="384"/>
      <c r="CG153" s="423"/>
      <c r="CI153" s="383" t="s">
        <v>696</v>
      </c>
      <c r="CJ153" s="390">
        <v>15</v>
      </c>
      <c r="CK153" s="384"/>
      <c r="CL153" s="423"/>
      <c r="CN153" s="383" t="s">
        <v>696</v>
      </c>
      <c r="CO153" s="1038" cm="1">
        <f t="array" ref="CO153">INDEX(153:153, $CQ$10)*$CQ$8 + INDEX(153:153, $CQ$11)*(1-$CQ$8)</f>
        <v>10</v>
      </c>
      <c r="CP153" s="384"/>
      <c r="CQ153" s="423"/>
      <c r="CT153" s="424"/>
    </row>
    <row r="154" spans="1:129" x14ac:dyDescent="0.3">
      <c r="A154" s="380"/>
      <c r="B154" s="742" t="s">
        <v>889</v>
      </c>
      <c r="C154" s="765">
        <f>IF(NOT(Dashboard!E93=""),Dashboard!E93,IF(AND(D154="",E154=""),"",IF(E154="",D154,E154)))</f>
        <v>7</v>
      </c>
      <c r="D154" s="766" cm="1">
        <f t="array" ref="D154">IF(INDEX(154:154,$E$2)="","", INDEX(154:154, $E$2))</f>
        <v>7</v>
      </c>
      <c r="E154" s="740"/>
      <c r="F154" s="407"/>
      <c r="L154" s="383" t="s">
        <v>727</v>
      </c>
      <c r="M154" s="390">
        <v>7</v>
      </c>
      <c r="N154" s="384"/>
      <c r="O154" s="385"/>
      <c r="Q154" s="383" t="s">
        <v>727</v>
      </c>
      <c r="R154" s="390">
        <v>7</v>
      </c>
      <c r="S154" s="384"/>
      <c r="T154" s="385"/>
      <c r="U154" s="932"/>
      <c r="V154" s="383" t="s">
        <v>727</v>
      </c>
      <c r="W154" s="390">
        <v>7</v>
      </c>
      <c r="X154" s="384"/>
      <c r="Y154" s="385"/>
      <c r="Z154" s="932"/>
      <c r="AA154" s="383" t="s">
        <v>727</v>
      </c>
      <c r="AB154" s="390">
        <v>7</v>
      </c>
      <c r="AC154" s="384"/>
      <c r="AD154" s="385"/>
      <c r="AE154" s="384"/>
      <c r="AF154" s="383" t="s">
        <v>727</v>
      </c>
      <c r="AG154" s="390">
        <v>7</v>
      </c>
      <c r="AH154" s="384"/>
      <c r="AI154" s="385"/>
      <c r="AJ154" s="384"/>
      <c r="AK154" s="383" t="s">
        <v>727</v>
      </c>
      <c r="AL154" s="390">
        <v>7</v>
      </c>
      <c r="AM154" s="384"/>
      <c r="AN154" s="385"/>
      <c r="AO154" s="384"/>
      <c r="AP154" s="383" t="s">
        <v>727</v>
      </c>
      <c r="AQ154" s="390">
        <v>7</v>
      </c>
      <c r="AR154" s="384"/>
      <c r="AS154" s="385"/>
      <c r="AT154" s="384"/>
      <c r="AU154" s="383" t="s">
        <v>727</v>
      </c>
      <c r="AV154" s="390">
        <v>7</v>
      </c>
      <c r="AW154" s="384"/>
      <c r="AX154" s="385"/>
      <c r="AY154" s="384"/>
      <c r="AZ154" s="383" t="s">
        <v>727</v>
      </c>
      <c r="BA154" s="390">
        <v>7</v>
      </c>
      <c r="BB154" s="384"/>
      <c r="BC154" s="385"/>
      <c r="BD154" s="384"/>
      <c r="BE154" s="383" t="s">
        <v>727</v>
      </c>
      <c r="BF154" s="390">
        <v>7</v>
      </c>
      <c r="BG154" s="384"/>
      <c r="BH154" s="385"/>
      <c r="BI154" s="384"/>
      <c r="BJ154" s="383" t="s">
        <v>727</v>
      </c>
      <c r="BK154" s="390">
        <v>7</v>
      </c>
      <c r="BL154" s="384"/>
      <c r="BM154" s="385"/>
      <c r="BN154" s="384"/>
      <c r="BO154" s="383" t="s">
        <v>727</v>
      </c>
      <c r="BP154" s="390">
        <v>7</v>
      </c>
      <c r="BQ154" s="384"/>
      <c r="BR154" s="385"/>
      <c r="BS154" s="384"/>
      <c r="BT154" s="383" t="s">
        <v>727</v>
      </c>
      <c r="BU154" s="390">
        <v>7</v>
      </c>
      <c r="BV154" s="384"/>
      <c r="BW154" s="385"/>
      <c r="BX154" s="384"/>
      <c r="BY154" s="383" t="s">
        <v>727</v>
      </c>
      <c r="BZ154" s="390">
        <v>7</v>
      </c>
      <c r="CA154" s="384"/>
      <c r="CB154" s="385"/>
      <c r="CC154" s="384"/>
      <c r="CD154" s="383" t="s">
        <v>727</v>
      </c>
      <c r="CE154" s="390">
        <v>7</v>
      </c>
      <c r="CF154" s="384"/>
      <c r="CG154" s="385"/>
      <c r="CI154" s="383" t="s">
        <v>727</v>
      </c>
      <c r="CJ154" s="390">
        <v>7</v>
      </c>
      <c r="CK154" s="384"/>
      <c r="CL154" s="385"/>
      <c r="CN154" s="383" t="s">
        <v>727</v>
      </c>
      <c r="CO154" s="390">
        <v>7</v>
      </c>
      <c r="CP154" s="384"/>
      <c r="CQ154" s="385"/>
      <c r="CT154" s="384"/>
    </row>
    <row r="155" spans="1:129" x14ac:dyDescent="0.3">
      <c r="A155" s="380"/>
      <c r="B155" s="741" t="s">
        <v>890</v>
      </c>
      <c r="C155" s="765">
        <f>IF(NOT(Dashboard!E94=""),Dashboard!E94,IF(AND(D155="",E155=""),"",IF(E155="",D155,E155)))</f>
        <v>10</v>
      </c>
      <c r="D155" s="766" cm="1">
        <f t="array" ref="D155">IF(INDEX(155:155,$E$2)="","", INDEX(155:155, $E$2))</f>
        <v>10</v>
      </c>
      <c r="E155" s="740"/>
      <c r="F155" s="407"/>
      <c r="L155" s="383" t="s">
        <v>729</v>
      </c>
      <c r="M155" s="390">
        <v>10</v>
      </c>
      <c r="N155" s="384"/>
      <c r="O155" s="385"/>
      <c r="Q155" s="383" t="s">
        <v>729</v>
      </c>
      <c r="R155" s="390">
        <v>10</v>
      </c>
      <c r="S155" s="384"/>
      <c r="T155" s="385"/>
      <c r="U155" s="932"/>
      <c r="V155" s="383" t="s">
        <v>729</v>
      </c>
      <c r="W155" s="390">
        <v>10</v>
      </c>
      <c r="X155" s="384"/>
      <c r="Y155" s="385"/>
      <c r="Z155" s="932"/>
      <c r="AA155" s="383" t="s">
        <v>729</v>
      </c>
      <c r="AB155" s="390">
        <v>10</v>
      </c>
      <c r="AC155" s="384"/>
      <c r="AD155" s="385"/>
      <c r="AE155" s="384"/>
      <c r="AF155" s="383" t="s">
        <v>729</v>
      </c>
      <c r="AG155" s="390">
        <v>10</v>
      </c>
      <c r="AH155" s="384"/>
      <c r="AI155" s="385"/>
      <c r="AJ155" s="384"/>
      <c r="AK155" s="383" t="s">
        <v>729</v>
      </c>
      <c r="AL155" s="390">
        <v>10</v>
      </c>
      <c r="AM155" s="384"/>
      <c r="AN155" s="385"/>
      <c r="AO155" s="384"/>
      <c r="AP155" s="383" t="s">
        <v>729</v>
      </c>
      <c r="AQ155" s="390">
        <v>10</v>
      </c>
      <c r="AR155" s="384"/>
      <c r="AS155" s="385"/>
      <c r="AT155" s="384"/>
      <c r="AU155" s="383" t="s">
        <v>729</v>
      </c>
      <c r="AV155" s="390">
        <v>10</v>
      </c>
      <c r="AW155" s="384"/>
      <c r="AX155" s="385"/>
      <c r="AY155" s="384"/>
      <c r="AZ155" s="383" t="s">
        <v>729</v>
      </c>
      <c r="BA155" s="390">
        <v>10</v>
      </c>
      <c r="BB155" s="384"/>
      <c r="BC155" s="385"/>
      <c r="BD155" s="384"/>
      <c r="BE155" s="383" t="s">
        <v>729</v>
      </c>
      <c r="BF155" s="390">
        <v>10</v>
      </c>
      <c r="BG155" s="384"/>
      <c r="BH155" s="385"/>
      <c r="BI155" s="384"/>
      <c r="BJ155" s="383" t="s">
        <v>729</v>
      </c>
      <c r="BK155" s="390">
        <v>10</v>
      </c>
      <c r="BL155" s="384"/>
      <c r="BM155" s="385"/>
      <c r="BN155" s="384"/>
      <c r="BO155" s="383" t="s">
        <v>729</v>
      </c>
      <c r="BP155" s="390">
        <v>10</v>
      </c>
      <c r="BQ155" s="384"/>
      <c r="BR155" s="385"/>
      <c r="BS155" s="384"/>
      <c r="BT155" s="383" t="s">
        <v>729</v>
      </c>
      <c r="BU155" s="390">
        <v>10</v>
      </c>
      <c r="BV155" s="384"/>
      <c r="BW155" s="385"/>
      <c r="BX155" s="384"/>
      <c r="BY155" s="383" t="s">
        <v>729</v>
      </c>
      <c r="BZ155" s="390">
        <v>10</v>
      </c>
      <c r="CA155" s="384"/>
      <c r="CB155" s="385"/>
      <c r="CC155" s="384"/>
      <c r="CD155" s="383" t="s">
        <v>729</v>
      </c>
      <c r="CE155" s="390">
        <v>15</v>
      </c>
      <c r="CF155" s="384"/>
      <c r="CG155" s="385"/>
      <c r="CI155" s="383" t="s">
        <v>729</v>
      </c>
      <c r="CJ155" s="390">
        <v>15</v>
      </c>
      <c r="CK155" s="384"/>
      <c r="CL155" s="385"/>
      <c r="CN155" s="383" t="s">
        <v>729</v>
      </c>
      <c r="CO155" s="390">
        <v>10</v>
      </c>
      <c r="CP155" s="384"/>
      <c r="CQ155" s="385"/>
      <c r="CT155" s="384"/>
    </row>
    <row r="156" spans="1:129" x14ac:dyDescent="0.3">
      <c r="A156" s="380"/>
      <c r="B156" s="741" t="s">
        <v>891</v>
      </c>
      <c r="C156" s="765">
        <f>IF(NOT(Dashboard!E95=""),Dashboard!E95,IF(AND(D156="",E156=""),"",IF(E156="",D156,E156)))</f>
        <v>0</v>
      </c>
      <c r="D156" s="766" cm="1">
        <f t="array" ref="D156">IF(INDEX(156:156,$E$2)="","", INDEX(156:156, $E$2))</f>
        <v>0</v>
      </c>
      <c r="E156" s="740"/>
      <c r="F156" s="407"/>
      <c r="L156" s="383" t="s">
        <v>721</v>
      </c>
      <c r="M156" s="390">
        <v>0</v>
      </c>
      <c r="N156" s="384"/>
      <c r="O156" s="385"/>
      <c r="Q156" s="383" t="s">
        <v>721</v>
      </c>
      <c r="R156" s="390">
        <v>0</v>
      </c>
      <c r="S156" s="384"/>
      <c r="T156" s="385"/>
      <c r="U156" s="932"/>
      <c r="V156" s="383" t="s">
        <v>721</v>
      </c>
      <c r="W156" s="390">
        <v>0</v>
      </c>
      <c r="X156" s="384"/>
      <c r="Y156" s="385"/>
      <c r="Z156" s="932"/>
      <c r="AA156" s="383" t="s">
        <v>721</v>
      </c>
      <c r="AB156" s="390">
        <v>0</v>
      </c>
      <c r="AC156" s="384"/>
      <c r="AD156" s="385"/>
      <c r="AE156" s="384"/>
      <c r="AF156" s="383" t="s">
        <v>721</v>
      </c>
      <c r="AG156" s="390">
        <v>0</v>
      </c>
      <c r="AH156" s="384"/>
      <c r="AI156" s="385"/>
      <c r="AJ156" s="384"/>
      <c r="AK156" s="383" t="s">
        <v>721</v>
      </c>
      <c r="AL156" s="390">
        <v>0</v>
      </c>
      <c r="AM156" s="384"/>
      <c r="AN156" s="385"/>
      <c r="AO156" s="384"/>
      <c r="AP156" s="383" t="s">
        <v>721</v>
      </c>
      <c r="AQ156" s="390">
        <v>0</v>
      </c>
      <c r="AR156" s="384"/>
      <c r="AS156" s="385"/>
      <c r="AT156" s="384"/>
      <c r="AU156" s="383" t="s">
        <v>721</v>
      </c>
      <c r="AV156" s="390">
        <v>0</v>
      </c>
      <c r="AW156" s="384"/>
      <c r="AX156" s="385"/>
      <c r="AY156" s="384"/>
      <c r="AZ156" s="383" t="s">
        <v>721</v>
      </c>
      <c r="BA156" s="390">
        <v>0</v>
      </c>
      <c r="BB156" s="384"/>
      <c r="BC156" s="385"/>
      <c r="BD156" s="384"/>
      <c r="BE156" s="383" t="s">
        <v>721</v>
      </c>
      <c r="BF156" s="390">
        <v>0</v>
      </c>
      <c r="BG156" s="384"/>
      <c r="BH156" s="385"/>
      <c r="BI156" s="384"/>
      <c r="BJ156" s="383" t="s">
        <v>721</v>
      </c>
      <c r="BK156" s="390">
        <v>0</v>
      </c>
      <c r="BL156" s="384"/>
      <c r="BM156" s="385"/>
      <c r="BN156" s="384"/>
      <c r="BO156" s="383" t="s">
        <v>721</v>
      </c>
      <c r="BP156" s="390">
        <v>0</v>
      </c>
      <c r="BQ156" s="384"/>
      <c r="BR156" s="385"/>
      <c r="BS156" s="384"/>
      <c r="BT156" s="383" t="s">
        <v>721</v>
      </c>
      <c r="BU156" s="390">
        <v>0</v>
      </c>
      <c r="BV156" s="384"/>
      <c r="BW156" s="385"/>
      <c r="BX156" s="384"/>
      <c r="BY156" s="383" t="s">
        <v>721</v>
      </c>
      <c r="BZ156" s="390">
        <v>0</v>
      </c>
      <c r="CA156" s="384"/>
      <c r="CB156" s="385"/>
      <c r="CC156" s="384"/>
      <c r="CD156" s="383" t="s">
        <v>721</v>
      </c>
      <c r="CE156" s="390">
        <v>2.7</v>
      </c>
      <c r="CF156" s="384"/>
      <c r="CG156" s="385"/>
      <c r="CI156" s="383" t="s">
        <v>721</v>
      </c>
      <c r="CJ156" s="390">
        <v>2.7</v>
      </c>
      <c r="CK156" s="384"/>
      <c r="CL156" s="385"/>
      <c r="CN156" s="383" t="s">
        <v>721</v>
      </c>
      <c r="CO156" s="390">
        <v>0</v>
      </c>
      <c r="CP156" s="384"/>
      <c r="CQ156" s="385"/>
      <c r="CT156" s="384"/>
    </row>
    <row r="157" spans="1:129" x14ac:dyDescent="0.3">
      <c r="A157" s="380"/>
      <c r="B157" s="741"/>
      <c r="C157" s="765"/>
      <c r="D157" s="766"/>
      <c r="E157" s="740"/>
      <c r="F157" s="407"/>
      <c r="L157" s="383"/>
      <c r="M157" s="390"/>
      <c r="N157" s="384"/>
      <c r="O157" s="385"/>
      <c r="Q157" s="383"/>
      <c r="R157" s="390"/>
      <c r="S157" s="384"/>
      <c r="T157" s="385"/>
      <c r="U157" s="932"/>
      <c r="V157" s="383"/>
      <c r="W157" s="390"/>
      <c r="X157" s="384"/>
      <c r="Y157" s="385"/>
      <c r="Z157" s="932"/>
      <c r="AA157" s="383"/>
      <c r="AB157" s="390"/>
      <c r="AC157" s="384"/>
      <c r="AD157" s="385"/>
      <c r="AE157" s="384"/>
      <c r="AF157" s="383"/>
      <c r="AG157" s="390"/>
      <c r="AH157" s="384"/>
      <c r="AI157" s="385"/>
      <c r="AJ157" s="384"/>
      <c r="AK157" s="383"/>
      <c r="AL157" s="390"/>
      <c r="AM157" s="384"/>
      <c r="AN157" s="385"/>
      <c r="AO157" s="384"/>
      <c r="AP157" s="383"/>
      <c r="AQ157" s="390"/>
      <c r="AR157" s="384"/>
      <c r="AS157" s="385"/>
      <c r="AT157" s="384"/>
      <c r="AU157" s="383"/>
      <c r="AV157" s="390"/>
      <c r="AW157" s="384"/>
      <c r="AX157" s="385"/>
      <c r="AY157" s="384"/>
      <c r="AZ157" s="383"/>
      <c r="BA157" s="390"/>
      <c r="BB157" s="384"/>
      <c r="BC157" s="385"/>
      <c r="BD157" s="384"/>
      <c r="BE157" s="383"/>
      <c r="BF157" s="390"/>
      <c r="BG157" s="384"/>
      <c r="BH157" s="385"/>
      <c r="BI157" s="384"/>
      <c r="BJ157" s="383"/>
      <c r="BK157" s="390"/>
      <c r="BL157" s="384"/>
      <c r="BM157" s="385"/>
      <c r="BN157" s="384"/>
      <c r="BO157" s="383"/>
      <c r="BP157" s="390"/>
      <c r="BQ157" s="384"/>
      <c r="BR157" s="385"/>
      <c r="BS157" s="384"/>
      <c r="BT157" s="383"/>
      <c r="BU157" s="390"/>
      <c r="BV157" s="384"/>
      <c r="BW157" s="385"/>
      <c r="BX157" s="384"/>
      <c r="BY157" s="383"/>
      <c r="BZ157" s="390"/>
      <c r="CA157" s="384"/>
      <c r="CB157" s="385"/>
      <c r="CC157" s="384"/>
      <c r="CD157" s="383"/>
      <c r="CE157" s="390"/>
      <c r="CF157" s="384"/>
      <c r="CG157" s="385"/>
      <c r="CI157" s="383"/>
      <c r="CJ157" s="390"/>
      <c r="CK157" s="384"/>
      <c r="CL157" s="385"/>
      <c r="CN157" s="383"/>
      <c r="CO157" s="390"/>
      <c r="CP157" s="384"/>
      <c r="CQ157" s="385"/>
      <c r="CT157" s="384"/>
    </row>
    <row r="158" spans="1:129" ht="15.5" x14ac:dyDescent="0.35">
      <c r="A158" s="380"/>
      <c r="B158" s="770" t="s">
        <v>892</v>
      </c>
      <c r="C158" s="765"/>
      <c r="D158" s="766"/>
      <c r="E158" s="740"/>
      <c r="F158" s="407"/>
      <c r="L158" s="394" t="s">
        <v>892</v>
      </c>
      <c r="M158" s="390"/>
      <c r="N158" s="384"/>
      <c r="O158" s="385"/>
      <c r="Q158" s="394" t="s">
        <v>892</v>
      </c>
      <c r="R158" s="390"/>
      <c r="S158" s="384"/>
      <c r="T158" s="385"/>
      <c r="U158" s="932"/>
      <c r="V158" s="394" t="s">
        <v>892</v>
      </c>
      <c r="W158" s="390"/>
      <c r="X158" s="384"/>
      <c r="Y158" s="385"/>
      <c r="Z158" s="932"/>
      <c r="AA158" s="394" t="s">
        <v>892</v>
      </c>
      <c r="AB158" s="390"/>
      <c r="AC158" s="384"/>
      <c r="AD158" s="385"/>
      <c r="AE158" s="384"/>
      <c r="AF158" s="394" t="s">
        <v>892</v>
      </c>
      <c r="AG158" s="390"/>
      <c r="AH158" s="384"/>
      <c r="AI158" s="385"/>
      <c r="AJ158" s="384"/>
      <c r="AK158" s="394" t="s">
        <v>892</v>
      </c>
      <c r="AL158" s="390"/>
      <c r="AM158" s="384"/>
      <c r="AN158" s="385"/>
      <c r="AO158" s="384"/>
      <c r="AP158" s="394" t="s">
        <v>892</v>
      </c>
      <c r="AQ158" s="390"/>
      <c r="AR158" s="384"/>
      <c r="AS158" s="385"/>
      <c r="AT158" s="384"/>
      <c r="AU158" s="394" t="s">
        <v>892</v>
      </c>
      <c r="AV158" s="390"/>
      <c r="AW158" s="384"/>
      <c r="AX158" s="385"/>
      <c r="AY158" s="384"/>
      <c r="AZ158" s="394" t="s">
        <v>892</v>
      </c>
      <c r="BA158" s="390"/>
      <c r="BB158" s="384"/>
      <c r="BC158" s="385"/>
      <c r="BD158" s="384"/>
      <c r="BE158" s="394" t="s">
        <v>892</v>
      </c>
      <c r="BF158" s="390"/>
      <c r="BG158" s="384"/>
      <c r="BH158" s="385"/>
      <c r="BI158" s="384"/>
      <c r="BJ158" s="394" t="s">
        <v>892</v>
      </c>
      <c r="BK158" s="390"/>
      <c r="BL158" s="384"/>
      <c r="BM158" s="385"/>
      <c r="BN158" s="384"/>
      <c r="BO158" s="394" t="s">
        <v>892</v>
      </c>
      <c r="BP158" s="390"/>
      <c r="BQ158" s="384"/>
      <c r="BR158" s="385"/>
      <c r="BS158" s="384"/>
      <c r="BT158" s="394" t="s">
        <v>892</v>
      </c>
      <c r="BU158" s="390"/>
      <c r="BV158" s="384"/>
      <c r="BW158" s="385"/>
      <c r="BX158" s="384"/>
      <c r="BY158" s="394" t="s">
        <v>892</v>
      </c>
      <c r="BZ158" s="390"/>
      <c r="CA158" s="384"/>
      <c r="CB158" s="385"/>
      <c r="CC158" s="384"/>
      <c r="CD158" s="394" t="s">
        <v>892</v>
      </c>
      <c r="CE158" s="390"/>
      <c r="CF158" s="384"/>
      <c r="CG158" s="385"/>
      <c r="CI158" s="394" t="s">
        <v>892</v>
      </c>
      <c r="CJ158" s="390"/>
      <c r="CK158" s="384"/>
      <c r="CL158" s="385"/>
      <c r="CN158" s="394" t="s">
        <v>892</v>
      </c>
      <c r="CO158" s="390"/>
      <c r="CP158" s="384"/>
      <c r="CQ158" s="385"/>
      <c r="CT158" s="384"/>
    </row>
    <row r="159" spans="1:129" ht="16" x14ac:dyDescent="0.3">
      <c r="A159" s="380"/>
      <c r="B159" s="741" t="s">
        <v>893</v>
      </c>
      <c r="C159" s="765">
        <f>IF(NOT(Dashboard!E97=""),Dashboard!E97,IF(AND(D159="",E159=""),"",IF(E159="",D159,E159)))</f>
        <v>0.2</v>
      </c>
      <c r="D159" s="766" cm="1">
        <f t="array" ref="D159">IF(INDEX(159:159,$E$2)="","", INDEX(159:159, $E$2))</f>
        <v>0.2</v>
      </c>
      <c r="E159" s="740"/>
      <c r="F159" s="407"/>
      <c r="L159" s="383" t="s">
        <v>894</v>
      </c>
      <c r="M159" s="390">
        <v>0.2</v>
      </c>
      <c r="N159" s="384"/>
      <c r="O159" s="385"/>
      <c r="Q159" s="383" t="s">
        <v>894</v>
      </c>
      <c r="R159" s="390">
        <v>0.2</v>
      </c>
      <c r="S159" s="384"/>
      <c r="T159" s="385"/>
      <c r="U159" s="932"/>
      <c r="V159" s="383" t="s">
        <v>894</v>
      </c>
      <c r="W159" s="390">
        <v>0.2</v>
      </c>
      <c r="X159" s="384"/>
      <c r="Y159" s="385"/>
      <c r="Z159" s="932"/>
      <c r="AA159" s="383" t="s">
        <v>894</v>
      </c>
      <c r="AB159" s="390">
        <v>0.2</v>
      </c>
      <c r="AC159" s="384"/>
      <c r="AD159" s="385"/>
      <c r="AE159" s="384"/>
      <c r="AF159" s="383" t="s">
        <v>894</v>
      </c>
      <c r="AG159" s="390">
        <v>0.2</v>
      </c>
      <c r="AH159" s="384"/>
      <c r="AI159" s="385"/>
      <c r="AJ159" s="384"/>
      <c r="AK159" s="383" t="s">
        <v>894</v>
      </c>
      <c r="AL159" s="390">
        <v>0.2</v>
      </c>
      <c r="AM159" s="384"/>
      <c r="AN159" s="385"/>
      <c r="AO159" s="384"/>
      <c r="AP159" s="383" t="s">
        <v>894</v>
      </c>
      <c r="AQ159" s="390">
        <v>0.2</v>
      </c>
      <c r="AR159" s="384"/>
      <c r="AS159" s="385"/>
      <c r="AT159" s="384"/>
      <c r="AU159" s="383" t="s">
        <v>894</v>
      </c>
      <c r="AV159" s="390">
        <v>0.2</v>
      </c>
      <c r="AW159" s="384"/>
      <c r="AX159" s="385"/>
      <c r="AY159" s="384"/>
      <c r="AZ159" s="383" t="s">
        <v>894</v>
      </c>
      <c r="BA159" s="390">
        <v>0.2</v>
      </c>
      <c r="BB159" s="384"/>
      <c r="BC159" s="385"/>
      <c r="BD159" s="384"/>
      <c r="BE159" s="383" t="s">
        <v>894</v>
      </c>
      <c r="BF159" s="390">
        <v>0.2</v>
      </c>
      <c r="BG159" s="384"/>
      <c r="BH159" s="385"/>
      <c r="BI159" s="384"/>
      <c r="BJ159" s="383" t="s">
        <v>894</v>
      </c>
      <c r="BK159" s="390">
        <v>0.2</v>
      </c>
      <c r="BL159" s="384"/>
      <c r="BM159" s="385"/>
      <c r="BN159" s="384"/>
      <c r="BO159" s="383" t="s">
        <v>894</v>
      </c>
      <c r="BP159" s="390">
        <v>0.2</v>
      </c>
      <c r="BQ159" s="384"/>
      <c r="BR159" s="385"/>
      <c r="BS159" s="384"/>
      <c r="BT159" s="383" t="s">
        <v>894</v>
      </c>
      <c r="BU159" s="390">
        <v>0.2</v>
      </c>
      <c r="BV159" s="384"/>
      <c r="BW159" s="385"/>
      <c r="BX159" s="384"/>
      <c r="BY159" s="383" t="s">
        <v>894</v>
      </c>
      <c r="BZ159" s="390">
        <v>0.2</v>
      </c>
      <c r="CA159" s="384"/>
      <c r="CB159" s="385"/>
      <c r="CC159" s="384"/>
      <c r="CD159" s="383" t="s">
        <v>894</v>
      </c>
      <c r="CE159" s="390">
        <v>0.2</v>
      </c>
      <c r="CF159" s="384"/>
      <c r="CG159" s="385"/>
      <c r="CI159" s="383" t="s">
        <v>894</v>
      </c>
      <c r="CJ159" s="390">
        <v>0.2</v>
      </c>
      <c r="CK159" s="384"/>
      <c r="CL159" s="385"/>
      <c r="CN159" s="383" t="s">
        <v>894</v>
      </c>
      <c r="CO159" s="390">
        <v>0.2</v>
      </c>
      <c r="CP159" s="384"/>
      <c r="CQ159" s="385"/>
      <c r="CT159" s="384"/>
    </row>
    <row r="160" spans="1:129" ht="16" x14ac:dyDescent="0.3">
      <c r="A160" s="380"/>
      <c r="B160" s="741" t="s">
        <v>895</v>
      </c>
      <c r="C160" s="765">
        <f>IF(NOT(Dashboard!E98=""),Dashboard!E98,IF(AND(D160="",E160=""),"",IF(E160="",D160,E160)))</f>
        <v>1.2</v>
      </c>
      <c r="D160" s="766" cm="1">
        <f t="array" ref="D160">IF(INDEX(160:160,$E$2)="","", INDEX(160:160, $E$2))</f>
        <v>1.2</v>
      </c>
      <c r="E160" s="740"/>
      <c r="F160" s="407"/>
      <c r="L160" s="383" t="s">
        <v>896</v>
      </c>
      <c r="M160" s="390">
        <v>1.2</v>
      </c>
      <c r="N160" s="384"/>
      <c r="O160" s="385"/>
      <c r="Q160" s="383" t="s">
        <v>896</v>
      </c>
      <c r="R160" s="390">
        <v>1.2</v>
      </c>
      <c r="S160" s="384"/>
      <c r="T160" s="385"/>
      <c r="U160" s="932"/>
      <c r="V160" s="383" t="s">
        <v>896</v>
      </c>
      <c r="W160" s="390">
        <v>1.2</v>
      </c>
      <c r="X160" s="384"/>
      <c r="Y160" s="385"/>
      <c r="Z160" s="932"/>
      <c r="AA160" s="383" t="s">
        <v>896</v>
      </c>
      <c r="AB160" s="390">
        <v>1.2</v>
      </c>
      <c r="AC160" s="384"/>
      <c r="AD160" s="385"/>
      <c r="AE160" s="384"/>
      <c r="AF160" s="383" t="s">
        <v>896</v>
      </c>
      <c r="AG160" s="390">
        <v>1.2</v>
      </c>
      <c r="AH160" s="384"/>
      <c r="AI160" s="385"/>
      <c r="AJ160" s="384"/>
      <c r="AK160" s="383" t="s">
        <v>896</v>
      </c>
      <c r="AL160" s="390">
        <v>1.2</v>
      </c>
      <c r="AM160" s="384"/>
      <c r="AN160" s="385"/>
      <c r="AO160" s="384"/>
      <c r="AP160" s="383" t="s">
        <v>896</v>
      </c>
      <c r="AQ160" s="390">
        <v>1.2</v>
      </c>
      <c r="AR160" s="384"/>
      <c r="AS160" s="385"/>
      <c r="AT160" s="384"/>
      <c r="AU160" s="383" t="s">
        <v>896</v>
      </c>
      <c r="AV160" s="390">
        <v>1.2</v>
      </c>
      <c r="AW160" s="384"/>
      <c r="AX160" s="385"/>
      <c r="AY160" s="384"/>
      <c r="AZ160" s="383" t="s">
        <v>896</v>
      </c>
      <c r="BA160" s="390">
        <v>1.2</v>
      </c>
      <c r="BB160" s="384"/>
      <c r="BC160" s="385"/>
      <c r="BD160" s="384"/>
      <c r="BE160" s="383" t="s">
        <v>896</v>
      </c>
      <c r="BF160" s="390">
        <v>1.2</v>
      </c>
      <c r="BG160" s="384"/>
      <c r="BH160" s="385"/>
      <c r="BI160" s="384"/>
      <c r="BJ160" s="383" t="s">
        <v>896</v>
      </c>
      <c r="BK160" s="390">
        <v>1.2</v>
      </c>
      <c r="BL160" s="384"/>
      <c r="BM160" s="385"/>
      <c r="BN160" s="384"/>
      <c r="BO160" s="383" t="s">
        <v>896</v>
      </c>
      <c r="BP160" s="390">
        <v>1.2</v>
      </c>
      <c r="BQ160" s="384"/>
      <c r="BR160" s="385"/>
      <c r="BS160" s="384"/>
      <c r="BT160" s="383" t="s">
        <v>896</v>
      </c>
      <c r="BU160" s="390">
        <v>1.2</v>
      </c>
      <c r="BV160" s="384"/>
      <c r="BW160" s="385"/>
      <c r="BX160" s="384"/>
      <c r="BY160" s="383" t="s">
        <v>896</v>
      </c>
      <c r="BZ160" s="390">
        <v>1.2</v>
      </c>
      <c r="CA160" s="384"/>
      <c r="CB160" s="385"/>
      <c r="CC160" s="384"/>
      <c r="CD160" s="383" t="s">
        <v>896</v>
      </c>
      <c r="CE160" s="390">
        <v>0.2</v>
      </c>
      <c r="CF160" s="384"/>
      <c r="CG160" s="385"/>
      <c r="CI160" s="383" t="s">
        <v>896</v>
      </c>
      <c r="CJ160" s="390">
        <v>0.2</v>
      </c>
      <c r="CK160" s="384"/>
      <c r="CL160" s="385"/>
      <c r="CN160" s="383" t="s">
        <v>896</v>
      </c>
      <c r="CO160" s="390">
        <v>1.2</v>
      </c>
      <c r="CP160" s="384"/>
      <c r="CQ160" s="385"/>
      <c r="CT160" s="384"/>
    </row>
    <row r="161" spans="1:98" ht="16" x14ac:dyDescent="0.3">
      <c r="A161" s="380"/>
      <c r="B161" s="741" t="s">
        <v>897</v>
      </c>
      <c r="C161" s="765">
        <f>IF(NOT(Dashboard!E99=""),Dashboard!E99,IF(AND(D161="",E161=""),"",IF(E161="",D161,E161)))</f>
        <v>0.9</v>
      </c>
      <c r="D161" s="766" cm="1">
        <f t="array" ref="D161">IF(INDEX(161:161,$E$2)="","", INDEX(161:161, $E$2))</f>
        <v>0.9</v>
      </c>
      <c r="E161" s="740"/>
      <c r="F161" s="407"/>
      <c r="L161" s="383" t="s">
        <v>898</v>
      </c>
      <c r="M161" s="390">
        <v>0.9</v>
      </c>
      <c r="N161" s="384"/>
      <c r="O161" s="385"/>
      <c r="Q161" s="383" t="s">
        <v>898</v>
      </c>
      <c r="R161" s="390">
        <v>0.9</v>
      </c>
      <c r="S161" s="384"/>
      <c r="T161" s="385"/>
      <c r="U161" s="932"/>
      <c r="V161" s="383" t="s">
        <v>898</v>
      </c>
      <c r="W161" s="390">
        <v>0.9</v>
      </c>
      <c r="X161" s="384"/>
      <c r="Y161" s="385"/>
      <c r="Z161" s="932"/>
      <c r="AA161" s="383" t="s">
        <v>898</v>
      </c>
      <c r="AB161" s="390">
        <v>0.9</v>
      </c>
      <c r="AC161" s="384"/>
      <c r="AD161" s="385"/>
      <c r="AE161" s="384"/>
      <c r="AF161" s="383" t="s">
        <v>898</v>
      </c>
      <c r="AG161" s="390">
        <v>0.9</v>
      </c>
      <c r="AH161" s="384"/>
      <c r="AI161" s="385"/>
      <c r="AJ161" s="384"/>
      <c r="AK161" s="383" t="s">
        <v>898</v>
      </c>
      <c r="AL161" s="390">
        <v>0.9</v>
      </c>
      <c r="AM161" s="384"/>
      <c r="AN161" s="385"/>
      <c r="AO161" s="384"/>
      <c r="AP161" s="383" t="s">
        <v>898</v>
      </c>
      <c r="AQ161" s="390">
        <v>0.9</v>
      </c>
      <c r="AR161" s="384"/>
      <c r="AS161" s="385"/>
      <c r="AT161" s="384"/>
      <c r="AU161" s="383" t="s">
        <v>898</v>
      </c>
      <c r="AV161" s="390">
        <v>0.9</v>
      </c>
      <c r="AW161" s="384"/>
      <c r="AX161" s="385"/>
      <c r="AY161" s="384"/>
      <c r="AZ161" s="383" t="s">
        <v>898</v>
      </c>
      <c r="BA161" s="390">
        <v>0.9</v>
      </c>
      <c r="BB161" s="384"/>
      <c r="BC161" s="385"/>
      <c r="BD161" s="384"/>
      <c r="BE161" s="383" t="s">
        <v>898</v>
      </c>
      <c r="BF161" s="390">
        <v>0.9</v>
      </c>
      <c r="BG161" s="384"/>
      <c r="BH161" s="385"/>
      <c r="BI161" s="384"/>
      <c r="BJ161" s="383" t="s">
        <v>898</v>
      </c>
      <c r="BK161" s="390">
        <v>0.9</v>
      </c>
      <c r="BL161" s="384"/>
      <c r="BM161" s="385"/>
      <c r="BN161" s="384"/>
      <c r="BO161" s="383" t="s">
        <v>898</v>
      </c>
      <c r="BP161" s="390">
        <v>0.9</v>
      </c>
      <c r="BQ161" s="384"/>
      <c r="BR161" s="385"/>
      <c r="BS161" s="384"/>
      <c r="BT161" s="383" t="s">
        <v>898</v>
      </c>
      <c r="BU161" s="390">
        <v>0.9</v>
      </c>
      <c r="BV161" s="384"/>
      <c r="BW161" s="385"/>
      <c r="BX161" s="384"/>
      <c r="BY161" s="383" t="s">
        <v>898</v>
      </c>
      <c r="BZ161" s="390">
        <v>0.9</v>
      </c>
      <c r="CA161" s="384"/>
      <c r="CB161" s="385"/>
      <c r="CC161" s="384"/>
      <c r="CD161" s="383" t="s">
        <v>898</v>
      </c>
      <c r="CE161" s="390">
        <v>0.9</v>
      </c>
      <c r="CF161" s="384"/>
      <c r="CG161" s="385"/>
      <c r="CI161" s="383" t="s">
        <v>898</v>
      </c>
      <c r="CJ161" s="390">
        <v>0.9</v>
      </c>
      <c r="CK161" s="384"/>
      <c r="CL161" s="385"/>
      <c r="CN161" s="383" t="s">
        <v>898</v>
      </c>
      <c r="CO161" s="390">
        <v>0.9</v>
      </c>
      <c r="CP161" s="384"/>
      <c r="CQ161" s="385"/>
      <c r="CT161" s="384"/>
    </row>
    <row r="162" spans="1:98" x14ac:dyDescent="0.3">
      <c r="A162" s="380"/>
      <c r="B162" s="741" t="s">
        <v>86</v>
      </c>
      <c r="C162" s="765">
        <f>IF(NOT(Dashboard!E100=""),Dashboard!E100,IF(AND(D162="",E162=""),"",IF(E162="",D162,E162)))</f>
        <v>10</v>
      </c>
      <c r="D162" s="766" cm="1">
        <f t="array" ref="D162">IF(INDEX(162:162,$E$2)="","", INDEX(162:162, $E$2))</f>
        <v>10</v>
      </c>
      <c r="E162" s="740"/>
      <c r="F162" s="407"/>
      <c r="L162" s="383" t="s">
        <v>86</v>
      </c>
      <c r="M162" s="390">
        <v>10</v>
      </c>
      <c r="N162" s="384"/>
      <c r="O162" s="385"/>
      <c r="Q162" s="383" t="s">
        <v>86</v>
      </c>
      <c r="R162" s="390">
        <v>10</v>
      </c>
      <c r="S162" s="384"/>
      <c r="T162" s="385"/>
      <c r="U162" s="932"/>
      <c r="V162" s="383" t="s">
        <v>86</v>
      </c>
      <c r="W162" s="390">
        <v>10</v>
      </c>
      <c r="X162" s="384"/>
      <c r="Y162" s="385"/>
      <c r="Z162" s="932"/>
      <c r="AA162" s="383" t="s">
        <v>86</v>
      </c>
      <c r="AB162" s="390">
        <v>10</v>
      </c>
      <c r="AC162" s="384"/>
      <c r="AD162" s="385"/>
      <c r="AE162" s="384"/>
      <c r="AF162" s="383" t="s">
        <v>86</v>
      </c>
      <c r="AG162" s="390">
        <v>10</v>
      </c>
      <c r="AH162" s="384"/>
      <c r="AI162" s="385"/>
      <c r="AJ162" s="384"/>
      <c r="AK162" s="383" t="s">
        <v>86</v>
      </c>
      <c r="AL162" s="390">
        <v>10</v>
      </c>
      <c r="AM162" s="384"/>
      <c r="AN162" s="385"/>
      <c r="AO162" s="384"/>
      <c r="AP162" s="383" t="s">
        <v>86</v>
      </c>
      <c r="AQ162" s="390">
        <v>10</v>
      </c>
      <c r="AR162" s="384"/>
      <c r="AS162" s="385"/>
      <c r="AT162" s="384"/>
      <c r="AU162" s="383" t="s">
        <v>86</v>
      </c>
      <c r="AV162" s="390">
        <v>10</v>
      </c>
      <c r="AW162" s="384"/>
      <c r="AX162" s="385"/>
      <c r="AY162" s="384"/>
      <c r="AZ162" s="383" t="s">
        <v>86</v>
      </c>
      <c r="BA162" s="390">
        <v>10</v>
      </c>
      <c r="BB162" s="384"/>
      <c r="BC162" s="385"/>
      <c r="BD162" s="384"/>
      <c r="BE162" s="383" t="s">
        <v>86</v>
      </c>
      <c r="BF162" s="390">
        <v>10</v>
      </c>
      <c r="BG162" s="384"/>
      <c r="BH162" s="385"/>
      <c r="BI162" s="384"/>
      <c r="BJ162" s="383" t="s">
        <v>86</v>
      </c>
      <c r="BK162" s="390">
        <v>10</v>
      </c>
      <c r="BL162" s="384"/>
      <c r="BM162" s="385"/>
      <c r="BN162" s="384"/>
      <c r="BO162" s="383" t="s">
        <v>86</v>
      </c>
      <c r="BP162" s="390">
        <v>10</v>
      </c>
      <c r="BQ162" s="384"/>
      <c r="BR162" s="385"/>
      <c r="BS162" s="384"/>
      <c r="BT162" s="383" t="s">
        <v>86</v>
      </c>
      <c r="BU162" s="390">
        <v>10</v>
      </c>
      <c r="BV162" s="384"/>
      <c r="BW162" s="385"/>
      <c r="BX162" s="384"/>
      <c r="BY162" s="383" t="s">
        <v>86</v>
      </c>
      <c r="BZ162" s="390">
        <v>10</v>
      </c>
      <c r="CA162" s="384"/>
      <c r="CB162" s="385"/>
      <c r="CC162" s="384"/>
      <c r="CD162" s="383" t="s">
        <v>86</v>
      </c>
      <c r="CE162" s="390">
        <v>10</v>
      </c>
      <c r="CF162" s="384"/>
      <c r="CG162" s="385"/>
      <c r="CI162" s="383" t="s">
        <v>86</v>
      </c>
      <c r="CJ162" s="390">
        <v>10</v>
      </c>
      <c r="CK162" s="384"/>
      <c r="CL162" s="385"/>
      <c r="CN162" s="383" t="s">
        <v>86</v>
      </c>
      <c r="CO162" s="390">
        <v>10</v>
      </c>
      <c r="CP162" s="384"/>
      <c r="CQ162" s="385"/>
      <c r="CT162" s="384"/>
    </row>
    <row r="163" spans="1:98" ht="14.5" thickBot="1" x14ac:dyDescent="0.35">
      <c r="A163" s="380"/>
      <c r="B163" s="767"/>
      <c r="C163" s="768"/>
      <c r="D163" s="768"/>
      <c r="E163" s="768"/>
      <c r="F163" s="439"/>
      <c r="L163" s="440"/>
      <c r="M163" s="441"/>
      <c r="N163" s="441"/>
      <c r="O163" s="442"/>
      <c r="Q163" s="440"/>
      <c r="R163" s="441"/>
      <c r="S163" s="441"/>
      <c r="T163" s="442"/>
      <c r="U163" s="932"/>
      <c r="V163" s="440"/>
      <c r="W163" s="1288"/>
      <c r="X163" s="441"/>
      <c r="Y163" s="442"/>
      <c r="Z163" s="932"/>
      <c r="AA163" s="440"/>
      <c r="AB163" s="1288"/>
      <c r="AC163" s="441"/>
      <c r="AD163" s="442"/>
      <c r="AE163" s="384"/>
      <c r="AF163" s="440"/>
      <c r="AG163" s="441"/>
      <c r="AH163" s="441"/>
      <c r="AI163" s="442"/>
      <c r="AJ163" s="384"/>
      <c r="AK163" s="440"/>
      <c r="AL163" s="441"/>
      <c r="AM163" s="441"/>
      <c r="AN163" s="442"/>
      <c r="AO163" s="384"/>
      <c r="AP163" s="440"/>
      <c r="AQ163" s="441"/>
      <c r="AR163" s="441"/>
      <c r="AS163" s="442"/>
      <c r="AT163" s="384"/>
      <c r="AU163" s="440"/>
      <c r="AV163" s="441"/>
      <c r="AW163" s="441"/>
      <c r="AX163" s="442"/>
      <c r="AY163" s="384"/>
      <c r="AZ163" s="440"/>
      <c r="BA163" s="441"/>
      <c r="BB163" s="441"/>
      <c r="BC163" s="442"/>
      <c r="BD163" s="384"/>
      <c r="BE163" s="440"/>
      <c r="BF163" s="441"/>
      <c r="BG163" s="441"/>
      <c r="BH163" s="442"/>
      <c r="BI163" s="384"/>
      <c r="BJ163" s="440"/>
      <c r="BK163" s="441"/>
      <c r="BL163" s="441"/>
      <c r="BM163" s="442"/>
      <c r="BN163" s="384"/>
      <c r="BO163" s="440"/>
      <c r="BP163" s="441"/>
      <c r="BQ163" s="441"/>
      <c r="BR163" s="442"/>
      <c r="BS163" s="384"/>
      <c r="BT163" s="440"/>
      <c r="BU163" s="441"/>
      <c r="BV163" s="441"/>
      <c r="BW163" s="442"/>
      <c r="BX163" s="384"/>
      <c r="BY163" s="440"/>
      <c r="BZ163" s="441"/>
      <c r="CA163" s="441"/>
      <c r="CB163" s="442"/>
      <c r="CC163" s="384"/>
      <c r="CD163" s="440"/>
      <c r="CE163" s="441"/>
      <c r="CF163" s="441"/>
      <c r="CG163" s="442"/>
      <c r="CI163" s="440"/>
      <c r="CJ163" s="441"/>
      <c r="CK163" s="441"/>
      <c r="CL163" s="442"/>
      <c r="CN163" s="440"/>
      <c r="CO163" s="441"/>
      <c r="CP163" s="441"/>
      <c r="CQ163" s="442"/>
      <c r="CT163" s="384"/>
    </row>
    <row r="164" spans="1:98" customFormat="1" ht="12.5" x14ac:dyDescent="0.25"/>
    <row r="165" spans="1:98" customFormat="1" ht="12.5" x14ac:dyDescent="0.25"/>
    <row r="166" spans="1:98" customFormat="1" ht="12.5" x14ac:dyDescent="0.25"/>
    <row r="167" spans="1:98" customFormat="1" ht="12.5" x14ac:dyDescent="0.25"/>
    <row r="168" spans="1:98" customFormat="1" ht="12.5" x14ac:dyDescent="0.25"/>
    <row r="169" spans="1:98" customFormat="1" ht="12.5" x14ac:dyDescent="0.25"/>
    <row r="170" spans="1:98" customFormat="1" ht="12.5" x14ac:dyDescent="0.25"/>
    <row r="171" spans="1:98" customFormat="1" ht="12.5" x14ac:dyDescent="0.25"/>
    <row r="172" spans="1:98" customFormat="1" ht="12.5" x14ac:dyDescent="0.25"/>
    <row r="173" spans="1:98" customFormat="1" ht="12.5" x14ac:dyDescent="0.25"/>
    <row r="174" spans="1:98" customFormat="1" ht="12.5" x14ac:dyDescent="0.25"/>
    <row r="175" spans="1:98" customFormat="1" ht="12.5" x14ac:dyDescent="0.25"/>
    <row r="176" spans="1:98" customFormat="1" ht="12.5" x14ac:dyDescent="0.25"/>
    <row r="177" customFormat="1" ht="12.5" x14ac:dyDescent="0.25"/>
    <row r="178" customFormat="1" ht="12.5" x14ac:dyDescent="0.25"/>
    <row r="179" customFormat="1" ht="12.5" x14ac:dyDescent="0.25"/>
    <row r="180" customFormat="1" ht="12.5" x14ac:dyDescent="0.25"/>
    <row r="181" customFormat="1" ht="13.4" customHeight="1" x14ac:dyDescent="0.25"/>
    <row r="182" customFormat="1" ht="12.5" x14ac:dyDescent="0.25"/>
    <row r="183" customFormat="1" ht="12.5" x14ac:dyDescent="0.25"/>
    <row r="184" customFormat="1" ht="12.5" x14ac:dyDescent="0.25"/>
    <row r="185" customFormat="1" ht="12.5" x14ac:dyDescent="0.25"/>
    <row r="186" customFormat="1" ht="12.5" x14ac:dyDescent="0.25"/>
    <row r="187" customFormat="1" ht="12.5" x14ac:dyDescent="0.25"/>
    <row r="188" customFormat="1" ht="12.5" x14ac:dyDescent="0.25"/>
    <row r="189" customFormat="1" ht="12.5" x14ac:dyDescent="0.25"/>
    <row r="190" customFormat="1" ht="12.5" x14ac:dyDescent="0.25"/>
    <row r="191" customFormat="1" ht="12.5" x14ac:dyDescent="0.25"/>
    <row r="192" customFormat="1" ht="12.5" x14ac:dyDescent="0.25"/>
    <row r="193" customFormat="1" ht="12.5" x14ac:dyDescent="0.25"/>
    <row r="194" customFormat="1" ht="12.5" x14ac:dyDescent="0.25"/>
    <row r="195" customFormat="1" ht="12.5" x14ac:dyDescent="0.25"/>
    <row r="196" customFormat="1" ht="12.5" x14ac:dyDescent="0.25"/>
    <row r="197" customFormat="1" ht="12.5" x14ac:dyDescent="0.25"/>
    <row r="198" customFormat="1" ht="12.5" x14ac:dyDescent="0.25"/>
    <row r="199" customFormat="1" ht="12.5" x14ac:dyDescent="0.25"/>
    <row r="200" customFormat="1" ht="12.5" x14ac:dyDescent="0.25"/>
    <row r="201" customFormat="1" ht="12.5" x14ac:dyDescent="0.25"/>
    <row r="202" customFormat="1" ht="12.5" x14ac:dyDescent="0.25"/>
    <row r="203" customFormat="1" ht="12.5" x14ac:dyDescent="0.25"/>
    <row r="204" customFormat="1" ht="12.5" x14ac:dyDescent="0.25"/>
    <row r="205" customFormat="1" ht="12.5" x14ac:dyDescent="0.25"/>
    <row r="206" customFormat="1" ht="12.5" x14ac:dyDescent="0.25"/>
    <row r="207" customFormat="1" ht="12.5" x14ac:dyDescent="0.25"/>
    <row r="208" customFormat="1" ht="12.5" x14ac:dyDescent="0.25"/>
    <row r="209" customFormat="1" ht="12.5" x14ac:dyDescent="0.25"/>
    <row r="210" customFormat="1" ht="12.5" x14ac:dyDescent="0.25"/>
    <row r="211" customFormat="1" ht="12.5" x14ac:dyDescent="0.25"/>
    <row r="212" customFormat="1" ht="12.5" x14ac:dyDescent="0.25"/>
    <row r="213" customFormat="1" ht="12.5" x14ac:dyDescent="0.25"/>
    <row r="214" customFormat="1" ht="12.5" x14ac:dyDescent="0.25"/>
    <row r="215" customFormat="1" ht="12.5" x14ac:dyDescent="0.25"/>
    <row r="216" customFormat="1" ht="12.5" x14ac:dyDescent="0.25"/>
    <row r="217" customFormat="1" ht="12.5" x14ac:dyDescent="0.25"/>
    <row r="218" customFormat="1" ht="12.5" x14ac:dyDescent="0.25"/>
    <row r="219" customFormat="1" ht="12.5" x14ac:dyDescent="0.25"/>
    <row r="220" customFormat="1" ht="12.5" x14ac:dyDescent="0.25"/>
    <row r="221" customFormat="1" ht="12.5" x14ac:dyDescent="0.25"/>
    <row r="222" customFormat="1" ht="12.5" x14ac:dyDescent="0.25"/>
    <row r="223" customFormat="1" ht="12.5" x14ac:dyDescent="0.25"/>
    <row r="224" customFormat="1" ht="12.5" x14ac:dyDescent="0.25"/>
    <row r="225" customFormat="1" ht="12.5" x14ac:dyDescent="0.25"/>
    <row r="226" customFormat="1" ht="12.5" x14ac:dyDescent="0.25"/>
    <row r="227" customFormat="1" ht="12.5" x14ac:dyDescent="0.25"/>
    <row r="228" customFormat="1" ht="12.5" x14ac:dyDescent="0.25"/>
    <row r="229" customFormat="1" ht="12.5" x14ac:dyDescent="0.25"/>
    <row r="230" customFormat="1" ht="12.5" x14ac:dyDescent="0.25"/>
    <row r="231" customFormat="1" ht="12.5" x14ac:dyDescent="0.25"/>
    <row r="232" customFormat="1" ht="12.5" x14ac:dyDescent="0.25"/>
    <row r="233" customFormat="1" ht="12.5" x14ac:dyDescent="0.25"/>
    <row r="234" customFormat="1" ht="12.5" x14ac:dyDescent="0.25"/>
    <row r="235" customFormat="1" ht="12.5" x14ac:dyDescent="0.25"/>
    <row r="236" customFormat="1" ht="12.5" x14ac:dyDescent="0.25"/>
    <row r="237" customFormat="1" ht="12.5" x14ac:dyDescent="0.25"/>
    <row r="238" customFormat="1" ht="12.5" x14ac:dyDescent="0.25"/>
    <row r="239" customFormat="1" ht="12.5" x14ac:dyDescent="0.25"/>
    <row r="240" customFormat="1" ht="12.5" x14ac:dyDescent="0.25"/>
    <row r="241" customFormat="1" ht="12.5" x14ac:dyDescent="0.25"/>
    <row r="242" customFormat="1" ht="12.5" x14ac:dyDescent="0.25"/>
    <row r="243" customFormat="1" ht="12.5" x14ac:dyDescent="0.25"/>
    <row r="244" customFormat="1" ht="12.5" x14ac:dyDescent="0.25"/>
    <row r="245" customFormat="1" ht="12.5" x14ac:dyDescent="0.25"/>
    <row r="246" customFormat="1" ht="12.5" x14ac:dyDescent="0.25"/>
    <row r="247" customFormat="1" ht="12.5" x14ac:dyDescent="0.25"/>
    <row r="248" customFormat="1" ht="12.5" x14ac:dyDescent="0.25"/>
    <row r="249" customFormat="1" ht="12.5" x14ac:dyDescent="0.25"/>
    <row r="250" customFormat="1" ht="12.5" x14ac:dyDescent="0.25"/>
    <row r="251" customFormat="1" ht="12.5" x14ac:dyDescent="0.25"/>
    <row r="252" customFormat="1" ht="12.5" x14ac:dyDescent="0.25"/>
    <row r="253" customFormat="1" ht="12.5" x14ac:dyDescent="0.25"/>
    <row r="254" customFormat="1" ht="12.5" x14ac:dyDescent="0.25"/>
    <row r="255" customFormat="1" ht="12.5" x14ac:dyDescent="0.25"/>
    <row r="256" customFormat="1" ht="12.5" x14ac:dyDescent="0.25"/>
    <row r="257" customFormat="1" ht="12.5" x14ac:dyDescent="0.25"/>
  </sheetData>
  <mergeCells count="21">
    <mergeCell ref="G1:H1"/>
    <mergeCell ref="CO2:CQ2"/>
    <mergeCell ref="BV4:BW4"/>
    <mergeCell ref="CP4:CQ4"/>
    <mergeCell ref="AR4:AS4"/>
    <mergeCell ref="X4:Y4"/>
    <mergeCell ref="BL4:BM4"/>
    <mergeCell ref="CO3:CQ3"/>
    <mergeCell ref="BQ4:BR4"/>
    <mergeCell ref="CA4:CB4"/>
    <mergeCell ref="CK4:CL4"/>
    <mergeCell ref="CF4:CG4"/>
    <mergeCell ref="C3:F3"/>
    <mergeCell ref="AC4:AD4"/>
    <mergeCell ref="S4:T4"/>
    <mergeCell ref="N4:O4"/>
    <mergeCell ref="BG4:BH4"/>
    <mergeCell ref="AH4:AI4"/>
    <mergeCell ref="AM4:AN4"/>
    <mergeCell ref="AW4:AX4"/>
    <mergeCell ref="BB4:BC4"/>
  </mergeCells>
  <conditionalFormatting sqref="AG26:AG27 M26:M27 BK26:BK27 BU26:BU27 AQ26:AQ27 M14:M16 BK15:BK21 BU15:BU21 CO14:CO16 W10:W16 CE32:CE35 AG29 M29:M35 BK29 BU29 CO32:CO34 AQ29 W29:W39 AB29:AB36 CE37:CE52 AG44:AG50 W44:W55 AB44:AB55 M44:M55 AB18:AB21 W18:W21 M18:M21 AB8:AB16 AG8:AG10 M8:M10 BK8:BK10 BU8:BU10 CO9:CO10 AQ8:AQ10 R8:R10 AL8:AL10 AV8:AV10 BA8:BA10 CE54:CE58 CO20:CO21">
    <cfRule type="expression" dxfId="617" priority="1087">
      <formula>_xlfn.ISFORMULA(M8)</formula>
    </cfRule>
  </conditionalFormatting>
  <conditionalFormatting sqref="D34:D38 D61:D64 D71:D72 D11:D32 D40:D59 D91:D132 D145:D162 D7:D9 D134:D135 D137:D143 D66:D69">
    <cfRule type="expression" dxfId="616" priority="1085">
      <formula>_xlfn.ISFORMULA(INDIRECT(OFFSET(F7, 0, $F$2)))</formula>
    </cfRule>
  </conditionalFormatting>
  <conditionalFormatting sqref="E61:E64 E66:E69 E71:E72 E76:E78 E89 E21:E22 E36:E51 E145:E162 E8:E19 E137:E143 E24:E32 E53:E59 E91:E132">
    <cfRule type="expression" dxfId="615" priority="1046">
      <formula>NOT(C8="")</formula>
    </cfRule>
  </conditionalFormatting>
  <conditionalFormatting sqref="C61:C64 C66:C69 C71:C72 C76:C78 C89 C142 C145:C162 C7:C32 C34:C59">
    <cfRule type="expression" dxfId="614" priority="1045">
      <formula>NOT(C7="")</formula>
    </cfRule>
  </conditionalFormatting>
  <conditionalFormatting sqref="CE60:CE65 CE69:CE72">
    <cfRule type="expression" dxfId="613" priority="962">
      <formula>_xlfn.ISFORMULA(CE60)</formula>
    </cfRule>
  </conditionalFormatting>
  <conditionalFormatting sqref="AG60:AG66 AG45:AG48 AG89 AG69:AG72">
    <cfRule type="expression" dxfId="612" priority="961">
      <formula>_xlfn.ISFORMULA(AG45)</formula>
    </cfRule>
  </conditionalFormatting>
  <conditionalFormatting sqref="M60:M66 M37:M43 M56:M58 M45:M48 M69:M72">
    <cfRule type="expression" dxfId="611" priority="960">
      <formula>_xlfn.ISFORMULA(M37)</formula>
    </cfRule>
  </conditionalFormatting>
  <conditionalFormatting sqref="BK69:BK72">
    <cfRule type="expression" dxfId="610" priority="959">
      <formula>_xlfn.ISFORMULA(BK69)</formula>
    </cfRule>
  </conditionalFormatting>
  <conditionalFormatting sqref="BU60:BU65">
    <cfRule type="expression" dxfId="609" priority="958">
      <formula>_xlfn.ISFORMULA(BU60)</formula>
    </cfRule>
  </conditionalFormatting>
  <conditionalFormatting sqref="CO69:CO72 CO29:CO30 CO26:CO27 CO89">
    <cfRule type="expression" dxfId="608" priority="957">
      <formula>_xlfn.ISFORMULA(CO26)</formula>
    </cfRule>
  </conditionalFormatting>
  <conditionalFormatting sqref="AQ64:AQ66 AQ69:AQ72">
    <cfRule type="expression" dxfId="607" priority="956">
      <formula>_xlfn.ISFORMULA(AQ64)</formula>
    </cfRule>
  </conditionalFormatting>
  <conditionalFormatting sqref="W56:W58 W45 W43 W60:W62 W26:W27 W64:W66 W69:W83">
    <cfRule type="expression" dxfId="606" priority="955">
      <formula>_xlfn.ISFORMULA(W26)</formula>
    </cfRule>
  </conditionalFormatting>
  <conditionalFormatting sqref="CE36">
    <cfRule type="expression" dxfId="605" priority="952">
      <formula>_xlfn.ISFORMULA(CE36)</formula>
    </cfRule>
  </conditionalFormatting>
  <conditionalFormatting sqref="M36">
    <cfRule type="expression" dxfId="604" priority="950">
      <formula>_xlfn.ISFORMULA(M36)</formula>
    </cfRule>
  </conditionalFormatting>
  <conditionalFormatting sqref="W53">
    <cfRule type="expression" dxfId="603" priority="923">
      <formula>_xlfn.ISFORMULA(W53)</formula>
    </cfRule>
  </conditionalFormatting>
  <conditionalFormatting sqref="BK26:BK28">
    <cfRule type="expression" dxfId="602" priority="918">
      <formula>_xlfn.ISFORMULA(BK26)</formula>
    </cfRule>
  </conditionalFormatting>
  <conditionalFormatting sqref="W40:W42">
    <cfRule type="expression" dxfId="601" priority="900">
      <formula>_xlfn.ISFORMULA(W40)</formula>
    </cfRule>
  </conditionalFormatting>
  <conditionalFormatting sqref="W24">
    <cfRule type="expression" dxfId="600" priority="937">
      <formula>_xlfn.ISFORMULA(W24)</formula>
    </cfRule>
  </conditionalFormatting>
  <conditionalFormatting sqref="M11:M13">
    <cfRule type="expression" dxfId="599" priority="934">
      <formula>_xlfn.ISFORMULA(M11)</formula>
    </cfRule>
  </conditionalFormatting>
  <conditionalFormatting sqref="M53">
    <cfRule type="expression" dxfId="598" priority="928">
      <formula>_xlfn.ISFORMULA(M53)</formula>
    </cfRule>
  </conditionalFormatting>
  <conditionalFormatting sqref="W22:W28">
    <cfRule type="expression" dxfId="597" priority="914">
      <formula>_xlfn.ISFORMULA(W22)</formula>
    </cfRule>
  </conditionalFormatting>
  <conditionalFormatting sqref="W89">
    <cfRule type="expression" dxfId="596" priority="855">
      <formula>_xlfn.ISFORMULA(W89)</formula>
    </cfRule>
  </conditionalFormatting>
  <conditionalFormatting sqref="AG26:AG28">
    <cfRule type="expression" dxfId="595" priority="920">
      <formula>_xlfn.ISFORMULA(AG26)</formula>
    </cfRule>
  </conditionalFormatting>
  <conditionalFormatting sqref="M22:M23 M25:M28">
    <cfRule type="expression" dxfId="594" priority="919">
      <formula>_xlfn.ISFORMULA(M22)</formula>
    </cfRule>
  </conditionalFormatting>
  <conditionalFormatting sqref="BU26:BU28">
    <cfRule type="expression" dxfId="593" priority="917">
      <formula>_xlfn.ISFORMULA(BU26)</formula>
    </cfRule>
  </conditionalFormatting>
  <conditionalFormatting sqref="AQ26:AQ28">
    <cfRule type="expression" dxfId="592" priority="915">
      <formula>_xlfn.ISFORMULA(AQ26)</formula>
    </cfRule>
  </conditionalFormatting>
  <conditionalFormatting sqref="CO26:CO28">
    <cfRule type="expression" dxfId="591" priority="898">
      <formula>_xlfn.ISFORMULA(CO26)</formula>
    </cfRule>
  </conditionalFormatting>
  <conditionalFormatting sqref="CO151">
    <cfRule type="expression" dxfId="590" priority="889">
      <formula>_xlfn.ISFORMULA(CO151)</formula>
    </cfRule>
  </conditionalFormatting>
  <conditionalFormatting sqref="D39">
    <cfRule type="expression" dxfId="589" priority="884">
      <formula>NOT(D39="")</formula>
    </cfRule>
  </conditionalFormatting>
  <conditionalFormatting sqref="D10">
    <cfRule type="expression" dxfId="588" priority="883">
      <formula>NOT(D10="")</formula>
    </cfRule>
  </conditionalFormatting>
  <conditionalFormatting sqref="E73:E75">
    <cfRule type="expression" dxfId="587" priority="870">
      <formula>NOT(C73="")</formula>
    </cfRule>
  </conditionalFormatting>
  <conditionalFormatting sqref="C73:C75">
    <cfRule type="expression" dxfId="586" priority="869">
      <formula>NOT(C73="")</formula>
    </cfRule>
  </conditionalFormatting>
  <conditionalFormatting sqref="E82:E83">
    <cfRule type="expression" dxfId="585" priority="868">
      <formula>NOT(C82="")</formula>
    </cfRule>
  </conditionalFormatting>
  <conditionalFormatting sqref="C82:C83">
    <cfRule type="expression" dxfId="584" priority="867">
      <formula>NOT(C82="")</formula>
    </cfRule>
  </conditionalFormatting>
  <conditionalFormatting sqref="C79:C81">
    <cfRule type="expression" dxfId="583" priority="864">
      <formula>NOT(C79="")</formula>
    </cfRule>
  </conditionalFormatting>
  <conditionalFormatting sqref="E84">
    <cfRule type="expression" dxfId="582" priority="862">
      <formula>NOT(C84="")</formula>
    </cfRule>
  </conditionalFormatting>
  <conditionalFormatting sqref="C84">
    <cfRule type="expression" dxfId="581" priority="861">
      <formula>NOT(C84="")</formula>
    </cfRule>
  </conditionalFormatting>
  <conditionalFormatting sqref="E88">
    <cfRule type="expression" dxfId="580" priority="860">
      <formula>NOT(C88="")</formula>
    </cfRule>
  </conditionalFormatting>
  <conditionalFormatting sqref="C88">
    <cfRule type="expression" dxfId="579" priority="859">
      <formula>NOT(C88="")</formula>
    </cfRule>
  </conditionalFormatting>
  <conditionalFormatting sqref="D89">
    <cfRule type="expression" dxfId="578" priority="858">
      <formula>_xlfn.ISFORMULA(INDIRECT(OFFSET(F89, 0, $F$2)))</formula>
    </cfRule>
  </conditionalFormatting>
  <conditionalFormatting sqref="E85:E87">
    <cfRule type="expression" dxfId="577" priority="857">
      <formula>NOT(C85="")</formula>
    </cfRule>
  </conditionalFormatting>
  <conditionalFormatting sqref="C85:C87">
    <cfRule type="expression" dxfId="576" priority="856">
      <formula>NOT(C85="")</formula>
    </cfRule>
  </conditionalFormatting>
  <conditionalFormatting sqref="W84:W88">
    <cfRule type="expression" dxfId="575" priority="854">
      <formula>_xlfn.ISFORMULA(W84)</formula>
    </cfRule>
  </conditionalFormatting>
  <conditionalFormatting sqref="E79:E81">
    <cfRule type="expression" dxfId="574" priority="853">
      <formula>NOT(C79="")</formula>
    </cfRule>
  </conditionalFormatting>
  <conditionalFormatting sqref="AG73:AG83">
    <cfRule type="expression" dxfId="573" priority="844">
      <formula>_xlfn.ISFORMULA(AG73)</formula>
    </cfRule>
  </conditionalFormatting>
  <conditionalFormatting sqref="AG84:AG88">
    <cfRule type="expression" dxfId="572" priority="843">
      <formula>_xlfn.ISFORMULA(AG84)</formula>
    </cfRule>
  </conditionalFormatting>
  <conditionalFormatting sqref="D73:D88">
    <cfRule type="expression" dxfId="571" priority="841">
      <formula>_xlfn.ISFORMULA(INDIRECT(OFFSET(F73, 0, $F$2)))</formula>
    </cfRule>
  </conditionalFormatting>
  <conditionalFormatting sqref="AB22:AB28">
    <cfRule type="expression" dxfId="570" priority="699">
      <formula>_xlfn.ISFORMULA(AB22)</formula>
    </cfRule>
  </conditionalFormatting>
  <conditionalFormatting sqref="AB40:AB42">
    <cfRule type="expression" dxfId="569" priority="697">
      <formula>_xlfn.ISFORMULA(AB40)</formula>
    </cfRule>
  </conditionalFormatting>
  <conditionalFormatting sqref="AB89">
    <cfRule type="expression" dxfId="568" priority="696">
      <formula>_xlfn.ISFORMULA(AB89)</formula>
    </cfRule>
  </conditionalFormatting>
  <conditionalFormatting sqref="AB84:AB88">
    <cfRule type="expression" dxfId="567" priority="695">
      <formula>_xlfn.ISFORMULA(AB84)</formula>
    </cfRule>
  </conditionalFormatting>
  <conditionalFormatting sqref="AB18:AB19">
    <cfRule type="expression" dxfId="566" priority="694">
      <formula>_xlfn.ISFORMULA(AB18)</formula>
    </cfRule>
  </conditionalFormatting>
  <conditionalFormatting sqref="C91:C132 C134:C135 C137:C141">
    <cfRule type="expression" dxfId="565" priority="820">
      <formula>NOT(C91="")</formula>
    </cfRule>
  </conditionalFormatting>
  <conditionalFormatting sqref="AB46:AB48">
    <cfRule type="expression" dxfId="564" priority="693">
      <formula>_xlfn.ISFORMULA(AB46)</formula>
    </cfRule>
  </conditionalFormatting>
  <conditionalFormatting sqref="AB112">
    <cfRule type="expression" dxfId="563" priority="692">
      <formula>_xlfn.ISFORMULA(AB112)</formula>
    </cfRule>
  </conditionalFormatting>
  <conditionalFormatting sqref="AB53">
    <cfRule type="expression" dxfId="562" priority="700">
      <formula>_xlfn.ISFORMULA(AB53)</formula>
    </cfRule>
  </conditionalFormatting>
  <conditionalFormatting sqref="W18:W19">
    <cfRule type="expression" dxfId="561" priority="714">
      <formula>_xlfn.ISFORMULA(W18)</formula>
    </cfRule>
  </conditionalFormatting>
  <conditionalFormatting sqref="W46:W48">
    <cfRule type="expression" dxfId="560" priority="713">
      <formula>_xlfn.ISFORMULA(W46)</formula>
    </cfRule>
  </conditionalFormatting>
  <conditionalFormatting sqref="W112">
    <cfRule type="expression" dxfId="559" priority="712">
      <formula>_xlfn.ISFORMULA(W112)</formula>
    </cfRule>
  </conditionalFormatting>
  <conditionalFormatting sqref="W108">
    <cfRule type="expression" dxfId="558" priority="711">
      <formula>_xlfn.ISFORMULA(W108)</formula>
    </cfRule>
  </conditionalFormatting>
  <conditionalFormatting sqref="W107">
    <cfRule type="expression" dxfId="557" priority="710">
      <formula>_xlfn.ISFORMULA(W107)</formula>
    </cfRule>
  </conditionalFormatting>
  <conditionalFormatting sqref="W121">
    <cfRule type="expression" dxfId="556" priority="709">
      <formula>_xlfn.ISFORMULA(W121)</formula>
    </cfRule>
  </conditionalFormatting>
  <conditionalFormatting sqref="W120">
    <cfRule type="expression" dxfId="555" priority="708">
      <formula>_xlfn.ISFORMULA(W120)</formula>
    </cfRule>
  </conditionalFormatting>
  <conditionalFormatting sqref="W125">
    <cfRule type="expression" dxfId="554" priority="707">
      <formula>_xlfn.ISFORMULA(W125)</formula>
    </cfRule>
  </conditionalFormatting>
  <conditionalFormatting sqref="W137">
    <cfRule type="expression" dxfId="553" priority="706">
      <formula>_xlfn.ISFORMULA(W137)</formula>
    </cfRule>
  </conditionalFormatting>
  <conditionalFormatting sqref="W140">
    <cfRule type="expression" dxfId="552" priority="704">
      <formula>_xlfn.ISFORMULA(W140)</formula>
    </cfRule>
  </conditionalFormatting>
  <conditionalFormatting sqref="AB125">
    <cfRule type="expression" dxfId="551" priority="687">
      <formula>_xlfn.ISFORMULA(AB125)</formula>
    </cfRule>
  </conditionalFormatting>
  <conditionalFormatting sqref="AB56:AB58 AB45 AB43 AB60:AB62 AB26:AB27 AB39 AB64:AB66 AB69:AB83">
    <cfRule type="expression" dxfId="550" priority="702">
      <formula>_xlfn.ISFORMULA(AB26)</formula>
    </cfRule>
  </conditionalFormatting>
  <conditionalFormatting sqref="AB24">
    <cfRule type="expression" dxfId="549" priority="701">
      <formula>_xlfn.ISFORMULA(AB24)</formula>
    </cfRule>
  </conditionalFormatting>
  <conditionalFormatting sqref="AB108">
    <cfRule type="expression" dxfId="548" priority="691">
      <formula>_xlfn.ISFORMULA(AB108)</formula>
    </cfRule>
  </conditionalFormatting>
  <conditionalFormatting sqref="AB107">
    <cfRule type="expression" dxfId="547" priority="690">
      <formula>_xlfn.ISFORMULA(AB107)</formula>
    </cfRule>
  </conditionalFormatting>
  <conditionalFormatting sqref="AB121">
    <cfRule type="expression" dxfId="546" priority="689">
      <formula>_xlfn.ISFORMULA(AB121)</formula>
    </cfRule>
  </conditionalFormatting>
  <conditionalFormatting sqref="AB120">
    <cfRule type="expression" dxfId="545" priority="688">
      <formula>_xlfn.ISFORMULA(AB120)</formula>
    </cfRule>
  </conditionalFormatting>
  <conditionalFormatting sqref="AB137">
    <cfRule type="expression" dxfId="544" priority="686">
      <formula>_xlfn.ISFORMULA(AB137)</formula>
    </cfRule>
  </conditionalFormatting>
  <conditionalFormatting sqref="AB140">
    <cfRule type="expression" dxfId="543" priority="684">
      <formula>_xlfn.ISFORMULA(AB140)</formula>
    </cfRule>
  </conditionalFormatting>
  <conditionalFormatting sqref="AB130">
    <cfRule type="expression" dxfId="542" priority="649">
      <formula>_xlfn.ISFORMULA(AB130)</formula>
    </cfRule>
  </conditionalFormatting>
  <conditionalFormatting sqref="W130">
    <cfRule type="expression" dxfId="541" priority="650">
      <formula>_xlfn.ISFORMULA(W130)</formula>
    </cfRule>
  </conditionalFormatting>
  <conditionalFormatting sqref="R53">
    <cfRule type="expression" dxfId="540" priority="633">
      <formula>_xlfn.ISFORMULA(R53)</formula>
    </cfRule>
  </conditionalFormatting>
  <conditionalFormatting sqref="M125">
    <cfRule type="expression" dxfId="539" priority="648">
      <formula>_xlfn.ISFORMULA(M125)</formula>
    </cfRule>
  </conditionalFormatting>
  <conditionalFormatting sqref="M121">
    <cfRule type="expression" dxfId="538" priority="646">
      <formula>_xlfn.ISFORMULA(M121)</formula>
    </cfRule>
  </conditionalFormatting>
  <conditionalFormatting sqref="M120">
    <cfRule type="expression" dxfId="537" priority="645">
      <formula>_xlfn.ISFORMULA(M120)</formula>
    </cfRule>
  </conditionalFormatting>
  <conditionalFormatting sqref="M140">
    <cfRule type="expression" dxfId="536" priority="644">
      <formula>_xlfn.ISFORMULA(M140)</formula>
    </cfRule>
  </conditionalFormatting>
  <conditionalFormatting sqref="M139">
    <cfRule type="expression" dxfId="535" priority="643">
      <formula>_xlfn.ISFORMULA(M139)</formula>
    </cfRule>
  </conditionalFormatting>
  <conditionalFormatting sqref="M135:M136">
    <cfRule type="expression" dxfId="534" priority="642">
      <formula>_xlfn.ISFORMULA(M135)</formula>
    </cfRule>
  </conditionalFormatting>
  <conditionalFormatting sqref="M134">
    <cfRule type="expression" dxfId="533" priority="641">
      <formula>_xlfn.ISFORMULA(M134)</formula>
    </cfRule>
  </conditionalFormatting>
  <conditionalFormatting sqref="M24">
    <cfRule type="expression" dxfId="532" priority="640">
      <formula>_xlfn.ISFORMULA(M24)</formula>
    </cfRule>
  </conditionalFormatting>
  <conditionalFormatting sqref="M24">
    <cfRule type="expression" dxfId="531" priority="639">
      <formula>_xlfn.ISFORMULA(M24)</formula>
    </cfRule>
  </conditionalFormatting>
  <conditionalFormatting sqref="M53">
    <cfRule type="expression" dxfId="530" priority="638">
      <formula>_xlfn.ISFORMULA(M53)</formula>
    </cfRule>
  </conditionalFormatting>
  <conditionalFormatting sqref="R26:R27 R14:R16 R29:R35 R44:R55 R18:R21">
    <cfRule type="expression" dxfId="529" priority="637">
      <formula>_xlfn.ISFORMULA(R14)</formula>
    </cfRule>
  </conditionalFormatting>
  <conditionalFormatting sqref="R60:R66 R37:R43 R56:R58 R45:R48 R69:R72">
    <cfRule type="expression" dxfId="528" priority="636">
      <formula>_xlfn.ISFORMULA(R37)</formula>
    </cfRule>
  </conditionalFormatting>
  <conditionalFormatting sqref="R36">
    <cfRule type="expression" dxfId="527" priority="635">
      <formula>_xlfn.ISFORMULA(R36)</formula>
    </cfRule>
  </conditionalFormatting>
  <conditionalFormatting sqref="R11:R13">
    <cfRule type="expression" dxfId="526" priority="634">
      <formula>_xlfn.ISFORMULA(R11)</formula>
    </cfRule>
  </conditionalFormatting>
  <conditionalFormatting sqref="W8:W9">
    <cfRule type="expression" dxfId="525" priority="660">
      <formula>_xlfn.ISFORMULA(W8)</formula>
    </cfRule>
  </conditionalFormatting>
  <conditionalFormatting sqref="R22:R23 R25:R28">
    <cfRule type="expression" dxfId="524" priority="632">
      <formula>_xlfn.ISFORMULA(R22)</formula>
    </cfRule>
  </conditionalFormatting>
  <conditionalFormatting sqref="AB37:AB38">
    <cfRule type="expression" dxfId="523" priority="661">
      <formula>_xlfn.ISFORMULA(AB37)</formula>
    </cfRule>
  </conditionalFormatting>
  <conditionalFormatting sqref="M73:M83">
    <cfRule type="expression" dxfId="522" priority="659">
      <formula>_xlfn.ISFORMULA(M73)</formula>
    </cfRule>
  </conditionalFormatting>
  <conditionalFormatting sqref="M89">
    <cfRule type="expression" dxfId="521" priority="658">
      <formula>_xlfn.ISFORMULA(M89)</formula>
    </cfRule>
  </conditionalFormatting>
  <conditionalFormatting sqref="M84:M88">
    <cfRule type="expression" dxfId="520" priority="657">
      <formula>_xlfn.ISFORMULA(M84)</formula>
    </cfRule>
  </conditionalFormatting>
  <conditionalFormatting sqref="M108">
    <cfRule type="expression" dxfId="519" priority="655">
      <formula>_xlfn.ISFORMULA(M108)</formula>
    </cfRule>
  </conditionalFormatting>
  <conditionalFormatting sqref="M107">
    <cfRule type="expression" dxfId="518" priority="654">
      <formula>_xlfn.ISFORMULA(M107)</formula>
    </cfRule>
  </conditionalFormatting>
  <conditionalFormatting sqref="M112">
    <cfRule type="expression" dxfId="517" priority="652">
      <formula>_xlfn.ISFORMULA(M112)</formula>
    </cfRule>
  </conditionalFormatting>
  <conditionalFormatting sqref="R89">
    <cfRule type="expression" dxfId="516" priority="630">
      <formula>_xlfn.ISFORMULA(R89)</formula>
    </cfRule>
  </conditionalFormatting>
  <conditionalFormatting sqref="R73:R83">
    <cfRule type="expression" dxfId="515" priority="631">
      <formula>_xlfn.ISFORMULA(R73)</formula>
    </cfRule>
  </conditionalFormatting>
  <conditionalFormatting sqref="R84:R88">
    <cfRule type="expression" dxfId="514" priority="629">
      <formula>_xlfn.ISFORMULA(R84)</formula>
    </cfRule>
  </conditionalFormatting>
  <conditionalFormatting sqref="R108">
    <cfRule type="expression" dxfId="513" priority="628">
      <formula>_xlfn.ISFORMULA(R108)</formula>
    </cfRule>
  </conditionalFormatting>
  <conditionalFormatting sqref="R107">
    <cfRule type="expression" dxfId="512" priority="627">
      <formula>_xlfn.ISFORMULA(R107)</formula>
    </cfRule>
  </conditionalFormatting>
  <conditionalFormatting sqref="AG22:AG25">
    <cfRule type="expression" dxfId="511" priority="611">
      <formula>_xlfn.ISFORMULA(AG22)</formula>
    </cfRule>
  </conditionalFormatting>
  <conditionalFormatting sqref="R112">
    <cfRule type="expression" dxfId="510" priority="625">
      <formula>_xlfn.ISFORMULA(R112)</formula>
    </cfRule>
  </conditionalFormatting>
  <conditionalFormatting sqref="R125">
    <cfRule type="expression" dxfId="509" priority="624">
      <formula>_xlfn.ISFORMULA(R125)</formula>
    </cfRule>
  </conditionalFormatting>
  <conditionalFormatting sqref="AG56:AG58">
    <cfRule type="expression" dxfId="508" priority="605">
      <formula>_xlfn.ISFORMULA(AG56)</formula>
    </cfRule>
  </conditionalFormatting>
  <conditionalFormatting sqref="R121">
    <cfRule type="expression" dxfId="507" priority="622">
      <formula>_xlfn.ISFORMULA(R121)</formula>
    </cfRule>
  </conditionalFormatting>
  <conditionalFormatting sqref="R120">
    <cfRule type="expression" dxfId="506" priority="621">
      <formula>_xlfn.ISFORMULA(R120)</formula>
    </cfRule>
  </conditionalFormatting>
  <conditionalFormatting sqref="R140">
    <cfRule type="expression" dxfId="505" priority="620">
      <formula>_xlfn.ISFORMULA(R140)</formula>
    </cfRule>
  </conditionalFormatting>
  <conditionalFormatting sqref="W63">
    <cfRule type="expression" dxfId="504" priority="602">
      <formula>_xlfn.ISFORMULA(W63)</formula>
    </cfRule>
  </conditionalFormatting>
  <conditionalFormatting sqref="R24">
    <cfRule type="expression" dxfId="503" priority="615">
      <formula>_xlfn.ISFORMULA(R24)</formula>
    </cfRule>
  </conditionalFormatting>
  <conditionalFormatting sqref="R24">
    <cfRule type="expression" dxfId="502" priority="616">
      <formula>_xlfn.ISFORMULA(R24)</formula>
    </cfRule>
  </conditionalFormatting>
  <conditionalFormatting sqref="R53">
    <cfRule type="expression" dxfId="501" priority="614">
      <formula>_xlfn.ISFORMULA(R53)</formula>
    </cfRule>
  </conditionalFormatting>
  <conditionalFormatting sqref="AG11:AG16 AG18:AG21">
    <cfRule type="expression" dxfId="500" priority="613">
      <formula>_xlfn.ISFORMULA(AG11)</formula>
    </cfRule>
  </conditionalFormatting>
  <conditionalFormatting sqref="AG24">
    <cfRule type="expression" dxfId="499" priority="612">
      <formula>_xlfn.ISFORMULA(AG24)</formula>
    </cfRule>
  </conditionalFormatting>
  <conditionalFormatting sqref="AG18:AG19">
    <cfRule type="expression" dxfId="498" priority="610">
      <formula>_xlfn.ISFORMULA(AG18)</formula>
    </cfRule>
  </conditionalFormatting>
  <conditionalFormatting sqref="AG30:AG39">
    <cfRule type="expression" dxfId="497" priority="609">
      <formula>_xlfn.ISFORMULA(AG30)</formula>
    </cfRule>
  </conditionalFormatting>
  <conditionalFormatting sqref="AG43">
    <cfRule type="expression" dxfId="496" priority="608">
      <formula>_xlfn.ISFORMULA(AG43)</formula>
    </cfRule>
  </conditionalFormatting>
  <conditionalFormatting sqref="AG40:AG42">
    <cfRule type="expression" dxfId="495" priority="607">
      <formula>_xlfn.ISFORMULA(AG40)</formula>
    </cfRule>
  </conditionalFormatting>
  <conditionalFormatting sqref="AG51:AG55">
    <cfRule type="expression" dxfId="494" priority="606">
      <formula>_xlfn.ISFORMULA(AG51)</formula>
    </cfRule>
  </conditionalFormatting>
  <conditionalFormatting sqref="AG53">
    <cfRule type="expression" dxfId="493" priority="604">
      <formula>_xlfn.ISFORMULA(AG53)</formula>
    </cfRule>
  </conditionalFormatting>
  <conditionalFormatting sqref="AB63">
    <cfRule type="expression" dxfId="492" priority="603">
      <formula>_xlfn.ISFORMULA(AB63)</formula>
    </cfRule>
  </conditionalFormatting>
  <conditionalFormatting sqref="R130">
    <cfRule type="expression" dxfId="491" priority="601">
      <formula>_xlfn.ISFORMULA(R130)</formula>
    </cfRule>
  </conditionalFormatting>
  <conditionalFormatting sqref="M130">
    <cfRule type="expression" dxfId="490" priority="600">
      <formula>_xlfn.ISFORMULA(M130)</formula>
    </cfRule>
  </conditionalFormatting>
  <conditionalFormatting sqref="M117">
    <cfRule type="expression" dxfId="489" priority="599">
      <formula>_xlfn.ISFORMULA(M117)</formula>
    </cfRule>
  </conditionalFormatting>
  <conditionalFormatting sqref="R117">
    <cfRule type="expression" dxfId="488" priority="598">
      <formula>_xlfn.ISFORMULA(R117)</formula>
    </cfRule>
  </conditionalFormatting>
  <conditionalFormatting sqref="W117">
    <cfRule type="expression" dxfId="487" priority="597">
      <formula>_xlfn.ISFORMULA(W117)</formula>
    </cfRule>
  </conditionalFormatting>
  <conditionalFormatting sqref="AB117">
    <cfRule type="expression" dxfId="486" priority="596">
      <formula>_xlfn.ISFORMULA(AB117)</formula>
    </cfRule>
  </conditionalFormatting>
  <conditionalFormatting sqref="AG130">
    <cfRule type="expression" dxfId="485" priority="595">
      <formula>_xlfn.ISFORMULA(AG130)</formula>
    </cfRule>
  </conditionalFormatting>
  <conditionalFormatting sqref="AG121">
    <cfRule type="expression" dxfId="484" priority="594">
      <formula>_xlfn.ISFORMULA(AG121)</formula>
    </cfRule>
  </conditionalFormatting>
  <conditionalFormatting sqref="AG120">
    <cfRule type="expression" dxfId="483" priority="593">
      <formula>_xlfn.ISFORMULA(AG120)</formula>
    </cfRule>
  </conditionalFormatting>
  <conditionalFormatting sqref="AG117">
    <cfRule type="expression" dxfId="482" priority="592">
      <formula>_xlfn.ISFORMULA(AG117)</formula>
    </cfRule>
  </conditionalFormatting>
  <conditionalFormatting sqref="AG108">
    <cfRule type="expression" dxfId="481" priority="591">
      <formula>_xlfn.ISFORMULA(AG108)</formula>
    </cfRule>
  </conditionalFormatting>
  <conditionalFormatting sqref="AG107">
    <cfRule type="expression" dxfId="480" priority="590">
      <formula>_xlfn.ISFORMULA(AG107)</formula>
    </cfRule>
  </conditionalFormatting>
  <conditionalFormatting sqref="AG137">
    <cfRule type="expression" dxfId="479" priority="589">
      <formula>_xlfn.ISFORMULA(AG137)</formula>
    </cfRule>
  </conditionalFormatting>
  <conditionalFormatting sqref="AG140">
    <cfRule type="expression" dxfId="478" priority="587">
      <formula>_xlfn.ISFORMULA(AG140)</formula>
    </cfRule>
  </conditionalFormatting>
  <conditionalFormatting sqref="AG112">
    <cfRule type="expression" dxfId="477" priority="585">
      <formula>_xlfn.ISFORMULA(AG112)</formula>
    </cfRule>
  </conditionalFormatting>
  <conditionalFormatting sqref="AG125">
    <cfRule type="expression" dxfId="476" priority="584">
      <formula>_xlfn.ISFORMULA(AG125)</formula>
    </cfRule>
  </conditionalFormatting>
  <conditionalFormatting sqref="AB17">
    <cfRule type="expression" dxfId="475" priority="541">
      <formula>_xlfn.ISFORMULA(AB17)</formula>
    </cfRule>
  </conditionalFormatting>
  <conditionalFormatting sqref="AL26:AL27 AL29 AL44:AL50">
    <cfRule type="expression" dxfId="474" priority="582">
      <formula>_xlfn.ISFORMULA(AL26)</formula>
    </cfRule>
  </conditionalFormatting>
  <conditionalFormatting sqref="AL60:AL66 AL45:AL48 AL89 AL69:AL72">
    <cfRule type="expression" dxfId="473" priority="581">
      <formula>_xlfn.ISFORMULA(AL45)</formula>
    </cfRule>
  </conditionalFormatting>
  <conditionalFormatting sqref="AL26:AL28">
    <cfRule type="expression" dxfId="472" priority="580">
      <formula>_xlfn.ISFORMULA(AL26)</formula>
    </cfRule>
  </conditionalFormatting>
  <conditionalFormatting sqref="AL73:AL83">
    <cfRule type="expression" dxfId="471" priority="579">
      <formula>_xlfn.ISFORMULA(AL73)</formula>
    </cfRule>
  </conditionalFormatting>
  <conditionalFormatting sqref="AL84:AL88">
    <cfRule type="expression" dxfId="470" priority="578">
      <formula>_xlfn.ISFORMULA(AL84)</formula>
    </cfRule>
  </conditionalFormatting>
  <conditionalFormatting sqref="AL24:AL25">
    <cfRule type="expression" dxfId="469" priority="575">
      <formula>_xlfn.ISFORMULA(AL24)</formula>
    </cfRule>
  </conditionalFormatting>
  <conditionalFormatting sqref="AL56">
    <cfRule type="expression" dxfId="468" priority="569">
      <formula>_xlfn.ISFORMULA(AL56)</formula>
    </cfRule>
  </conditionalFormatting>
  <conditionalFormatting sqref="AL112">
    <cfRule type="expression" dxfId="467" priority="557">
      <formula>_xlfn.ISFORMULA(AL112)</formula>
    </cfRule>
  </conditionalFormatting>
  <conditionalFormatting sqref="AL24">
    <cfRule type="expression" dxfId="466" priority="576">
      <formula>_xlfn.ISFORMULA(AL24)</formula>
    </cfRule>
  </conditionalFormatting>
  <conditionalFormatting sqref="AL11:AL21">
    <cfRule type="expression" dxfId="465" priority="554">
      <formula>_xlfn.ISFORMULA(AL11)</formula>
    </cfRule>
  </conditionalFormatting>
  <conditionalFormatting sqref="AL125">
    <cfRule type="expression" dxfId="464" priority="556">
      <formula>_xlfn.ISFORMULA(AL125)</formula>
    </cfRule>
  </conditionalFormatting>
  <conditionalFormatting sqref="AQ107">
    <cfRule type="expression" dxfId="463" priority="511">
      <formula>_xlfn.ISFORMULA(AQ107)</formula>
    </cfRule>
  </conditionalFormatting>
  <conditionalFormatting sqref="AL54:AL55">
    <cfRule type="expression" dxfId="462" priority="570">
      <formula>_xlfn.ISFORMULA(AL54)</formula>
    </cfRule>
  </conditionalFormatting>
  <conditionalFormatting sqref="AL130">
    <cfRule type="expression" dxfId="461" priority="567">
      <formula>_xlfn.ISFORMULA(AL130)</formula>
    </cfRule>
  </conditionalFormatting>
  <conditionalFormatting sqref="AL121">
    <cfRule type="expression" dxfId="460" priority="566">
      <formula>_xlfn.ISFORMULA(AL121)</formula>
    </cfRule>
  </conditionalFormatting>
  <conditionalFormatting sqref="AL120">
    <cfRule type="expression" dxfId="459" priority="565">
      <formula>_xlfn.ISFORMULA(AL120)</formula>
    </cfRule>
  </conditionalFormatting>
  <conditionalFormatting sqref="AL117">
    <cfRule type="expression" dxfId="458" priority="564">
      <formula>_xlfn.ISFORMULA(AL117)</formula>
    </cfRule>
  </conditionalFormatting>
  <conditionalFormatting sqref="AL108">
    <cfRule type="expression" dxfId="457" priority="563">
      <formula>_xlfn.ISFORMULA(AL108)</formula>
    </cfRule>
  </conditionalFormatting>
  <conditionalFormatting sqref="AL107">
    <cfRule type="expression" dxfId="456" priority="562">
      <formula>_xlfn.ISFORMULA(AL107)</formula>
    </cfRule>
  </conditionalFormatting>
  <conditionalFormatting sqref="AL137">
    <cfRule type="expression" dxfId="455" priority="561">
      <formula>_xlfn.ISFORMULA(AL137)</formula>
    </cfRule>
  </conditionalFormatting>
  <conditionalFormatting sqref="AL140">
    <cfRule type="expression" dxfId="454" priority="559">
      <formula>_xlfn.ISFORMULA(AL140)</formula>
    </cfRule>
  </conditionalFormatting>
  <conditionalFormatting sqref="AL53">
    <cfRule type="expression" dxfId="453" priority="546">
      <formula>_xlfn.ISFORMULA(AL53)</formula>
    </cfRule>
  </conditionalFormatting>
  <conditionalFormatting sqref="AL22:AL23">
    <cfRule type="expression" dxfId="452" priority="553">
      <formula>_xlfn.ISFORMULA(AL22)</formula>
    </cfRule>
  </conditionalFormatting>
  <conditionalFormatting sqref="AL17:AL19">
    <cfRule type="expression" dxfId="451" priority="552">
      <formula>_xlfn.ISFORMULA(AL17)</formula>
    </cfRule>
  </conditionalFormatting>
  <conditionalFormatting sqref="AL30:AL36">
    <cfRule type="expression" dxfId="450" priority="551">
      <formula>_xlfn.ISFORMULA(AL30)</formula>
    </cfRule>
  </conditionalFormatting>
  <conditionalFormatting sqref="AL40:AL42">
    <cfRule type="expression" dxfId="449" priority="549">
      <formula>_xlfn.ISFORMULA(AL40)</formula>
    </cfRule>
  </conditionalFormatting>
  <conditionalFormatting sqref="AL43 AL39">
    <cfRule type="expression" dxfId="448" priority="550">
      <formula>_xlfn.ISFORMULA(AL39)</formula>
    </cfRule>
  </conditionalFormatting>
  <conditionalFormatting sqref="AL37:AL38">
    <cfRule type="expression" dxfId="447" priority="548">
      <formula>_xlfn.ISFORMULA(AL37)</formula>
    </cfRule>
  </conditionalFormatting>
  <conditionalFormatting sqref="AL51:AL53">
    <cfRule type="expression" dxfId="446" priority="547">
      <formula>_xlfn.ISFORMULA(AL51)</formula>
    </cfRule>
  </conditionalFormatting>
  <conditionalFormatting sqref="AL57:AL58">
    <cfRule type="expression" dxfId="445" priority="545">
      <formula>_xlfn.ISFORMULA(AL57)</formula>
    </cfRule>
  </conditionalFormatting>
  <conditionalFormatting sqref="AG17">
    <cfRule type="expression" dxfId="444" priority="544">
      <formula>_xlfn.ISFORMULA(AG17)</formula>
    </cfRule>
  </conditionalFormatting>
  <conditionalFormatting sqref="AG17">
    <cfRule type="expression" dxfId="443" priority="543">
      <formula>_xlfn.ISFORMULA(AG17)</formula>
    </cfRule>
  </conditionalFormatting>
  <conditionalFormatting sqref="AB17">
    <cfRule type="expression" dxfId="442" priority="542">
      <formula>_xlfn.ISFORMULA(AB17)</formula>
    </cfRule>
  </conditionalFormatting>
  <conditionalFormatting sqref="W17">
    <cfRule type="expression" dxfId="441" priority="540">
      <formula>_xlfn.ISFORMULA(W17)</formula>
    </cfRule>
  </conditionalFormatting>
  <conditionalFormatting sqref="W17">
    <cfRule type="expression" dxfId="440" priority="539">
      <formula>_xlfn.ISFORMULA(W17)</formula>
    </cfRule>
  </conditionalFormatting>
  <conditionalFormatting sqref="R17">
    <cfRule type="expression" dxfId="439" priority="538">
      <formula>_xlfn.ISFORMULA(R17)</formula>
    </cfRule>
  </conditionalFormatting>
  <conditionalFormatting sqref="R17">
    <cfRule type="expression" dxfId="438" priority="537">
      <formula>_xlfn.ISFORMULA(R17)</formula>
    </cfRule>
  </conditionalFormatting>
  <conditionalFormatting sqref="M17">
    <cfRule type="expression" dxfId="437" priority="536">
      <formula>_xlfn.ISFORMULA(M17)</formula>
    </cfRule>
  </conditionalFormatting>
  <conditionalFormatting sqref="M17">
    <cfRule type="expression" dxfId="436" priority="535">
      <formula>_xlfn.ISFORMULA(M17)</formula>
    </cfRule>
  </conditionalFormatting>
  <conditionalFormatting sqref="AQ22:AQ24">
    <cfRule type="expression" dxfId="435" priority="532">
      <formula>_xlfn.ISFORMULA(AQ22)</formula>
    </cfRule>
  </conditionalFormatting>
  <conditionalFormatting sqref="AQ11:AQ16 AQ18:AQ21">
    <cfRule type="expression" dxfId="434" priority="534">
      <formula>_xlfn.ISFORMULA(AQ11)</formula>
    </cfRule>
  </conditionalFormatting>
  <conditionalFormatting sqref="AQ24">
    <cfRule type="expression" dxfId="433" priority="533">
      <formula>_xlfn.ISFORMULA(AQ24)</formula>
    </cfRule>
  </conditionalFormatting>
  <conditionalFormatting sqref="AQ18:AQ19">
    <cfRule type="expression" dxfId="432" priority="531">
      <formula>_xlfn.ISFORMULA(AQ18)</formula>
    </cfRule>
  </conditionalFormatting>
  <conditionalFormatting sqref="AQ17">
    <cfRule type="expression" dxfId="431" priority="530">
      <formula>_xlfn.ISFORMULA(AQ17)</formula>
    </cfRule>
  </conditionalFormatting>
  <conditionalFormatting sqref="AQ17">
    <cfRule type="expression" dxfId="430" priority="529">
      <formula>_xlfn.ISFORMULA(AQ17)</formula>
    </cfRule>
  </conditionalFormatting>
  <conditionalFormatting sqref="AQ25">
    <cfRule type="expression" dxfId="429" priority="528">
      <formula>_xlfn.ISFORMULA(AQ25)</formula>
    </cfRule>
  </conditionalFormatting>
  <conditionalFormatting sqref="AQ44:AQ50">
    <cfRule type="expression" dxfId="428" priority="527">
      <formula>_xlfn.ISFORMULA(AQ44)</formula>
    </cfRule>
  </conditionalFormatting>
  <conditionalFormatting sqref="AQ60:AQ63 AQ45:AQ48">
    <cfRule type="expression" dxfId="427" priority="526">
      <formula>_xlfn.ISFORMULA(AQ45)</formula>
    </cfRule>
  </conditionalFormatting>
  <conditionalFormatting sqref="AQ56:AQ58">
    <cfRule type="expression" dxfId="426" priority="521">
      <formula>_xlfn.ISFORMULA(AQ56)</formula>
    </cfRule>
  </conditionalFormatting>
  <conditionalFormatting sqref="AQ30:AQ39">
    <cfRule type="expression" dxfId="425" priority="525">
      <formula>_xlfn.ISFORMULA(AQ30)</formula>
    </cfRule>
  </conditionalFormatting>
  <conditionalFormatting sqref="AQ43">
    <cfRule type="expression" dxfId="424" priority="524">
      <formula>_xlfn.ISFORMULA(AQ43)</formula>
    </cfRule>
  </conditionalFormatting>
  <conditionalFormatting sqref="AQ40:AQ42">
    <cfRule type="expression" dxfId="423" priority="523">
      <formula>_xlfn.ISFORMULA(AQ40)</formula>
    </cfRule>
  </conditionalFormatting>
  <conditionalFormatting sqref="AQ51:AQ55">
    <cfRule type="expression" dxfId="422" priority="522">
      <formula>_xlfn.ISFORMULA(AQ51)</formula>
    </cfRule>
  </conditionalFormatting>
  <conditionalFormatting sqref="AQ53">
    <cfRule type="expression" dxfId="421" priority="520">
      <formula>_xlfn.ISFORMULA(AQ53)</formula>
    </cfRule>
  </conditionalFormatting>
  <conditionalFormatting sqref="AQ89">
    <cfRule type="expression" dxfId="420" priority="519">
      <formula>_xlfn.ISFORMULA(AQ89)</formula>
    </cfRule>
  </conditionalFormatting>
  <conditionalFormatting sqref="AQ73:AQ83">
    <cfRule type="expression" dxfId="419" priority="518">
      <formula>_xlfn.ISFORMULA(AQ73)</formula>
    </cfRule>
  </conditionalFormatting>
  <conditionalFormatting sqref="AQ84:AQ88">
    <cfRule type="expression" dxfId="418" priority="517">
      <formula>_xlfn.ISFORMULA(AQ84)</formula>
    </cfRule>
  </conditionalFormatting>
  <conditionalFormatting sqref="AQ112">
    <cfRule type="expression" dxfId="417" priority="506">
      <formula>_xlfn.ISFORMULA(AQ112)</formula>
    </cfRule>
  </conditionalFormatting>
  <conditionalFormatting sqref="AQ125">
    <cfRule type="expression" dxfId="416" priority="505">
      <formula>_xlfn.ISFORMULA(AQ125)</formula>
    </cfRule>
  </conditionalFormatting>
  <conditionalFormatting sqref="AQ130">
    <cfRule type="expression" dxfId="415" priority="516">
      <formula>_xlfn.ISFORMULA(AQ130)</formula>
    </cfRule>
  </conditionalFormatting>
  <conditionalFormatting sqref="AQ121">
    <cfRule type="expression" dxfId="414" priority="515">
      <formula>_xlfn.ISFORMULA(AQ121)</formula>
    </cfRule>
  </conditionalFormatting>
  <conditionalFormatting sqref="AQ120">
    <cfRule type="expression" dxfId="413" priority="514">
      <formula>_xlfn.ISFORMULA(AQ120)</formula>
    </cfRule>
  </conditionalFormatting>
  <conditionalFormatting sqref="AQ117">
    <cfRule type="expression" dxfId="412" priority="513">
      <formula>_xlfn.ISFORMULA(AQ117)</formula>
    </cfRule>
  </conditionalFormatting>
  <conditionalFormatting sqref="AQ108">
    <cfRule type="expression" dxfId="411" priority="512">
      <formula>_xlfn.ISFORMULA(AQ108)</formula>
    </cfRule>
  </conditionalFormatting>
  <conditionalFormatting sqref="AV54:AV55">
    <cfRule type="expression" dxfId="410" priority="466">
      <formula>_xlfn.ISFORMULA(AV54)</formula>
    </cfRule>
  </conditionalFormatting>
  <conditionalFormatting sqref="AQ137">
    <cfRule type="expression" dxfId="409" priority="510">
      <formula>_xlfn.ISFORMULA(AQ137)</formula>
    </cfRule>
  </conditionalFormatting>
  <conditionalFormatting sqref="AQ140">
    <cfRule type="expression" dxfId="408" priority="508">
      <formula>_xlfn.ISFORMULA(AQ140)</formula>
    </cfRule>
  </conditionalFormatting>
  <conditionalFormatting sqref="AV73:AV83">
    <cfRule type="expression" dxfId="407" priority="485">
      <formula>_xlfn.ISFORMULA(AV73)</formula>
    </cfRule>
  </conditionalFormatting>
  <conditionalFormatting sqref="AV64:AV66 AV69:AV72">
    <cfRule type="expression" dxfId="406" priority="503">
      <formula>_xlfn.ISFORMULA(AV64)</formula>
    </cfRule>
  </conditionalFormatting>
  <conditionalFormatting sqref="AV130">
    <cfRule type="expression" dxfId="405" priority="483">
      <formula>_xlfn.ISFORMULA(AV130)</formula>
    </cfRule>
  </conditionalFormatting>
  <conditionalFormatting sqref="AV117">
    <cfRule type="expression" dxfId="404" priority="480">
      <formula>_xlfn.ISFORMULA(AV117)</formula>
    </cfRule>
  </conditionalFormatting>
  <conditionalFormatting sqref="AV121">
    <cfRule type="expression" dxfId="403" priority="482">
      <formula>_xlfn.ISFORMULA(AV121)</formula>
    </cfRule>
  </conditionalFormatting>
  <conditionalFormatting sqref="AV120">
    <cfRule type="expression" dxfId="402" priority="481">
      <formula>_xlfn.ISFORMULA(AV120)</formula>
    </cfRule>
  </conditionalFormatting>
  <conditionalFormatting sqref="AV108">
    <cfRule type="expression" dxfId="401" priority="479">
      <formula>_xlfn.ISFORMULA(AV108)</formula>
    </cfRule>
  </conditionalFormatting>
  <conditionalFormatting sqref="AV107">
    <cfRule type="expression" dxfId="400" priority="478">
      <formula>_xlfn.ISFORMULA(AV107)</formula>
    </cfRule>
  </conditionalFormatting>
  <conditionalFormatting sqref="AV137">
    <cfRule type="expression" dxfId="399" priority="477">
      <formula>_xlfn.ISFORMULA(AV137)</formula>
    </cfRule>
  </conditionalFormatting>
  <conditionalFormatting sqref="AV140">
    <cfRule type="expression" dxfId="398" priority="475">
      <formula>_xlfn.ISFORMULA(AV140)</formula>
    </cfRule>
  </conditionalFormatting>
  <conditionalFormatting sqref="AV60:AV63">
    <cfRule type="expression" dxfId="397" priority="493">
      <formula>_xlfn.ISFORMULA(AV60)</formula>
    </cfRule>
  </conditionalFormatting>
  <conditionalFormatting sqref="AV26:AV28">
    <cfRule type="expression" dxfId="396" priority="469">
      <formula>_xlfn.ISFORMULA(AV26)</formula>
    </cfRule>
  </conditionalFormatting>
  <conditionalFormatting sqref="AV112">
    <cfRule type="expression" dxfId="395" priority="473">
      <formula>_xlfn.ISFORMULA(AV112)</formula>
    </cfRule>
  </conditionalFormatting>
  <conditionalFormatting sqref="AV125">
    <cfRule type="expression" dxfId="394" priority="472">
      <formula>_xlfn.ISFORMULA(AV125)</formula>
    </cfRule>
  </conditionalFormatting>
  <conditionalFormatting sqref="AV26:AV27 AV29 AV44:AV50">
    <cfRule type="expression" dxfId="393" priority="471">
      <formula>_xlfn.ISFORMULA(AV26)</formula>
    </cfRule>
  </conditionalFormatting>
  <conditionalFormatting sqref="AV45:AV48">
    <cfRule type="expression" dxfId="392" priority="470">
      <formula>_xlfn.ISFORMULA(AV45)</formula>
    </cfRule>
  </conditionalFormatting>
  <conditionalFormatting sqref="AV24">
    <cfRule type="expression" dxfId="391" priority="468">
      <formula>_xlfn.ISFORMULA(AV24)</formula>
    </cfRule>
  </conditionalFormatting>
  <conditionalFormatting sqref="AV89">
    <cfRule type="expression" dxfId="390" priority="486">
      <formula>_xlfn.ISFORMULA(AV89)</formula>
    </cfRule>
  </conditionalFormatting>
  <conditionalFormatting sqref="BA64:BA66 BA69:BA72">
    <cfRule type="expression" dxfId="389" priority="416">
      <formula>_xlfn.ISFORMULA(BA64)</formula>
    </cfRule>
  </conditionalFormatting>
  <conditionalFormatting sqref="AV84:AV88">
    <cfRule type="expression" dxfId="388" priority="484">
      <formula>_xlfn.ISFORMULA(AV84)</formula>
    </cfRule>
  </conditionalFormatting>
  <conditionalFormatting sqref="BA43">
    <cfRule type="expression" dxfId="387" priority="404">
      <formula>_xlfn.ISFORMULA(BA43)</formula>
    </cfRule>
  </conditionalFormatting>
  <conditionalFormatting sqref="BA40:BA42">
    <cfRule type="expression" dxfId="386" priority="403">
      <formula>_xlfn.ISFORMULA(BA40)</formula>
    </cfRule>
  </conditionalFormatting>
  <conditionalFormatting sqref="BA11:BA16 BA18:BA21">
    <cfRule type="expression" dxfId="385" priority="414">
      <formula>_xlfn.ISFORMULA(BA11)</formula>
    </cfRule>
  </conditionalFormatting>
  <conditionalFormatting sqref="BA24">
    <cfRule type="expression" dxfId="384" priority="413">
      <formula>_xlfn.ISFORMULA(BA24)</formula>
    </cfRule>
  </conditionalFormatting>
  <conditionalFormatting sqref="BA22:BA24">
    <cfRule type="expression" dxfId="383" priority="412">
      <formula>_xlfn.ISFORMULA(BA22)</formula>
    </cfRule>
  </conditionalFormatting>
  <conditionalFormatting sqref="BA18:BA19">
    <cfRule type="expression" dxfId="382" priority="411">
      <formula>_xlfn.ISFORMULA(BA18)</formula>
    </cfRule>
  </conditionalFormatting>
  <conditionalFormatting sqref="BA17">
    <cfRule type="expression" dxfId="381" priority="410">
      <formula>_xlfn.ISFORMULA(BA17)</formula>
    </cfRule>
  </conditionalFormatting>
  <conditionalFormatting sqref="BA17">
    <cfRule type="expression" dxfId="380" priority="409">
      <formula>_xlfn.ISFORMULA(BA17)</formula>
    </cfRule>
  </conditionalFormatting>
  <conditionalFormatting sqref="BA25">
    <cfRule type="expression" dxfId="379" priority="408">
      <formula>_xlfn.ISFORMULA(BA25)</formula>
    </cfRule>
  </conditionalFormatting>
  <conditionalFormatting sqref="BA44:BA50">
    <cfRule type="expression" dxfId="378" priority="407">
      <formula>_xlfn.ISFORMULA(BA44)</formula>
    </cfRule>
  </conditionalFormatting>
  <conditionalFormatting sqref="BA60:BA63 BA45:BA48">
    <cfRule type="expression" dxfId="377" priority="406">
      <formula>_xlfn.ISFORMULA(BA45)</formula>
    </cfRule>
  </conditionalFormatting>
  <conditionalFormatting sqref="AV11:AV21">
    <cfRule type="expression" dxfId="376" priority="464">
      <formula>_xlfn.ISFORMULA(AV11)</formula>
    </cfRule>
  </conditionalFormatting>
  <conditionalFormatting sqref="BA51:BA55">
    <cfRule type="expression" dxfId="375" priority="402">
      <formula>_xlfn.ISFORMULA(BA51)</formula>
    </cfRule>
  </conditionalFormatting>
  <conditionalFormatting sqref="BA56:BA58">
    <cfRule type="expression" dxfId="374" priority="401">
      <formula>_xlfn.ISFORMULA(BA56)</formula>
    </cfRule>
  </conditionalFormatting>
  <conditionalFormatting sqref="BA53">
    <cfRule type="expression" dxfId="373" priority="400">
      <formula>_xlfn.ISFORMULA(BA53)</formula>
    </cfRule>
  </conditionalFormatting>
  <conditionalFormatting sqref="AV24:AV25">
    <cfRule type="expression" dxfId="372" priority="467">
      <formula>_xlfn.ISFORMULA(AV24)</formula>
    </cfRule>
  </conditionalFormatting>
  <conditionalFormatting sqref="AV56">
    <cfRule type="expression" dxfId="371" priority="465">
      <formula>_xlfn.ISFORMULA(AV56)</formula>
    </cfRule>
  </conditionalFormatting>
  <conditionalFormatting sqref="BA89">
    <cfRule type="expression" dxfId="370" priority="399">
      <formula>_xlfn.ISFORMULA(BA89)</formula>
    </cfRule>
  </conditionalFormatting>
  <conditionalFormatting sqref="AV22:AV23">
    <cfRule type="expression" dxfId="369" priority="463">
      <formula>_xlfn.ISFORMULA(AV22)</formula>
    </cfRule>
  </conditionalFormatting>
  <conditionalFormatting sqref="AV17:AV19">
    <cfRule type="expression" dxfId="368" priority="462">
      <formula>_xlfn.ISFORMULA(AV17)</formula>
    </cfRule>
  </conditionalFormatting>
  <conditionalFormatting sqref="AV30:AV36">
    <cfRule type="expression" dxfId="367" priority="461">
      <formula>_xlfn.ISFORMULA(AV30)</formula>
    </cfRule>
  </conditionalFormatting>
  <conditionalFormatting sqref="AV40:AV42">
    <cfRule type="expression" dxfId="366" priority="459">
      <formula>_xlfn.ISFORMULA(AV40)</formula>
    </cfRule>
  </conditionalFormatting>
  <conditionalFormatting sqref="AV43 AV39">
    <cfRule type="expression" dxfId="365" priority="460">
      <formula>_xlfn.ISFORMULA(AV39)</formula>
    </cfRule>
  </conditionalFormatting>
  <conditionalFormatting sqref="AV37:AV38">
    <cfRule type="expression" dxfId="364" priority="458">
      <formula>_xlfn.ISFORMULA(AV37)</formula>
    </cfRule>
  </conditionalFormatting>
  <conditionalFormatting sqref="AV51:AV53">
    <cfRule type="expression" dxfId="363" priority="457">
      <formula>_xlfn.ISFORMULA(AV51)</formula>
    </cfRule>
  </conditionalFormatting>
  <conditionalFormatting sqref="AV53">
    <cfRule type="expression" dxfId="362" priority="456">
      <formula>_xlfn.ISFORMULA(AV53)</formula>
    </cfRule>
  </conditionalFormatting>
  <conditionalFormatting sqref="AV57:AV58">
    <cfRule type="expression" dxfId="361" priority="455">
      <formula>_xlfn.ISFORMULA(AV57)</formula>
    </cfRule>
  </conditionalFormatting>
  <conditionalFormatting sqref="BF73:BF83">
    <cfRule type="expression" dxfId="360" priority="363">
      <formula>_xlfn.ISFORMULA(BF73)</formula>
    </cfRule>
  </conditionalFormatting>
  <conditionalFormatting sqref="BA30:BA39">
    <cfRule type="expression" dxfId="359" priority="405">
      <formula>_xlfn.ISFORMULA(BA30)</formula>
    </cfRule>
  </conditionalFormatting>
  <conditionalFormatting sqref="BA26:BA28">
    <cfRule type="expression" dxfId="358" priority="415">
      <formula>_xlfn.ISFORMULA(BA26)</formula>
    </cfRule>
  </conditionalFormatting>
  <conditionalFormatting sqref="BF121">
    <cfRule type="expression" dxfId="357" priority="360">
      <formula>_xlfn.ISFORMULA(BF121)</formula>
    </cfRule>
  </conditionalFormatting>
  <conditionalFormatting sqref="BA26:BA27 BA29">
    <cfRule type="expression" dxfId="356" priority="417">
      <formula>_xlfn.ISFORMULA(BA26)</formula>
    </cfRule>
  </conditionalFormatting>
  <conditionalFormatting sqref="BA73:BA83">
    <cfRule type="expression" dxfId="355" priority="398">
      <formula>_xlfn.ISFORMULA(BA73)</formula>
    </cfRule>
  </conditionalFormatting>
  <conditionalFormatting sqref="BA84:BA88">
    <cfRule type="expression" dxfId="354" priority="397">
      <formula>_xlfn.ISFORMULA(BA84)</formula>
    </cfRule>
  </conditionalFormatting>
  <conditionalFormatting sqref="BA121">
    <cfRule type="expression" dxfId="353" priority="395">
      <formula>_xlfn.ISFORMULA(BA121)</formula>
    </cfRule>
  </conditionalFormatting>
  <conditionalFormatting sqref="BA120">
    <cfRule type="expression" dxfId="352" priority="394">
      <formula>_xlfn.ISFORMULA(BA120)</formula>
    </cfRule>
  </conditionalFormatting>
  <conditionalFormatting sqref="BA130">
    <cfRule type="expression" dxfId="351" priority="396">
      <formula>_xlfn.ISFORMULA(BA130)</formula>
    </cfRule>
  </conditionalFormatting>
  <conditionalFormatting sqref="BA117">
    <cfRule type="expression" dxfId="350" priority="393">
      <formula>_xlfn.ISFORMULA(BA117)</formula>
    </cfRule>
  </conditionalFormatting>
  <conditionalFormatting sqref="BA108">
    <cfRule type="expression" dxfId="349" priority="392">
      <formula>_xlfn.ISFORMULA(BA108)</formula>
    </cfRule>
  </conditionalFormatting>
  <conditionalFormatting sqref="BA107">
    <cfRule type="expression" dxfId="348" priority="391">
      <formula>_xlfn.ISFORMULA(BA107)</formula>
    </cfRule>
  </conditionalFormatting>
  <conditionalFormatting sqref="BA137">
    <cfRule type="expression" dxfId="347" priority="390">
      <formula>_xlfn.ISFORMULA(BA137)</formula>
    </cfRule>
  </conditionalFormatting>
  <conditionalFormatting sqref="BA140">
    <cfRule type="expression" dxfId="346" priority="388">
      <formula>_xlfn.ISFORMULA(BA140)</formula>
    </cfRule>
  </conditionalFormatting>
  <conditionalFormatting sqref="BA112">
    <cfRule type="expression" dxfId="345" priority="386">
      <formula>_xlfn.ISFORMULA(BA112)</formula>
    </cfRule>
  </conditionalFormatting>
  <conditionalFormatting sqref="BA125">
    <cfRule type="expression" dxfId="344" priority="385">
      <formula>_xlfn.ISFORMULA(BA125)</formula>
    </cfRule>
  </conditionalFormatting>
  <conditionalFormatting sqref="BK11:BK14">
    <cfRule type="expression" dxfId="343" priority="334">
      <formula>_xlfn.ISFORMULA(BK11)</formula>
    </cfRule>
  </conditionalFormatting>
  <conditionalFormatting sqref="BF8:BF10">
    <cfRule type="expression" dxfId="342" priority="383">
      <formula>_xlfn.ISFORMULA(BF8)</formula>
    </cfRule>
  </conditionalFormatting>
  <conditionalFormatting sqref="BF64:BF66 BF69:BF72">
    <cfRule type="expression" dxfId="341" priority="381">
      <formula>_xlfn.ISFORMULA(BF64)</formula>
    </cfRule>
  </conditionalFormatting>
  <conditionalFormatting sqref="BF120">
    <cfRule type="expression" dxfId="340" priority="359">
      <formula>_xlfn.ISFORMULA(BF120)</formula>
    </cfRule>
  </conditionalFormatting>
  <conditionalFormatting sqref="BF14:BF16 BF18:BF21">
    <cfRule type="expression" dxfId="339" priority="379">
      <formula>_xlfn.ISFORMULA(BF14)</formula>
    </cfRule>
  </conditionalFormatting>
  <conditionalFormatting sqref="BF18:BF19">
    <cfRule type="expression" dxfId="338" priority="376">
      <formula>_xlfn.ISFORMULA(BF18)</formula>
    </cfRule>
  </conditionalFormatting>
  <conditionalFormatting sqref="BF17">
    <cfRule type="expression" dxfId="337" priority="375">
      <formula>_xlfn.ISFORMULA(BF17)</formula>
    </cfRule>
  </conditionalFormatting>
  <conditionalFormatting sqref="BF17">
    <cfRule type="expression" dxfId="336" priority="374">
      <formula>_xlfn.ISFORMULA(BF17)</formula>
    </cfRule>
  </conditionalFormatting>
  <conditionalFormatting sqref="BF130">
    <cfRule type="expression" dxfId="335" priority="361">
      <formula>_xlfn.ISFORMULA(BF130)</formula>
    </cfRule>
  </conditionalFormatting>
  <conditionalFormatting sqref="BF44:BF50">
    <cfRule type="expression" dxfId="334" priority="372">
      <formula>_xlfn.ISFORMULA(BF44)</formula>
    </cfRule>
  </conditionalFormatting>
  <conditionalFormatting sqref="BF60:BF63 BF45:BF48">
    <cfRule type="expression" dxfId="333" priority="371">
      <formula>_xlfn.ISFORMULA(BF45)</formula>
    </cfRule>
  </conditionalFormatting>
  <conditionalFormatting sqref="BF84:BF88">
    <cfRule type="expression" dxfId="332" priority="362">
      <formula>_xlfn.ISFORMULA(BF84)</formula>
    </cfRule>
  </conditionalFormatting>
  <conditionalFormatting sqref="BF89">
    <cfRule type="expression" dxfId="331" priority="364">
      <formula>_xlfn.ISFORMULA(BF89)</formula>
    </cfRule>
  </conditionalFormatting>
  <conditionalFormatting sqref="BF26:BF28">
    <cfRule type="expression" dxfId="330" priority="380">
      <formula>_xlfn.ISFORMULA(BF26)</formula>
    </cfRule>
  </conditionalFormatting>
  <conditionalFormatting sqref="BF26:BF27 BF29">
    <cfRule type="expression" dxfId="329" priority="382">
      <formula>_xlfn.ISFORMULA(BF26)</formula>
    </cfRule>
  </conditionalFormatting>
  <conditionalFormatting sqref="BF117">
    <cfRule type="expression" dxfId="328" priority="358">
      <formula>_xlfn.ISFORMULA(BF117)</formula>
    </cfRule>
  </conditionalFormatting>
  <conditionalFormatting sqref="BF108">
    <cfRule type="expression" dxfId="327" priority="357">
      <formula>_xlfn.ISFORMULA(BF108)</formula>
    </cfRule>
  </conditionalFormatting>
  <conditionalFormatting sqref="BF107">
    <cfRule type="expression" dxfId="326" priority="356">
      <formula>_xlfn.ISFORMULA(BF107)</formula>
    </cfRule>
  </conditionalFormatting>
  <conditionalFormatting sqref="BF137">
    <cfRule type="expression" dxfId="325" priority="355">
      <formula>_xlfn.ISFORMULA(BF137)</formula>
    </cfRule>
  </conditionalFormatting>
  <conditionalFormatting sqref="BF140">
    <cfRule type="expression" dxfId="324" priority="353">
      <formula>_xlfn.ISFORMULA(BF140)</formula>
    </cfRule>
  </conditionalFormatting>
  <conditionalFormatting sqref="BF30:BF36">
    <cfRule type="expression" dxfId="323" priority="344">
      <formula>_xlfn.ISFORMULA(BF30)</formula>
    </cfRule>
  </conditionalFormatting>
  <conditionalFormatting sqref="BF112">
    <cfRule type="expression" dxfId="322" priority="351">
      <formula>_xlfn.ISFORMULA(BF112)</formula>
    </cfRule>
  </conditionalFormatting>
  <conditionalFormatting sqref="BF125">
    <cfRule type="expression" dxfId="321" priority="350">
      <formula>_xlfn.ISFORMULA(BF125)</formula>
    </cfRule>
  </conditionalFormatting>
  <conditionalFormatting sqref="BP44:BP50">
    <cfRule type="expression" dxfId="320" priority="297">
      <formula>_xlfn.ISFORMULA(BP44)</formula>
    </cfRule>
  </conditionalFormatting>
  <conditionalFormatting sqref="BF11:BF13">
    <cfRule type="expression" dxfId="319" priority="348">
      <formula>_xlfn.ISFORMULA(BF11)</formula>
    </cfRule>
  </conditionalFormatting>
  <conditionalFormatting sqref="BF24">
    <cfRule type="expression" dxfId="318" priority="347">
      <formula>_xlfn.ISFORMULA(BF24)</formula>
    </cfRule>
  </conditionalFormatting>
  <conditionalFormatting sqref="BF24:BF25">
    <cfRule type="expression" dxfId="317" priority="346">
      <formula>_xlfn.ISFORMULA(BF24)</formula>
    </cfRule>
  </conditionalFormatting>
  <conditionalFormatting sqref="BF22:BF23">
    <cfRule type="expression" dxfId="316" priority="345">
      <formula>_xlfn.ISFORMULA(BF22)</formula>
    </cfRule>
  </conditionalFormatting>
  <conditionalFormatting sqref="BF40:BF42">
    <cfRule type="expression" dxfId="315" priority="342">
      <formula>_xlfn.ISFORMULA(BF40)</formula>
    </cfRule>
  </conditionalFormatting>
  <conditionalFormatting sqref="BF43 BF39">
    <cfRule type="expression" dxfId="314" priority="343">
      <formula>_xlfn.ISFORMULA(BF39)</formula>
    </cfRule>
  </conditionalFormatting>
  <conditionalFormatting sqref="BF37:BF38">
    <cfRule type="expression" dxfId="313" priority="341">
      <formula>_xlfn.ISFORMULA(BF37)</formula>
    </cfRule>
  </conditionalFormatting>
  <conditionalFormatting sqref="BF56">
    <cfRule type="expression" dxfId="312" priority="339">
      <formula>_xlfn.ISFORMULA(BF56)</formula>
    </cfRule>
  </conditionalFormatting>
  <conditionalFormatting sqref="BF54:BF55">
    <cfRule type="expression" dxfId="311" priority="340">
      <formula>_xlfn.ISFORMULA(BF54)</formula>
    </cfRule>
  </conditionalFormatting>
  <conditionalFormatting sqref="BF51:BF53">
    <cfRule type="expression" dxfId="310" priority="338">
      <formula>_xlfn.ISFORMULA(BF51)</formula>
    </cfRule>
  </conditionalFormatting>
  <conditionalFormatting sqref="BF53">
    <cfRule type="expression" dxfId="309" priority="337">
      <formula>_xlfn.ISFORMULA(BF53)</formula>
    </cfRule>
  </conditionalFormatting>
  <conditionalFormatting sqref="BF57:BF58">
    <cfRule type="expression" dxfId="308" priority="336">
      <formula>_xlfn.ISFORMULA(BF57)</formula>
    </cfRule>
  </conditionalFormatting>
  <conditionalFormatting sqref="CO8">
    <cfRule type="expression" dxfId="307" priority="335">
      <formula>_xlfn.ISFORMULA(CO8)</formula>
    </cfRule>
  </conditionalFormatting>
  <conditionalFormatting sqref="BK24">
    <cfRule type="expression" dxfId="306" priority="333">
      <formula>_xlfn.ISFORMULA(BK24)</formula>
    </cfRule>
  </conditionalFormatting>
  <conditionalFormatting sqref="BK22:BK24">
    <cfRule type="expression" dxfId="305" priority="332">
      <formula>_xlfn.ISFORMULA(BK22)</formula>
    </cfRule>
  </conditionalFormatting>
  <conditionalFormatting sqref="BK25">
    <cfRule type="expression" dxfId="304" priority="331">
      <formula>_xlfn.ISFORMULA(BK25)</formula>
    </cfRule>
  </conditionalFormatting>
  <conditionalFormatting sqref="BK64:BK67">
    <cfRule type="expression" dxfId="303" priority="330">
      <formula>_xlfn.ISFORMULA(BK64)</formula>
    </cfRule>
  </conditionalFormatting>
  <conditionalFormatting sqref="BK43">
    <cfRule type="expression" dxfId="302" priority="326">
      <formula>_xlfn.ISFORMULA(BK43)</formula>
    </cfRule>
  </conditionalFormatting>
  <conditionalFormatting sqref="BK40:BK42">
    <cfRule type="expression" dxfId="301" priority="325">
      <formula>_xlfn.ISFORMULA(BK40)</formula>
    </cfRule>
  </conditionalFormatting>
  <conditionalFormatting sqref="BK44:BK50">
    <cfRule type="expression" dxfId="300" priority="329">
      <formula>_xlfn.ISFORMULA(BK44)</formula>
    </cfRule>
  </conditionalFormatting>
  <conditionalFormatting sqref="BK60:BK63 BK45:BK48">
    <cfRule type="expression" dxfId="299" priority="328">
      <formula>_xlfn.ISFORMULA(BK45)</formula>
    </cfRule>
  </conditionalFormatting>
  <conditionalFormatting sqref="BK51:BK55">
    <cfRule type="expression" dxfId="298" priority="324">
      <formula>_xlfn.ISFORMULA(BK51)</formula>
    </cfRule>
  </conditionalFormatting>
  <conditionalFormatting sqref="BK56:BK58">
    <cfRule type="expression" dxfId="297" priority="323">
      <formula>_xlfn.ISFORMULA(BK56)</formula>
    </cfRule>
  </conditionalFormatting>
  <conditionalFormatting sqref="BK53">
    <cfRule type="expression" dxfId="296" priority="322">
      <formula>_xlfn.ISFORMULA(BK53)</formula>
    </cfRule>
  </conditionalFormatting>
  <conditionalFormatting sqref="BK30:BK39">
    <cfRule type="expression" dxfId="295" priority="327">
      <formula>_xlfn.ISFORMULA(BK30)</formula>
    </cfRule>
  </conditionalFormatting>
  <conditionalFormatting sqref="BK68">
    <cfRule type="expression" dxfId="294" priority="321">
      <formula>_xlfn.ISFORMULA(BK68)</formula>
    </cfRule>
  </conditionalFormatting>
  <conditionalFormatting sqref="BK84:BK88">
    <cfRule type="expression" dxfId="293" priority="318">
      <formula>_xlfn.ISFORMULA(BK84)</formula>
    </cfRule>
  </conditionalFormatting>
  <conditionalFormatting sqref="BK89">
    <cfRule type="expression" dxfId="292" priority="320">
      <formula>_xlfn.ISFORMULA(BK89)</formula>
    </cfRule>
  </conditionalFormatting>
  <conditionalFormatting sqref="BK73:BK83">
    <cfRule type="expression" dxfId="291" priority="319">
      <formula>_xlfn.ISFORMULA(BK73)</formula>
    </cfRule>
  </conditionalFormatting>
  <conditionalFormatting sqref="BK121">
    <cfRule type="expression" dxfId="290" priority="316">
      <formula>_xlfn.ISFORMULA(BK121)</formula>
    </cfRule>
  </conditionalFormatting>
  <conditionalFormatting sqref="BK120">
    <cfRule type="expression" dxfId="289" priority="315">
      <formula>_xlfn.ISFORMULA(BK120)</formula>
    </cfRule>
  </conditionalFormatting>
  <conditionalFormatting sqref="BK130">
    <cfRule type="expression" dxfId="288" priority="317">
      <formula>_xlfn.ISFORMULA(BK130)</formula>
    </cfRule>
  </conditionalFormatting>
  <conditionalFormatting sqref="BK117">
    <cfRule type="expression" dxfId="287" priority="314">
      <formula>_xlfn.ISFORMULA(BK117)</formula>
    </cfRule>
  </conditionalFormatting>
  <conditionalFormatting sqref="BK108">
    <cfRule type="expression" dxfId="286" priority="313">
      <formula>_xlfn.ISFORMULA(BK108)</formula>
    </cfRule>
  </conditionalFormatting>
  <conditionalFormatting sqref="BK107">
    <cfRule type="expression" dxfId="285" priority="312">
      <formula>_xlfn.ISFORMULA(BK107)</formula>
    </cfRule>
  </conditionalFormatting>
  <conditionalFormatting sqref="BK137">
    <cfRule type="expression" dxfId="284" priority="311">
      <formula>_xlfn.ISFORMULA(BK137)</formula>
    </cfRule>
  </conditionalFormatting>
  <conditionalFormatting sqref="BK140">
    <cfRule type="expression" dxfId="283" priority="309">
      <formula>_xlfn.ISFORMULA(BK140)</formula>
    </cfRule>
  </conditionalFormatting>
  <conditionalFormatting sqref="BP24">
    <cfRule type="expression" dxfId="282" priority="301">
      <formula>_xlfn.ISFORMULA(BP24)</formula>
    </cfRule>
  </conditionalFormatting>
  <conditionalFormatting sqref="BK112">
    <cfRule type="expression" dxfId="281" priority="307">
      <formula>_xlfn.ISFORMULA(BK112)</formula>
    </cfRule>
  </conditionalFormatting>
  <conditionalFormatting sqref="BK125">
    <cfRule type="expression" dxfId="280" priority="306">
      <formula>_xlfn.ISFORMULA(BK125)</formula>
    </cfRule>
  </conditionalFormatting>
  <conditionalFormatting sqref="BU125">
    <cfRule type="expression" dxfId="279" priority="211">
      <formula>_xlfn.ISFORMULA(BU125)</formula>
    </cfRule>
  </conditionalFormatting>
  <conditionalFormatting sqref="BZ57:BZ58">
    <cfRule type="expression" dxfId="278" priority="166">
      <formula>_xlfn.ISFORMULA(BZ57)</formula>
    </cfRule>
  </conditionalFormatting>
  <conditionalFormatting sqref="BP26:BP27 BP15:BP21 BP29 BP8:BP10">
    <cfRule type="expression" dxfId="277" priority="305">
      <formula>_xlfn.ISFORMULA(BP8)</formula>
    </cfRule>
  </conditionalFormatting>
  <conditionalFormatting sqref="BP69:BP72">
    <cfRule type="expression" dxfId="276" priority="304">
      <formula>_xlfn.ISFORMULA(BP69)</formula>
    </cfRule>
  </conditionalFormatting>
  <conditionalFormatting sqref="BP26:BP28">
    <cfRule type="expression" dxfId="275" priority="303">
      <formula>_xlfn.ISFORMULA(BP26)</formula>
    </cfRule>
  </conditionalFormatting>
  <conditionalFormatting sqref="BP54:BP55">
    <cfRule type="expression" dxfId="274" priority="270">
      <formula>_xlfn.ISFORMULA(BP54)</formula>
    </cfRule>
  </conditionalFormatting>
  <conditionalFormatting sqref="BP22:BP24">
    <cfRule type="expression" dxfId="273" priority="300">
      <formula>_xlfn.ISFORMULA(BP22)</formula>
    </cfRule>
  </conditionalFormatting>
  <conditionalFormatting sqref="BP25">
    <cfRule type="expression" dxfId="272" priority="299">
      <formula>_xlfn.ISFORMULA(BP25)</formula>
    </cfRule>
  </conditionalFormatting>
  <conditionalFormatting sqref="BU45:BU48">
    <cfRule type="expression" dxfId="271" priority="235">
      <formula>_xlfn.ISFORMULA(BU45)</formula>
    </cfRule>
  </conditionalFormatting>
  <conditionalFormatting sqref="BU22:BU24">
    <cfRule type="expression" dxfId="270" priority="239">
      <formula>_xlfn.ISFORMULA(BU22)</formula>
    </cfRule>
  </conditionalFormatting>
  <conditionalFormatting sqref="BU25">
    <cfRule type="expression" dxfId="269" priority="238">
      <formula>_xlfn.ISFORMULA(BU25)</formula>
    </cfRule>
  </conditionalFormatting>
  <conditionalFormatting sqref="AG67">
    <cfRule type="expression" dxfId="268" priority="252">
      <formula>_xlfn.ISFORMULA(AG67)</formula>
    </cfRule>
  </conditionalFormatting>
  <conditionalFormatting sqref="BP45:BP48">
    <cfRule type="expression" dxfId="267" priority="296">
      <formula>_xlfn.ISFORMULA(BP45)</formula>
    </cfRule>
  </conditionalFormatting>
  <conditionalFormatting sqref="BU53">
    <cfRule type="expression" dxfId="266" priority="229">
      <formula>_xlfn.ISFORMULA(BU53)</formula>
    </cfRule>
  </conditionalFormatting>
  <conditionalFormatting sqref="BU69:BU72">
    <cfRule type="expression" dxfId="265" priority="228">
      <formula>_xlfn.ISFORMULA(BU69)</formula>
    </cfRule>
  </conditionalFormatting>
  <conditionalFormatting sqref="BU89">
    <cfRule type="expression" dxfId="264" priority="227">
      <formula>_xlfn.ISFORMULA(BU89)</formula>
    </cfRule>
  </conditionalFormatting>
  <conditionalFormatting sqref="BP32:BP39">
    <cfRule type="expression" dxfId="263" priority="295">
      <formula>_xlfn.ISFORMULA(BP32)</formula>
    </cfRule>
  </conditionalFormatting>
  <conditionalFormatting sqref="BU73:BU83">
    <cfRule type="expression" dxfId="262" priority="226">
      <formula>_xlfn.ISFORMULA(BU73)</formula>
    </cfRule>
  </conditionalFormatting>
  <conditionalFormatting sqref="BP84:BP88">
    <cfRule type="expression" dxfId="261" priority="286">
      <formula>_xlfn.ISFORMULA(BP84)</formula>
    </cfRule>
  </conditionalFormatting>
  <conditionalFormatting sqref="BP89">
    <cfRule type="expression" dxfId="260" priority="288">
      <formula>_xlfn.ISFORMULA(BP89)</formula>
    </cfRule>
  </conditionalFormatting>
  <conditionalFormatting sqref="BP73:BP83">
    <cfRule type="expression" dxfId="259" priority="287">
      <formula>_xlfn.ISFORMULA(BP73)</formula>
    </cfRule>
  </conditionalFormatting>
  <conditionalFormatting sqref="BP121">
    <cfRule type="expression" dxfId="258" priority="284">
      <formula>_xlfn.ISFORMULA(BP121)</formula>
    </cfRule>
  </conditionalFormatting>
  <conditionalFormatting sqref="BP120">
    <cfRule type="expression" dxfId="257" priority="283">
      <formula>_xlfn.ISFORMULA(BP120)</formula>
    </cfRule>
  </conditionalFormatting>
  <conditionalFormatting sqref="BP130">
    <cfRule type="expression" dxfId="256" priority="285">
      <formula>_xlfn.ISFORMULA(BP130)</formula>
    </cfRule>
  </conditionalFormatting>
  <conditionalFormatting sqref="BP117">
    <cfRule type="expression" dxfId="255" priority="282">
      <formula>_xlfn.ISFORMULA(BP117)</formula>
    </cfRule>
  </conditionalFormatting>
  <conditionalFormatting sqref="BP108">
    <cfRule type="expression" dxfId="254" priority="281">
      <formula>_xlfn.ISFORMULA(BP108)</formula>
    </cfRule>
  </conditionalFormatting>
  <conditionalFormatting sqref="BP107">
    <cfRule type="expression" dxfId="253" priority="280">
      <formula>_xlfn.ISFORMULA(BP107)</formula>
    </cfRule>
  </conditionalFormatting>
  <conditionalFormatting sqref="BP137">
    <cfRule type="expression" dxfId="252" priority="279">
      <formula>_xlfn.ISFORMULA(BP137)</formula>
    </cfRule>
  </conditionalFormatting>
  <conditionalFormatting sqref="BP140">
    <cfRule type="expression" dxfId="251" priority="277">
      <formula>_xlfn.ISFORMULA(BP140)</formula>
    </cfRule>
  </conditionalFormatting>
  <conditionalFormatting sqref="BP112">
    <cfRule type="expression" dxfId="250" priority="275">
      <formula>_xlfn.ISFORMULA(BP112)</formula>
    </cfRule>
  </conditionalFormatting>
  <conditionalFormatting sqref="BP125">
    <cfRule type="expression" dxfId="249" priority="274">
      <formula>_xlfn.ISFORMULA(BP125)</formula>
    </cfRule>
  </conditionalFormatting>
  <conditionalFormatting sqref="BP64:BP67">
    <cfRule type="expression" dxfId="248" priority="273">
      <formula>_xlfn.ISFORMULA(BP64)</formula>
    </cfRule>
  </conditionalFormatting>
  <conditionalFormatting sqref="BP60:BP63">
    <cfRule type="expression" dxfId="247" priority="272">
      <formula>_xlfn.ISFORMULA(BP60)</formula>
    </cfRule>
  </conditionalFormatting>
  <conditionalFormatting sqref="BP68">
    <cfRule type="expression" dxfId="246" priority="271">
      <formula>_xlfn.ISFORMULA(BP68)</formula>
    </cfRule>
  </conditionalFormatting>
  <conditionalFormatting sqref="BP56">
    <cfRule type="expression" dxfId="245" priority="269">
      <formula>_xlfn.ISFORMULA(BP56)</formula>
    </cfRule>
  </conditionalFormatting>
  <conditionalFormatting sqref="BU84:BU88">
    <cfRule type="expression" dxfId="244" priority="225">
      <formula>_xlfn.ISFORMULA(BU84)</formula>
    </cfRule>
  </conditionalFormatting>
  <conditionalFormatting sqref="BP51:BP53">
    <cfRule type="expression" dxfId="243" priority="268">
      <formula>_xlfn.ISFORMULA(BP51)</formula>
    </cfRule>
  </conditionalFormatting>
  <conditionalFormatting sqref="BP53">
    <cfRule type="expression" dxfId="242" priority="267">
      <formula>_xlfn.ISFORMULA(BP53)</formula>
    </cfRule>
  </conditionalFormatting>
  <conditionalFormatting sqref="BP57:BP58">
    <cfRule type="expression" dxfId="241" priority="266">
      <formula>_xlfn.ISFORMULA(BP57)</formula>
    </cfRule>
  </conditionalFormatting>
  <conditionalFormatting sqref="BP40:BP42">
    <cfRule type="expression" dxfId="240" priority="264">
      <formula>_xlfn.ISFORMULA(BP40)</formula>
    </cfRule>
  </conditionalFormatting>
  <conditionalFormatting sqref="BP43">
    <cfRule type="expression" dxfId="239" priority="265">
      <formula>_xlfn.ISFORMULA(BP43)</formula>
    </cfRule>
  </conditionalFormatting>
  <conditionalFormatting sqref="BP30:BP31">
    <cfRule type="expression" dxfId="238" priority="263">
      <formula>_xlfn.ISFORMULA(BP30)</formula>
    </cfRule>
  </conditionalFormatting>
  <conditionalFormatting sqref="BF67">
    <cfRule type="expression" dxfId="237" priority="262">
      <formula>_xlfn.ISFORMULA(BF67)</formula>
    </cfRule>
  </conditionalFormatting>
  <conditionalFormatting sqref="BF68">
    <cfRule type="expression" dxfId="236" priority="261">
      <formula>_xlfn.ISFORMULA(BF68)</formula>
    </cfRule>
  </conditionalFormatting>
  <conditionalFormatting sqref="BA67">
    <cfRule type="expression" dxfId="235" priority="260">
      <formula>_xlfn.ISFORMULA(BA67)</formula>
    </cfRule>
  </conditionalFormatting>
  <conditionalFormatting sqref="BA68">
    <cfRule type="expression" dxfId="234" priority="259">
      <formula>_xlfn.ISFORMULA(BA68)</formula>
    </cfRule>
  </conditionalFormatting>
  <conditionalFormatting sqref="AV67">
    <cfRule type="expression" dxfId="233" priority="258">
      <formula>_xlfn.ISFORMULA(AV67)</formula>
    </cfRule>
  </conditionalFormatting>
  <conditionalFormatting sqref="AV68">
    <cfRule type="expression" dxfId="232" priority="257">
      <formula>_xlfn.ISFORMULA(AV68)</formula>
    </cfRule>
  </conditionalFormatting>
  <conditionalFormatting sqref="AQ67">
    <cfRule type="expression" dxfId="231" priority="256">
      <formula>_xlfn.ISFORMULA(AQ67)</formula>
    </cfRule>
  </conditionalFormatting>
  <conditionalFormatting sqref="AQ68">
    <cfRule type="expression" dxfId="230" priority="255">
      <formula>_xlfn.ISFORMULA(AQ68)</formula>
    </cfRule>
  </conditionalFormatting>
  <conditionalFormatting sqref="AL67">
    <cfRule type="expression" dxfId="229" priority="254">
      <formula>_xlfn.ISFORMULA(AL67)</formula>
    </cfRule>
  </conditionalFormatting>
  <conditionalFormatting sqref="AL68">
    <cfRule type="expression" dxfId="228" priority="253">
      <formula>_xlfn.ISFORMULA(AL68)</formula>
    </cfRule>
  </conditionalFormatting>
  <conditionalFormatting sqref="AG68">
    <cfRule type="expression" dxfId="227" priority="251">
      <formula>_xlfn.ISFORMULA(AG68)</formula>
    </cfRule>
  </conditionalFormatting>
  <conditionalFormatting sqref="W67">
    <cfRule type="expression" dxfId="226" priority="250">
      <formula>_xlfn.ISFORMULA(W67)</formula>
    </cfRule>
  </conditionalFormatting>
  <conditionalFormatting sqref="W68">
    <cfRule type="expression" dxfId="225" priority="249">
      <formula>_xlfn.ISFORMULA(W68)</formula>
    </cfRule>
  </conditionalFormatting>
  <conditionalFormatting sqref="R67">
    <cfRule type="expression" dxfId="224" priority="248">
      <formula>_xlfn.ISFORMULA(R67)</formula>
    </cfRule>
  </conditionalFormatting>
  <conditionalFormatting sqref="R68">
    <cfRule type="expression" dxfId="223" priority="247">
      <formula>_xlfn.ISFORMULA(R68)</formula>
    </cfRule>
  </conditionalFormatting>
  <conditionalFormatting sqref="M67">
    <cfRule type="expression" dxfId="222" priority="246">
      <formula>_xlfn.ISFORMULA(M67)</formula>
    </cfRule>
  </conditionalFormatting>
  <conditionalFormatting sqref="M68">
    <cfRule type="expression" dxfId="221" priority="245">
      <formula>_xlfn.ISFORMULA(M68)</formula>
    </cfRule>
  </conditionalFormatting>
  <conditionalFormatting sqref="AB67">
    <cfRule type="expression" dxfId="220" priority="244">
      <formula>_xlfn.ISFORMULA(AB67)</formula>
    </cfRule>
  </conditionalFormatting>
  <conditionalFormatting sqref="AB68">
    <cfRule type="expression" dxfId="219" priority="243">
      <formula>_xlfn.ISFORMULA(AB68)</formula>
    </cfRule>
  </conditionalFormatting>
  <conditionalFormatting sqref="BP14">
    <cfRule type="expression" dxfId="218" priority="242">
      <formula>_xlfn.ISFORMULA(BP14)</formula>
    </cfRule>
  </conditionalFormatting>
  <conditionalFormatting sqref="BP11:BP13">
    <cfRule type="expression" dxfId="217" priority="241">
      <formula>_xlfn.ISFORMULA(BP11)</formula>
    </cfRule>
  </conditionalFormatting>
  <conditionalFormatting sqref="BU24">
    <cfRule type="expression" dxfId="216" priority="240">
      <formula>_xlfn.ISFORMULA(BU24)</formula>
    </cfRule>
  </conditionalFormatting>
  <conditionalFormatting sqref="BZ89">
    <cfRule type="expression" dxfId="215" priority="194">
      <formula>_xlfn.ISFORMULA(BZ89)</formula>
    </cfRule>
  </conditionalFormatting>
  <conditionalFormatting sqref="BZ73:BZ83">
    <cfRule type="expression" dxfId="214" priority="193">
      <formula>_xlfn.ISFORMULA(BZ73)</formula>
    </cfRule>
  </conditionalFormatting>
  <conditionalFormatting sqref="BU11:BU14">
    <cfRule type="expression" dxfId="213" priority="237">
      <formula>_xlfn.ISFORMULA(BU11)</formula>
    </cfRule>
  </conditionalFormatting>
  <conditionalFormatting sqref="BU43">
    <cfRule type="expression" dxfId="212" priority="233">
      <formula>_xlfn.ISFORMULA(BU43)</formula>
    </cfRule>
  </conditionalFormatting>
  <conditionalFormatting sqref="BU40:BU42">
    <cfRule type="expression" dxfId="211" priority="232">
      <formula>_xlfn.ISFORMULA(BU40)</formula>
    </cfRule>
  </conditionalFormatting>
  <conditionalFormatting sqref="BU44:BU50">
    <cfRule type="expression" dxfId="210" priority="236">
      <formula>_xlfn.ISFORMULA(BU44)</formula>
    </cfRule>
  </conditionalFormatting>
  <conditionalFormatting sqref="BZ68">
    <cfRule type="expression" dxfId="209" priority="190">
      <formula>_xlfn.ISFORMULA(BZ68)</formula>
    </cfRule>
  </conditionalFormatting>
  <conditionalFormatting sqref="BU51:BU55">
    <cfRule type="expression" dxfId="208" priority="231">
      <formula>_xlfn.ISFORMULA(BU51)</formula>
    </cfRule>
  </conditionalFormatting>
  <conditionalFormatting sqref="BU56:BU58">
    <cfRule type="expression" dxfId="207" priority="230">
      <formula>_xlfn.ISFORMULA(BU56)</formula>
    </cfRule>
  </conditionalFormatting>
  <conditionalFormatting sqref="BZ107">
    <cfRule type="expression" dxfId="206" priority="184">
      <formula>_xlfn.ISFORMULA(BZ107)</formula>
    </cfRule>
  </conditionalFormatting>
  <conditionalFormatting sqref="BU30:BU39">
    <cfRule type="expression" dxfId="205" priority="234">
      <formula>_xlfn.ISFORMULA(BU30)</formula>
    </cfRule>
  </conditionalFormatting>
  <conditionalFormatting sqref="BZ137">
    <cfRule type="expression" dxfId="204" priority="183">
      <formula>_xlfn.ISFORMULA(BZ137)</formula>
    </cfRule>
  </conditionalFormatting>
  <conditionalFormatting sqref="BZ140">
    <cfRule type="expression" dxfId="203" priority="181">
      <formula>_xlfn.ISFORMULA(BZ140)</formula>
    </cfRule>
  </conditionalFormatting>
  <conditionalFormatting sqref="BU66:BU67">
    <cfRule type="expression" dxfId="202" priority="224">
      <formula>_xlfn.ISFORMULA(BU66)</formula>
    </cfRule>
  </conditionalFormatting>
  <conditionalFormatting sqref="BU68">
    <cfRule type="expression" dxfId="201" priority="223">
      <formula>_xlfn.ISFORMULA(BU68)</formula>
    </cfRule>
  </conditionalFormatting>
  <conditionalFormatting sqref="BU121">
    <cfRule type="expression" dxfId="200" priority="221">
      <formula>_xlfn.ISFORMULA(BU121)</formula>
    </cfRule>
  </conditionalFormatting>
  <conditionalFormatting sqref="BU120">
    <cfRule type="expression" dxfId="199" priority="220">
      <formula>_xlfn.ISFORMULA(BU120)</formula>
    </cfRule>
  </conditionalFormatting>
  <conditionalFormatting sqref="BU130">
    <cfRule type="expression" dxfId="198" priority="222">
      <formula>_xlfn.ISFORMULA(BU130)</formula>
    </cfRule>
  </conditionalFormatting>
  <conditionalFormatting sqref="BU117">
    <cfRule type="expression" dxfId="197" priority="219">
      <formula>_xlfn.ISFORMULA(BU117)</formula>
    </cfRule>
  </conditionalFormatting>
  <conditionalFormatting sqref="BU108">
    <cfRule type="expression" dxfId="196" priority="218">
      <formula>_xlfn.ISFORMULA(BU108)</formula>
    </cfRule>
  </conditionalFormatting>
  <conditionalFormatting sqref="BU107">
    <cfRule type="expression" dxfId="195" priority="217">
      <formula>_xlfn.ISFORMULA(BU107)</formula>
    </cfRule>
  </conditionalFormatting>
  <conditionalFormatting sqref="BU137">
    <cfRule type="expression" dxfId="194" priority="216">
      <formula>_xlfn.ISFORMULA(BU137)</formula>
    </cfRule>
  </conditionalFormatting>
  <conditionalFormatting sqref="BU140">
    <cfRule type="expression" dxfId="193" priority="214">
      <formula>_xlfn.ISFORMULA(BU140)</formula>
    </cfRule>
  </conditionalFormatting>
  <conditionalFormatting sqref="BZ26:BZ28">
    <cfRule type="expression" dxfId="192" priority="208">
      <formula>_xlfn.ISFORMULA(BZ26)</formula>
    </cfRule>
  </conditionalFormatting>
  <conditionalFormatting sqref="BU112">
    <cfRule type="expression" dxfId="191" priority="212">
      <formula>_xlfn.ISFORMULA(BU112)</formula>
    </cfRule>
  </conditionalFormatting>
  <conditionalFormatting sqref="BZ26:BZ27 BZ15:BZ21 BZ29 BZ8:BZ10">
    <cfRule type="expression" dxfId="190" priority="210">
      <formula>_xlfn.ISFORMULA(BZ8)</formula>
    </cfRule>
  </conditionalFormatting>
  <conditionalFormatting sqref="BZ60:BZ65">
    <cfRule type="expression" dxfId="189" priority="209">
      <formula>_xlfn.ISFORMULA(BZ60)</formula>
    </cfRule>
  </conditionalFormatting>
  <conditionalFormatting sqref="BZ125">
    <cfRule type="expression" dxfId="188" priority="178">
      <formula>_xlfn.ISFORMULA(BZ125)</formula>
    </cfRule>
  </conditionalFormatting>
  <conditionalFormatting sqref="BZ84:BZ88">
    <cfRule type="expression" dxfId="187" priority="192">
      <formula>_xlfn.ISFORMULA(BZ84)</formula>
    </cfRule>
  </conditionalFormatting>
  <conditionalFormatting sqref="BZ22:BZ24">
    <cfRule type="expression" dxfId="186" priority="206">
      <formula>_xlfn.ISFORMULA(BZ22)</formula>
    </cfRule>
  </conditionalFormatting>
  <conditionalFormatting sqref="BZ25">
    <cfRule type="expression" dxfId="185" priority="205">
      <formula>_xlfn.ISFORMULA(BZ25)</formula>
    </cfRule>
  </conditionalFormatting>
  <conditionalFormatting sqref="BZ117">
    <cfRule type="expression" dxfId="184" priority="186">
      <formula>_xlfn.ISFORMULA(BZ117)</formula>
    </cfRule>
  </conditionalFormatting>
  <conditionalFormatting sqref="BZ69:BZ72">
    <cfRule type="expression" dxfId="183" priority="195">
      <formula>_xlfn.ISFORMULA(BZ69)</formula>
    </cfRule>
  </conditionalFormatting>
  <conditionalFormatting sqref="BZ24">
    <cfRule type="expression" dxfId="182" priority="207">
      <formula>_xlfn.ISFORMULA(BZ24)</formula>
    </cfRule>
  </conditionalFormatting>
  <conditionalFormatting sqref="BZ130">
    <cfRule type="expression" dxfId="181" priority="189">
      <formula>_xlfn.ISFORMULA(BZ130)</formula>
    </cfRule>
  </conditionalFormatting>
  <conditionalFormatting sqref="BZ55">
    <cfRule type="expression" dxfId="180" priority="198">
      <formula>_xlfn.ISFORMULA(BZ55)</formula>
    </cfRule>
  </conditionalFormatting>
  <conditionalFormatting sqref="BZ56">
    <cfRule type="expression" dxfId="179" priority="197">
      <formula>_xlfn.ISFORMULA(BZ56)</formula>
    </cfRule>
  </conditionalFormatting>
  <conditionalFormatting sqref="BZ66:BZ67">
    <cfRule type="expression" dxfId="178" priority="191">
      <formula>_xlfn.ISFORMULA(BZ66)</formula>
    </cfRule>
  </conditionalFormatting>
  <conditionalFormatting sqref="BZ121">
    <cfRule type="expression" dxfId="177" priority="188">
      <formula>_xlfn.ISFORMULA(BZ121)</formula>
    </cfRule>
  </conditionalFormatting>
  <conditionalFormatting sqref="BZ120">
    <cfRule type="expression" dxfId="176" priority="187">
      <formula>_xlfn.ISFORMULA(BZ120)</formula>
    </cfRule>
  </conditionalFormatting>
  <conditionalFormatting sqref="BZ108">
    <cfRule type="expression" dxfId="175" priority="185">
      <formula>_xlfn.ISFORMULA(BZ108)</formula>
    </cfRule>
  </conditionalFormatting>
  <conditionalFormatting sqref="BZ11:BZ13">
    <cfRule type="expression" dxfId="174" priority="176">
      <formula>_xlfn.ISFORMULA(BZ11)</formula>
    </cfRule>
  </conditionalFormatting>
  <conditionalFormatting sqref="BZ112">
    <cfRule type="expression" dxfId="173" priority="179">
      <formula>_xlfn.ISFORMULA(BZ112)</formula>
    </cfRule>
  </conditionalFormatting>
  <conditionalFormatting sqref="BZ14">
    <cfRule type="expression" dxfId="172" priority="177">
      <formula>_xlfn.ISFORMULA(BZ14)</formula>
    </cfRule>
  </conditionalFormatting>
  <conditionalFormatting sqref="BZ44:BZ50">
    <cfRule type="expression" dxfId="171" priority="175">
      <formula>_xlfn.ISFORMULA(BZ44)</formula>
    </cfRule>
  </conditionalFormatting>
  <conditionalFormatting sqref="BZ54">
    <cfRule type="expression" dxfId="170" priority="172">
      <formula>_xlfn.ISFORMULA(BZ54)</formula>
    </cfRule>
  </conditionalFormatting>
  <conditionalFormatting sqref="BZ45:BZ48">
    <cfRule type="expression" dxfId="169" priority="174">
      <formula>_xlfn.ISFORMULA(BZ45)</formula>
    </cfRule>
  </conditionalFormatting>
  <conditionalFormatting sqref="BZ32:BZ39">
    <cfRule type="expression" dxfId="168" priority="173">
      <formula>_xlfn.ISFORMULA(BZ32)</formula>
    </cfRule>
  </conditionalFormatting>
  <conditionalFormatting sqref="BZ51:BZ53">
    <cfRule type="expression" dxfId="167" priority="171">
      <formula>_xlfn.ISFORMULA(BZ51)</formula>
    </cfRule>
  </conditionalFormatting>
  <conditionalFormatting sqref="BZ53">
    <cfRule type="expression" dxfId="166" priority="170">
      <formula>_xlfn.ISFORMULA(BZ53)</formula>
    </cfRule>
  </conditionalFormatting>
  <conditionalFormatting sqref="BZ40:BZ42">
    <cfRule type="expression" dxfId="165" priority="168">
      <formula>_xlfn.ISFORMULA(BZ40)</formula>
    </cfRule>
  </conditionalFormatting>
  <conditionalFormatting sqref="BZ43">
    <cfRule type="expression" dxfId="164" priority="169">
      <formula>_xlfn.ISFORMULA(BZ43)</formula>
    </cfRule>
  </conditionalFormatting>
  <conditionalFormatting sqref="BZ30:BZ31">
    <cfRule type="expression" dxfId="163" priority="167">
      <formula>_xlfn.ISFORMULA(BZ30)</formula>
    </cfRule>
  </conditionalFormatting>
  <conditionalFormatting sqref="CE26:CE27 CE15:CE21 CE29 CE8:CE10">
    <cfRule type="expression" dxfId="162" priority="165">
      <formula>_xlfn.ISFORMULA(CE8)</formula>
    </cfRule>
  </conditionalFormatting>
  <conditionalFormatting sqref="CE26:CE28">
    <cfRule type="expression" dxfId="161" priority="164">
      <formula>_xlfn.ISFORMULA(CE26)</formula>
    </cfRule>
  </conditionalFormatting>
  <conditionalFormatting sqref="CE22:CE24">
    <cfRule type="expression" dxfId="160" priority="162">
      <formula>_xlfn.ISFORMULA(CE22)</formula>
    </cfRule>
  </conditionalFormatting>
  <conditionalFormatting sqref="CE25">
    <cfRule type="expression" dxfId="159" priority="161">
      <formula>_xlfn.ISFORMULA(CE25)</formula>
    </cfRule>
  </conditionalFormatting>
  <conditionalFormatting sqref="CE24">
    <cfRule type="expression" dxfId="158" priority="163">
      <formula>_xlfn.ISFORMULA(CE24)</formula>
    </cfRule>
  </conditionalFormatting>
  <conditionalFormatting sqref="CE11:CE14">
    <cfRule type="expression" dxfId="157" priority="160">
      <formula>_xlfn.ISFORMULA(CE11)</formula>
    </cfRule>
  </conditionalFormatting>
  <conditionalFormatting sqref="CE30:CE31">
    <cfRule type="expression" dxfId="156" priority="159">
      <formula>_xlfn.ISFORMULA(CE30)</formula>
    </cfRule>
  </conditionalFormatting>
  <conditionalFormatting sqref="CE125">
    <cfRule type="expression" dxfId="155" priority="140">
      <formula>_xlfn.ISFORMULA(CE125)</formula>
    </cfRule>
  </conditionalFormatting>
  <conditionalFormatting sqref="CE53">
    <cfRule type="expression" dxfId="154" priority="158">
      <formula>_xlfn.ISFORMULA(CE53)</formula>
    </cfRule>
  </conditionalFormatting>
  <conditionalFormatting sqref="CE53">
    <cfRule type="expression" dxfId="153" priority="157">
      <formula>_xlfn.ISFORMULA(CE53)</formula>
    </cfRule>
  </conditionalFormatting>
  <conditionalFormatting sqref="CE68">
    <cfRule type="expression" dxfId="152" priority="155">
      <formula>_xlfn.ISFORMULA(CE68)</formula>
    </cfRule>
  </conditionalFormatting>
  <conditionalFormatting sqref="CE66:CE67">
    <cfRule type="expression" dxfId="151" priority="156">
      <formula>_xlfn.ISFORMULA(CE66)</formula>
    </cfRule>
  </conditionalFormatting>
  <conditionalFormatting sqref="CE89">
    <cfRule type="expression" dxfId="150" priority="154">
      <formula>_xlfn.ISFORMULA(CE89)</formula>
    </cfRule>
  </conditionalFormatting>
  <conditionalFormatting sqref="CE73:CE83">
    <cfRule type="expression" dxfId="149" priority="153">
      <formula>_xlfn.ISFORMULA(CE73)</formula>
    </cfRule>
  </conditionalFormatting>
  <conditionalFormatting sqref="CE84:CE88">
    <cfRule type="expression" dxfId="148" priority="152">
      <formula>_xlfn.ISFORMULA(CE84)</formula>
    </cfRule>
  </conditionalFormatting>
  <conditionalFormatting sqref="CE107">
    <cfRule type="expression" dxfId="147" priority="146">
      <formula>_xlfn.ISFORMULA(CE107)</formula>
    </cfRule>
  </conditionalFormatting>
  <conditionalFormatting sqref="CE137">
    <cfRule type="expression" dxfId="146" priority="145">
      <formula>_xlfn.ISFORMULA(CE137)</formula>
    </cfRule>
  </conditionalFormatting>
  <conditionalFormatting sqref="CE140">
    <cfRule type="expression" dxfId="145" priority="143">
      <formula>_xlfn.ISFORMULA(CE140)</formula>
    </cfRule>
  </conditionalFormatting>
  <conditionalFormatting sqref="CE117">
    <cfRule type="expression" dxfId="144" priority="148">
      <formula>_xlfn.ISFORMULA(CE117)</formula>
    </cfRule>
  </conditionalFormatting>
  <conditionalFormatting sqref="CE130">
    <cfRule type="expression" dxfId="143" priority="151">
      <formula>_xlfn.ISFORMULA(CE130)</formula>
    </cfRule>
  </conditionalFormatting>
  <conditionalFormatting sqref="CE121">
    <cfRule type="expression" dxfId="142" priority="150">
      <formula>_xlfn.ISFORMULA(CE121)</formula>
    </cfRule>
  </conditionalFormatting>
  <conditionalFormatting sqref="CE120">
    <cfRule type="expression" dxfId="141" priority="149">
      <formula>_xlfn.ISFORMULA(CE120)</formula>
    </cfRule>
  </conditionalFormatting>
  <conditionalFormatting sqref="CE108">
    <cfRule type="expression" dxfId="140" priority="147">
      <formula>_xlfn.ISFORMULA(CE108)</formula>
    </cfRule>
  </conditionalFormatting>
  <conditionalFormatting sqref="CJ32:CJ35 CJ37:CJ52 CJ54:CJ58">
    <cfRule type="expression" dxfId="139" priority="139">
      <formula>_xlfn.ISFORMULA(CJ32)</formula>
    </cfRule>
  </conditionalFormatting>
  <conditionalFormatting sqref="CE112">
    <cfRule type="expression" dxfId="138" priority="141">
      <formula>_xlfn.ISFORMULA(CE112)</formula>
    </cfRule>
  </conditionalFormatting>
  <conditionalFormatting sqref="CJ60:CJ65 CJ69:CJ72">
    <cfRule type="expression" dxfId="137" priority="138">
      <formula>_xlfn.ISFORMULA(CJ60)</formula>
    </cfRule>
  </conditionalFormatting>
  <conditionalFormatting sqref="CJ36">
    <cfRule type="expression" dxfId="136" priority="137">
      <formula>_xlfn.ISFORMULA(CJ36)</formula>
    </cfRule>
  </conditionalFormatting>
  <conditionalFormatting sqref="CJ26:CJ27 CJ15:CJ21 CJ29 CJ8:CJ10">
    <cfRule type="expression" dxfId="135" priority="136">
      <formula>_xlfn.ISFORMULA(CJ8)</formula>
    </cfRule>
  </conditionalFormatting>
  <conditionalFormatting sqref="CJ26:CJ28">
    <cfRule type="expression" dxfId="134" priority="135">
      <formula>_xlfn.ISFORMULA(CJ26)</formula>
    </cfRule>
  </conditionalFormatting>
  <conditionalFormatting sqref="CJ22:CJ24">
    <cfRule type="expression" dxfId="133" priority="133">
      <formula>_xlfn.ISFORMULA(CJ22)</formula>
    </cfRule>
  </conditionalFormatting>
  <conditionalFormatting sqref="CJ25">
    <cfRule type="expression" dxfId="132" priority="132">
      <formula>_xlfn.ISFORMULA(CJ25)</formula>
    </cfRule>
  </conditionalFormatting>
  <conditionalFormatting sqref="CJ24">
    <cfRule type="expression" dxfId="131" priority="134">
      <formula>_xlfn.ISFORMULA(CJ24)</formula>
    </cfRule>
  </conditionalFormatting>
  <conditionalFormatting sqref="CJ11:CJ14">
    <cfRule type="expression" dxfId="130" priority="131">
      <formula>_xlfn.ISFORMULA(CJ11)</formula>
    </cfRule>
  </conditionalFormatting>
  <conditionalFormatting sqref="CJ30:CJ31">
    <cfRule type="expression" dxfId="129" priority="130">
      <formula>_xlfn.ISFORMULA(CJ30)</formula>
    </cfRule>
  </conditionalFormatting>
  <conditionalFormatting sqref="CJ125">
    <cfRule type="expression" dxfId="128" priority="111">
      <formula>_xlfn.ISFORMULA(CJ125)</formula>
    </cfRule>
  </conditionalFormatting>
  <conditionalFormatting sqref="CJ53">
    <cfRule type="expression" dxfId="127" priority="129">
      <formula>_xlfn.ISFORMULA(CJ53)</formula>
    </cfRule>
  </conditionalFormatting>
  <conditionalFormatting sqref="CJ53">
    <cfRule type="expression" dxfId="126" priority="128">
      <formula>_xlfn.ISFORMULA(CJ53)</formula>
    </cfRule>
  </conditionalFormatting>
  <conditionalFormatting sqref="CJ68">
    <cfRule type="expression" dxfId="125" priority="126">
      <formula>_xlfn.ISFORMULA(CJ68)</formula>
    </cfRule>
  </conditionalFormatting>
  <conditionalFormatting sqref="CJ66:CJ67">
    <cfRule type="expression" dxfId="124" priority="127">
      <formula>_xlfn.ISFORMULA(CJ66)</formula>
    </cfRule>
  </conditionalFormatting>
  <conditionalFormatting sqref="CJ89">
    <cfRule type="expression" dxfId="123" priority="125">
      <formula>_xlfn.ISFORMULA(CJ89)</formula>
    </cfRule>
  </conditionalFormatting>
  <conditionalFormatting sqref="CJ73:CJ83">
    <cfRule type="expression" dxfId="122" priority="124">
      <formula>_xlfn.ISFORMULA(CJ73)</formula>
    </cfRule>
  </conditionalFormatting>
  <conditionalFormatting sqref="CJ84:CJ88">
    <cfRule type="expression" dxfId="121" priority="123">
      <formula>_xlfn.ISFORMULA(CJ84)</formula>
    </cfRule>
  </conditionalFormatting>
  <conditionalFormatting sqref="CJ107">
    <cfRule type="expression" dxfId="120" priority="117">
      <formula>_xlfn.ISFORMULA(CJ107)</formula>
    </cfRule>
  </conditionalFormatting>
  <conditionalFormatting sqref="CJ137">
    <cfRule type="expression" dxfId="119" priority="116">
      <formula>_xlfn.ISFORMULA(CJ137)</formula>
    </cfRule>
  </conditionalFormatting>
  <conditionalFormatting sqref="CJ140">
    <cfRule type="expression" dxfId="118" priority="114">
      <formula>_xlfn.ISFORMULA(CJ140)</formula>
    </cfRule>
  </conditionalFormatting>
  <conditionalFormatting sqref="CJ117">
    <cfRule type="expression" dxfId="117" priority="119">
      <formula>_xlfn.ISFORMULA(CJ117)</formula>
    </cfRule>
  </conditionalFormatting>
  <conditionalFormatting sqref="CJ130">
    <cfRule type="expression" dxfId="116" priority="122">
      <formula>_xlfn.ISFORMULA(CJ130)</formula>
    </cfRule>
  </conditionalFormatting>
  <conditionalFormatting sqref="CJ121">
    <cfRule type="expression" dxfId="115" priority="121">
      <formula>_xlfn.ISFORMULA(CJ121)</formula>
    </cfRule>
  </conditionalFormatting>
  <conditionalFormatting sqref="CJ120">
    <cfRule type="expression" dxfId="114" priority="120">
      <formula>_xlfn.ISFORMULA(CJ120)</formula>
    </cfRule>
  </conditionalFormatting>
  <conditionalFormatting sqref="CJ108">
    <cfRule type="expression" dxfId="113" priority="118">
      <formula>_xlfn.ISFORMULA(CJ108)</formula>
    </cfRule>
  </conditionalFormatting>
  <conditionalFormatting sqref="CJ112">
    <cfRule type="expression" dxfId="112" priority="112">
      <formula>_xlfn.ISFORMULA(CJ112)</formula>
    </cfRule>
  </conditionalFormatting>
  <conditionalFormatting sqref="CO60:CO65">
    <cfRule type="expression" dxfId="111" priority="110">
      <formula>_xlfn.ISFORMULA(CO60)</formula>
    </cfRule>
  </conditionalFormatting>
  <conditionalFormatting sqref="CO45:CO48">
    <cfRule type="expression" dxfId="110" priority="108">
      <formula>_xlfn.ISFORMULA(CO45)</formula>
    </cfRule>
  </conditionalFormatting>
  <conditionalFormatting sqref="CO53">
    <cfRule type="expression" dxfId="109" priority="102">
      <formula>_xlfn.ISFORMULA(CO53)</formula>
    </cfRule>
  </conditionalFormatting>
  <conditionalFormatting sqref="CO43">
    <cfRule type="expression" dxfId="108" priority="106">
      <formula>_xlfn.ISFORMULA(CO43)</formula>
    </cfRule>
  </conditionalFormatting>
  <conditionalFormatting sqref="CO40:CO42">
    <cfRule type="expression" dxfId="107" priority="105">
      <formula>_xlfn.ISFORMULA(CO40)</formula>
    </cfRule>
  </conditionalFormatting>
  <conditionalFormatting sqref="CO44:CO50">
    <cfRule type="expression" dxfId="106" priority="109">
      <formula>_xlfn.ISFORMULA(CO44)</formula>
    </cfRule>
  </conditionalFormatting>
  <conditionalFormatting sqref="CO51:CO55">
    <cfRule type="expression" dxfId="105" priority="104">
      <formula>_xlfn.ISFORMULA(CO51)</formula>
    </cfRule>
  </conditionalFormatting>
  <conditionalFormatting sqref="CO56:CO58">
    <cfRule type="expression" dxfId="104" priority="103">
      <formula>_xlfn.ISFORMULA(CO56)</formula>
    </cfRule>
  </conditionalFormatting>
  <conditionalFormatting sqref="CO36:CO39">
    <cfRule type="expression" dxfId="103" priority="107">
      <formula>_xlfn.ISFORMULA(CO36)</formula>
    </cfRule>
  </conditionalFormatting>
  <conditionalFormatting sqref="CO66:CO67">
    <cfRule type="expression" dxfId="102" priority="101">
      <formula>_xlfn.ISFORMULA(CO66)</formula>
    </cfRule>
  </conditionalFormatting>
  <conditionalFormatting sqref="CO68">
    <cfRule type="expression" dxfId="101" priority="100">
      <formula>_xlfn.ISFORMULA(CO68)</formula>
    </cfRule>
  </conditionalFormatting>
  <conditionalFormatting sqref="CO35">
    <cfRule type="expression" dxfId="100" priority="99">
      <formula>_xlfn.ISFORMULA(CO35)</formula>
    </cfRule>
  </conditionalFormatting>
  <conditionalFormatting sqref="CO11:CO13">
    <cfRule type="expression" dxfId="99" priority="98">
      <formula>_xlfn.ISFORMULA(CO11)</formula>
    </cfRule>
  </conditionalFormatting>
  <conditionalFormatting sqref="CO17:CO19">
    <cfRule type="expression" dxfId="98" priority="97">
      <formula>_xlfn.ISFORMULA(CO17)</formula>
    </cfRule>
  </conditionalFormatting>
  <conditionalFormatting sqref="CO22">
    <cfRule type="expression" dxfId="97" priority="96">
      <formula>_xlfn.ISFORMULA(CO22)</formula>
    </cfRule>
  </conditionalFormatting>
  <conditionalFormatting sqref="CO23">
    <cfRule type="expression" dxfId="96" priority="95">
      <formula>_xlfn.ISFORMULA(CO23)</formula>
    </cfRule>
  </conditionalFormatting>
  <conditionalFormatting sqref="CO24">
    <cfRule type="expression" dxfId="95" priority="93">
      <formula>_xlfn.ISFORMULA(CO24)</formula>
    </cfRule>
  </conditionalFormatting>
  <conditionalFormatting sqref="CO24">
    <cfRule type="expression" dxfId="94" priority="94">
      <formula>_xlfn.ISFORMULA(CO24)</formula>
    </cfRule>
  </conditionalFormatting>
  <conditionalFormatting sqref="CO25">
    <cfRule type="expression" dxfId="93" priority="92">
      <formula>_xlfn.ISFORMULA(CO25)</formula>
    </cfRule>
  </conditionalFormatting>
  <conditionalFormatting sqref="CO31">
    <cfRule type="expression" dxfId="92" priority="91">
      <formula>_xlfn.ISFORMULA(CO31)</formula>
    </cfRule>
  </conditionalFormatting>
  <conditionalFormatting sqref="CO147">
    <cfRule type="expression" dxfId="91" priority="75">
      <formula>_xlfn.ISFORMULA(CO147)</formula>
    </cfRule>
  </conditionalFormatting>
  <conditionalFormatting sqref="CO91">
    <cfRule type="expression" dxfId="90" priority="87">
      <formula>_xlfn.ISFORMULA(CO91)</formula>
    </cfRule>
  </conditionalFormatting>
  <conditionalFormatting sqref="CO73:CO83">
    <cfRule type="expression" dxfId="89" priority="86">
      <formula>_xlfn.ISFORMULA(CO73)</formula>
    </cfRule>
  </conditionalFormatting>
  <conditionalFormatting sqref="CO84:CO88">
    <cfRule type="expression" dxfId="88" priority="85">
      <formula>_xlfn.ISFORMULA(CO84)</formula>
    </cfRule>
  </conditionalFormatting>
  <conditionalFormatting sqref="CO94:CO104">
    <cfRule type="expression" dxfId="87" priority="84">
      <formula>_xlfn.ISFORMULA(CO94)</formula>
    </cfRule>
  </conditionalFormatting>
  <conditionalFormatting sqref="CO107:CO117">
    <cfRule type="expression" dxfId="86" priority="83">
      <formula>_xlfn.ISFORMULA(CO107)</formula>
    </cfRule>
  </conditionalFormatting>
  <conditionalFormatting sqref="CO120:CO130">
    <cfRule type="expression" dxfId="85" priority="82">
      <formula>_xlfn.ISFORMULA(CO120)</formula>
    </cfRule>
  </conditionalFormatting>
  <conditionalFormatting sqref="CO140">
    <cfRule type="expression" dxfId="84" priority="79">
      <formula>_xlfn.ISFORMULA(CO140)</formula>
    </cfRule>
  </conditionalFormatting>
  <conditionalFormatting sqref="CO153">
    <cfRule type="expression" dxfId="83" priority="73">
      <formula>_xlfn.ISFORMULA(CO153)</formula>
    </cfRule>
  </conditionalFormatting>
  <conditionalFormatting sqref="D133">
    <cfRule type="expression" dxfId="82" priority="72">
      <formula>_xlfn.ISFORMULA(INDIRECT(OFFSET(F133, 0, $F$2)))</formula>
    </cfRule>
  </conditionalFormatting>
  <conditionalFormatting sqref="C133">
    <cfRule type="expression" dxfId="81" priority="70">
      <formula>NOT(C133="")</formula>
    </cfRule>
  </conditionalFormatting>
  <conditionalFormatting sqref="R135">
    <cfRule type="expression" dxfId="80" priority="69">
      <formula>_xlfn.ISFORMULA(R135)</formula>
    </cfRule>
  </conditionalFormatting>
  <conditionalFormatting sqref="R134">
    <cfRule type="expression" dxfId="79" priority="68">
      <formula>_xlfn.ISFORMULA(R134)</formula>
    </cfRule>
  </conditionalFormatting>
  <conditionalFormatting sqref="W135">
    <cfRule type="expression" dxfId="78" priority="67">
      <formula>_xlfn.ISFORMULA(W135)</formula>
    </cfRule>
  </conditionalFormatting>
  <conditionalFormatting sqref="W134">
    <cfRule type="expression" dxfId="77" priority="66">
      <formula>_xlfn.ISFORMULA(W134)</formula>
    </cfRule>
  </conditionalFormatting>
  <conditionalFormatting sqref="AB135">
    <cfRule type="expression" dxfId="76" priority="65">
      <formula>_xlfn.ISFORMULA(AB135)</formula>
    </cfRule>
  </conditionalFormatting>
  <conditionalFormatting sqref="AB134">
    <cfRule type="expression" dxfId="75" priority="64">
      <formula>_xlfn.ISFORMULA(AB134)</formula>
    </cfRule>
  </conditionalFormatting>
  <conditionalFormatting sqref="AG135">
    <cfRule type="expression" dxfId="74" priority="63">
      <formula>_xlfn.ISFORMULA(AG135)</formula>
    </cfRule>
  </conditionalFormatting>
  <conditionalFormatting sqref="AG134">
    <cfRule type="expression" dxfId="73" priority="62">
      <formula>_xlfn.ISFORMULA(AG134)</formula>
    </cfRule>
  </conditionalFormatting>
  <conditionalFormatting sqref="AL135">
    <cfRule type="expression" dxfId="72" priority="61">
      <formula>_xlfn.ISFORMULA(AL135)</formula>
    </cfRule>
  </conditionalFormatting>
  <conditionalFormatting sqref="AL134">
    <cfRule type="expression" dxfId="71" priority="60">
      <formula>_xlfn.ISFORMULA(AL134)</formula>
    </cfRule>
  </conditionalFormatting>
  <conditionalFormatting sqref="AQ135">
    <cfRule type="expression" dxfId="70" priority="59">
      <formula>_xlfn.ISFORMULA(AQ135)</formula>
    </cfRule>
  </conditionalFormatting>
  <conditionalFormatting sqref="AQ134">
    <cfRule type="expression" dxfId="69" priority="58">
      <formula>_xlfn.ISFORMULA(AQ134)</formula>
    </cfRule>
  </conditionalFormatting>
  <conditionalFormatting sqref="AV135">
    <cfRule type="expression" dxfId="68" priority="57">
      <formula>_xlfn.ISFORMULA(AV135)</formula>
    </cfRule>
  </conditionalFormatting>
  <conditionalFormatting sqref="AV134">
    <cfRule type="expression" dxfId="67" priority="56">
      <formula>_xlfn.ISFORMULA(AV134)</formula>
    </cfRule>
  </conditionalFormatting>
  <conditionalFormatting sqref="BA135">
    <cfRule type="expression" dxfId="66" priority="55">
      <formula>_xlfn.ISFORMULA(BA135)</formula>
    </cfRule>
  </conditionalFormatting>
  <conditionalFormatting sqref="BA134">
    <cfRule type="expression" dxfId="65" priority="54">
      <formula>_xlfn.ISFORMULA(BA134)</formula>
    </cfRule>
  </conditionalFormatting>
  <conditionalFormatting sqref="BF135">
    <cfRule type="expression" dxfId="64" priority="53">
      <formula>_xlfn.ISFORMULA(BF135)</formula>
    </cfRule>
  </conditionalFormatting>
  <conditionalFormatting sqref="BF134">
    <cfRule type="expression" dxfId="63" priority="52">
      <formula>_xlfn.ISFORMULA(BF134)</formula>
    </cfRule>
  </conditionalFormatting>
  <conditionalFormatting sqref="BK135">
    <cfRule type="expression" dxfId="62" priority="51">
      <formula>_xlfn.ISFORMULA(BK135)</formula>
    </cfRule>
  </conditionalFormatting>
  <conditionalFormatting sqref="BK134">
    <cfRule type="expression" dxfId="61" priority="50">
      <formula>_xlfn.ISFORMULA(BK134)</formula>
    </cfRule>
  </conditionalFormatting>
  <conditionalFormatting sqref="BP135">
    <cfRule type="expression" dxfId="60" priority="49">
      <formula>_xlfn.ISFORMULA(BP135)</formula>
    </cfRule>
  </conditionalFormatting>
  <conditionalFormatting sqref="BP134">
    <cfRule type="expression" dxfId="59" priority="48">
      <formula>_xlfn.ISFORMULA(BP134)</formula>
    </cfRule>
  </conditionalFormatting>
  <conditionalFormatting sqref="BU135">
    <cfRule type="expression" dxfId="58" priority="47">
      <formula>_xlfn.ISFORMULA(BU135)</formula>
    </cfRule>
  </conditionalFormatting>
  <conditionalFormatting sqref="BU134">
    <cfRule type="expression" dxfId="57" priority="46">
      <formula>_xlfn.ISFORMULA(BU134)</formula>
    </cfRule>
  </conditionalFormatting>
  <conditionalFormatting sqref="BZ135">
    <cfRule type="expression" dxfId="56" priority="45">
      <formula>_xlfn.ISFORMULA(BZ135)</formula>
    </cfRule>
  </conditionalFormatting>
  <conditionalFormatting sqref="BZ134">
    <cfRule type="expression" dxfId="55" priority="44">
      <formula>_xlfn.ISFORMULA(BZ134)</formula>
    </cfRule>
  </conditionalFormatting>
  <conditionalFormatting sqref="CE135">
    <cfRule type="expression" dxfId="54" priority="43">
      <formula>_xlfn.ISFORMULA(CE135)</formula>
    </cfRule>
  </conditionalFormatting>
  <conditionalFormatting sqref="CE134">
    <cfRule type="expression" dxfId="53" priority="42">
      <formula>_xlfn.ISFORMULA(CE134)</formula>
    </cfRule>
  </conditionalFormatting>
  <conditionalFormatting sqref="CJ135">
    <cfRule type="expression" dxfId="52" priority="41">
      <formula>_xlfn.ISFORMULA(CJ135)</formula>
    </cfRule>
  </conditionalFormatting>
  <conditionalFormatting sqref="CJ134">
    <cfRule type="expression" dxfId="51" priority="40">
      <formula>_xlfn.ISFORMULA(CJ134)</formula>
    </cfRule>
  </conditionalFormatting>
  <conditionalFormatting sqref="CO135">
    <cfRule type="expression" dxfId="50" priority="39">
      <formula>_xlfn.ISFORMULA(CO135)</formula>
    </cfRule>
  </conditionalFormatting>
  <conditionalFormatting sqref="CO134">
    <cfRule type="expression" dxfId="49" priority="38">
      <formula>_xlfn.ISFORMULA(CO134)</formula>
    </cfRule>
  </conditionalFormatting>
  <conditionalFormatting sqref="CO133">
    <cfRule type="expression" dxfId="48" priority="37">
      <formula>_xlfn.ISFORMULA(CO133)</formula>
    </cfRule>
  </conditionalFormatting>
  <conditionalFormatting sqref="E35">
    <cfRule type="expression" dxfId="47" priority="36">
      <formula>NOT(C35="")</formula>
    </cfRule>
  </conditionalFormatting>
  <conditionalFormatting sqref="D136">
    <cfRule type="expression" dxfId="46" priority="35">
      <formula>_xlfn.ISFORMULA(INDIRECT(OFFSET(F136, 0, $F$2)))</formula>
    </cfRule>
  </conditionalFormatting>
  <conditionalFormatting sqref="C136">
    <cfRule type="expression" dxfId="45" priority="34">
      <formula>NOT(C136="")</formula>
    </cfRule>
  </conditionalFormatting>
  <conditionalFormatting sqref="R136">
    <cfRule type="expression" dxfId="44" priority="33">
      <formula>_xlfn.ISFORMULA(R136)</formula>
    </cfRule>
  </conditionalFormatting>
  <conditionalFormatting sqref="W136">
    <cfRule type="expression" dxfId="43" priority="32">
      <formula>_xlfn.ISFORMULA(W136)</formula>
    </cfRule>
  </conditionalFormatting>
  <conditionalFormatting sqref="AB136">
    <cfRule type="expression" dxfId="42" priority="31">
      <formula>_xlfn.ISFORMULA(AB136)</formula>
    </cfRule>
  </conditionalFormatting>
  <conditionalFormatting sqref="AG136">
    <cfRule type="expression" dxfId="41" priority="30">
      <formula>_xlfn.ISFORMULA(AG136)</formula>
    </cfRule>
  </conditionalFormatting>
  <conditionalFormatting sqref="AL136">
    <cfRule type="expression" dxfId="40" priority="29">
      <formula>_xlfn.ISFORMULA(AL136)</formula>
    </cfRule>
  </conditionalFormatting>
  <conditionalFormatting sqref="AQ136">
    <cfRule type="expression" dxfId="39" priority="28">
      <formula>_xlfn.ISFORMULA(AQ136)</formula>
    </cfRule>
  </conditionalFormatting>
  <conditionalFormatting sqref="AV136">
    <cfRule type="expression" dxfId="38" priority="27">
      <formula>_xlfn.ISFORMULA(AV136)</formula>
    </cfRule>
  </conditionalFormatting>
  <conditionalFormatting sqref="BA136">
    <cfRule type="expression" dxfId="37" priority="26">
      <formula>_xlfn.ISFORMULA(BA136)</formula>
    </cfRule>
  </conditionalFormatting>
  <conditionalFormatting sqref="BF136">
    <cfRule type="expression" dxfId="36" priority="25">
      <formula>_xlfn.ISFORMULA(BF136)</formula>
    </cfRule>
  </conditionalFormatting>
  <conditionalFormatting sqref="BK136">
    <cfRule type="expression" dxfId="35" priority="24">
      <formula>_xlfn.ISFORMULA(BK136)</formula>
    </cfRule>
  </conditionalFormatting>
  <conditionalFormatting sqref="BP136">
    <cfRule type="expression" dxfId="34" priority="23">
      <formula>_xlfn.ISFORMULA(BP136)</formula>
    </cfRule>
  </conditionalFormatting>
  <conditionalFormatting sqref="BU136">
    <cfRule type="expression" dxfId="33" priority="22">
      <formula>_xlfn.ISFORMULA(BU136)</formula>
    </cfRule>
  </conditionalFormatting>
  <conditionalFormatting sqref="BZ136">
    <cfRule type="expression" dxfId="32" priority="21">
      <formula>_xlfn.ISFORMULA(BZ136)</formula>
    </cfRule>
  </conditionalFormatting>
  <conditionalFormatting sqref="CE136">
    <cfRule type="expression" dxfId="31" priority="20">
      <formula>_xlfn.ISFORMULA(CE136)</formula>
    </cfRule>
  </conditionalFormatting>
  <conditionalFormatting sqref="CJ136">
    <cfRule type="expression" dxfId="30" priority="19">
      <formula>_xlfn.ISFORMULA(CJ136)</formula>
    </cfRule>
  </conditionalFormatting>
  <conditionalFormatting sqref="CO136">
    <cfRule type="expression" dxfId="29" priority="18">
      <formula>_xlfn.ISFORMULA(CO136)</formula>
    </cfRule>
  </conditionalFormatting>
  <conditionalFormatting sqref="R139">
    <cfRule type="expression" dxfId="28" priority="17">
      <formula>_xlfn.ISFORMULA(R139)</formula>
    </cfRule>
  </conditionalFormatting>
  <conditionalFormatting sqref="CO139">
    <cfRule type="expression" dxfId="27" priority="1">
      <formula>_xlfn.ISFORMULA(CO139)</formula>
    </cfRule>
  </conditionalFormatting>
  <conditionalFormatting sqref="W139">
    <cfRule type="expression" dxfId="26" priority="15">
      <formula>_xlfn.ISFORMULA(W139)</formula>
    </cfRule>
  </conditionalFormatting>
  <conditionalFormatting sqref="AB139">
    <cfRule type="expression" dxfId="25" priority="14">
      <formula>_xlfn.ISFORMULA(AB139)</formula>
    </cfRule>
  </conditionalFormatting>
  <conditionalFormatting sqref="AG139">
    <cfRule type="expression" dxfId="24" priority="13">
      <formula>_xlfn.ISFORMULA(AG139)</formula>
    </cfRule>
  </conditionalFormatting>
  <conditionalFormatting sqref="AL139">
    <cfRule type="expression" dxfId="23" priority="12">
      <formula>_xlfn.ISFORMULA(AL139)</formula>
    </cfRule>
  </conditionalFormatting>
  <conditionalFormatting sqref="AQ139">
    <cfRule type="expression" dxfId="22" priority="11">
      <formula>_xlfn.ISFORMULA(AQ139)</formula>
    </cfRule>
  </conditionalFormatting>
  <conditionalFormatting sqref="AV139">
    <cfRule type="expression" dxfId="21" priority="10">
      <formula>_xlfn.ISFORMULA(AV139)</formula>
    </cfRule>
  </conditionalFormatting>
  <conditionalFormatting sqref="BA139">
    <cfRule type="expression" dxfId="20" priority="9">
      <formula>_xlfn.ISFORMULA(BA139)</formula>
    </cfRule>
  </conditionalFormatting>
  <conditionalFormatting sqref="BF139">
    <cfRule type="expression" dxfId="19" priority="8">
      <formula>_xlfn.ISFORMULA(BF139)</formula>
    </cfRule>
  </conditionalFormatting>
  <conditionalFormatting sqref="BK139">
    <cfRule type="expression" dxfId="18" priority="7">
      <formula>_xlfn.ISFORMULA(BK139)</formula>
    </cfRule>
  </conditionalFormatting>
  <conditionalFormatting sqref="BP139">
    <cfRule type="expression" dxfId="17" priority="6">
      <formula>_xlfn.ISFORMULA(BP139)</formula>
    </cfRule>
  </conditionalFormatting>
  <conditionalFormatting sqref="BU139">
    <cfRule type="expression" dxfId="16" priority="5">
      <formula>_xlfn.ISFORMULA(BU139)</formula>
    </cfRule>
  </conditionalFormatting>
  <conditionalFormatting sqref="BZ139">
    <cfRule type="expression" dxfId="15" priority="4">
      <formula>_xlfn.ISFORMULA(BZ139)</formula>
    </cfRule>
  </conditionalFormatting>
  <conditionalFormatting sqref="CE139">
    <cfRule type="expression" dxfId="14" priority="3">
      <formula>_xlfn.ISFORMULA(CE139)</formula>
    </cfRule>
  </conditionalFormatting>
  <conditionalFormatting sqref="CJ139">
    <cfRule type="expression" dxfId="13" priority="2">
      <formula>_xlfn.ISFORMULA(CJ139)</formula>
    </cfRule>
  </conditionalFormatting>
  <dataValidations count="2">
    <dataValidation type="list" allowBlank="1" showInputMessage="1" showErrorMessage="1" sqref="D34" xr:uid="{00000000-0002-0000-03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F73:F82 E24:E32 E8:E19 E21:E22 E36:E162" xr:uid="{00000000-0002-0000-0300-000001000000}"/>
  </dataValidations>
  <hyperlinks>
    <hyperlink ref="G2" location="Dashboard!A1" display="Dashboard" xr:uid="{00000000-0004-0000-0300-000000000000}"/>
    <hyperlink ref="G3" location="'Summary of Results'!A1" display="Summary of Results" xr:uid="{00000000-0004-0000-0300-000001000000}"/>
    <hyperlink ref="G4" location="Chem!A1" display="Chem" xr:uid="{00000000-0004-0000-0300-000002000000}"/>
    <hyperlink ref="G5" location="'Battery Design'!A1" display="Battery Design" xr:uid="{00000000-0004-0000-0300-000003000000}"/>
    <hyperlink ref="G6" location="BMS!A1" display="BMS" xr:uid="{00000000-0004-0000-0300-000004000000}"/>
    <hyperlink ref="H2" location="'Manufacturing Costs'!A1" display="Manufacturing Costs" xr:uid="{00000000-0004-0000-0300-000005000000}"/>
    <hyperlink ref="H3" location="'Cost Input'!A1" display="Cost Input" xr:uid="{00000000-0004-0000-0300-000006000000}"/>
    <hyperlink ref="H4" location="'Cost Breakdown'!A1" display="Cost Breakdown" xr:uid="{00000000-0004-0000-0300-000007000000}"/>
    <hyperlink ref="H5" location="Recycle!A1" display="Recycle" xr:uid="{00000000-0004-0000-0300-000008000000}"/>
    <hyperlink ref="H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CQ7 CQ9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51"/>
  <sheetViews>
    <sheetView workbookViewId="0">
      <pane ySplit="6" topLeftCell="A7" activePane="bottomLeft" state="frozen"/>
      <selection pane="bottomLeft"/>
    </sheetView>
  </sheetViews>
  <sheetFormatPr defaultColWidth="8.54296875" defaultRowHeight="12.5" x14ac:dyDescent="0.25"/>
  <cols>
    <col min="1" max="1" width="8.54296875" style="353"/>
    <col min="2" max="2" width="37.54296875" style="353" customWidth="1"/>
    <col min="3" max="3" width="12" style="174" customWidth="1"/>
    <col min="4" max="4" width="13.453125" style="353" bestFit="1" customWidth="1"/>
    <col min="5" max="5" width="10.54296875" style="353" customWidth="1"/>
    <col min="6" max="6" width="11.453125" style="353" customWidth="1"/>
    <col min="7" max="7" width="13" style="353" customWidth="1"/>
    <col min="8" max="8" width="11.54296875" style="353" customWidth="1"/>
    <col min="9" max="9" width="15.453125" style="353" customWidth="1"/>
    <col min="10" max="10" width="13.54296875" style="353" bestFit="1" customWidth="1"/>
    <col min="11" max="11" width="11.453125" style="353" bestFit="1" customWidth="1"/>
    <col min="12" max="13" width="11" style="353" bestFit="1" customWidth="1"/>
    <col min="14" max="15" width="17.453125" style="353" bestFit="1" customWidth="1"/>
    <col min="16" max="16" width="26.453125" style="353" customWidth="1"/>
    <col min="17" max="18" width="17.453125" style="353" bestFit="1" customWidth="1"/>
    <col min="19" max="19" width="13.453125" style="353" customWidth="1"/>
    <col min="20" max="16384" width="8.54296875" style="353"/>
  </cols>
  <sheetData>
    <row r="1" spans="2:16" ht="18.5" thickBot="1" x14ac:dyDescent="0.45">
      <c r="B1" s="1490" t="s">
        <v>899</v>
      </c>
      <c r="C1" s="1491"/>
      <c r="D1" s="1491"/>
      <c r="E1" s="1491"/>
      <c r="F1" s="1491"/>
      <c r="G1" s="1491"/>
      <c r="H1" s="1491"/>
      <c r="I1" s="1491"/>
      <c r="J1" s="1491"/>
      <c r="K1" s="1491"/>
      <c r="L1" s="1491"/>
      <c r="M1" s="1491"/>
      <c r="N1" s="1419" t="s">
        <v>6</v>
      </c>
      <c r="O1" s="1420"/>
      <c r="P1"/>
    </row>
    <row r="2" spans="2:16"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c r="P2"/>
    </row>
    <row r="3" spans="2:16" ht="15.5" x14ac:dyDescent="0.35">
      <c r="B3" s="1492" t="s">
        <v>122</v>
      </c>
      <c r="C3" s="1493"/>
      <c r="D3" s="1493"/>
      <c r="E3" s="1493"/>
      <c r="F3" s="1493"/>
      <c r="G3" s="1493"/>
      <c r="H3" s="1493"/>
      <c r="I3" s="1493"/>
      <c r="J3" s="1493"/>
      <c r="K3" s="1493"/>
      <c r="L3" s="1493"/>
      <c r="M3" s="1493"/>
      <c r="N3" s="1243" t="s">
        <v>12</v>
      </c>
      <c r="O3" s="1242" t="s">
        <v>13</v>
      </c>
      <c r="P3"/>
    </row>
    <row r="4" spans="2:16" ht="13" x14ac:dyDescent="0.3">
      <c r="B4" s="1447" t="s">
        <v>282</v>
      </c>
      <c r="C4" s="1468"/>
      <c r="D4" s="1468"/>
      <c r="E4" s="1469"/>
      <c r="F4" s="245"/>
      <c r="G4" s="1448" t="s">
        <v>9</v>
      </c>
      <c r="H4" s="1473"/>
      <c r="I4" s="1473"/>
      <c r="J4" s="1473"/>
      <c r="K4" s="1473"/>
      <c r="L4" s="1473"/>
      <c r="M4" s="1473"/>
      <c r="N4" s="1240" t="s">
        <v>14</v>
      </c>
      <c r="O4" s="1242" t="s">
        <v>15</v>
      </c>
      <c r="P4"/>
    </row>
    <row r="5" spans="2:16" ht="13.5" thickBot="1" x14ac:dyDescent="0.35">
      <c r="B5" s="1450" t="s">
        <v>10</v>
      </c>
      <c r="C5" s="1488"/>
      <c r="D5" s="1488"/>
      <c r="E5" s="1489"/>
      <c r="F5" s="254"/>
      <c r="G5" s="1451" t="s">
        <v>11</v>
      </c>
      <c r="H5" s="1475"/>
      <c r="I5" s="1475"/>
      <c r="J5" s="1475"/>
      <c r="K5" s="1475"/>
      <c r="L5" s="1475"/>
      <c r="M5" s="1475"/>
      <c r="N5" s="1240" t="s">
        <v>17</v>
      </c>
      <c r="O5" s="1246" t="s">
        <v>18</v>
      </c>
      <c r="P5"/>
    </row>
    <row r="6" spans="2:16" ht="16" thickBot="1" x14ac:dyDescent="0.4">
      <c r="B6"/>
      <c r="C6"/>
      <c r="D6"/>
      <c r="E6"/>
      <c r="F6"/>
      <c r="G6" s="443" t="s">
        <v>50</v>
      </c>
      <c r="H6" s="443" t="s">
        <v>51</v>
      </c>
      <c r="I6" s="443" t="s">
        <v>52</v>
      </c>
      <c r="J6" s="443" t="s">
        <v>53</v>
      </c>
      <c r="K6" s="443" t="s">
        <v>54</v>
      </c>
      <c r="L6" s="443" t="s">
        <v>55</v>
      </c>
      <c r="M6" s="443" t="s">
        <v>56</v>
      </c>
      <c r="N6" s="1244" t="s">
        <v>22</v>
      </c>
      <c r="O6" s="1245" t="s">
        <v>23</v>
      </c>
    </row>
    <row r="8" spans="2:16" ht="15.5" x14ac:dyDescent="0.35">
      <c r="B8" s="6" t="s">
        <v>900</v>
      </c>
      <c r="C8" s="353"/>
    </row>
    <row r="9" spans="2:16" x14ac:dyDescent="0.25">
      <c r="B9" s="9" t="s">
        <v>73</v>
      </c>
      <c r="C9" s="190"/>
      <c r="D9" s="9"/>
      <c r="E9" s="9"/>
      <c r="F9" s="9"/>
      <c r="G9" s="238">
        <f>'Battery Design'!G25</f>
        <v>20</v>
      </c>
      <c r="H9" s="238">
        <f>'Battery Design'!H25</f>
        <v>20</v>
      </c>
      <c r="I9" s="238">
        <f>'Battery Design'!I25</f>
        <v>20</v>
      </c>
      <c r="J9" s="458">
        <f>'Battery Design'!J25</f>
        <v>20</v>
      </c>
      <c r="K9" s="458">
        <f>'Battery Design'!K25</f>
        <v>20</v>
      </c>
      <c r="L9" s="458">
        <f>'Battery Design'!L25</f>
        <v>20</v>
      </c>
      <c r="M9" s="458">
        <f>'Battery Design'!M25</f>
        <v>20</v>
      </c>
    </row>
    <row r="10" spans="2:16" x14ac:dyDescent="0.25">
      <c r="B10" s="9" t="s">
        <v>74</v>
      </c>
      <c r="C10" s="190"/>
      <c r="D10" s="9"/>
      <c r="E10" s="9"/>
      <c r="F10" s="9"/>
      <c r="G10" s="238">
        <f>'Battery Design'!G26</f>
        <v>2</v>
      </c>
      <c r="H10" s="238">
        <f>'Battery Design'!H26</f>
        <v>2</v>
      </c>
      <c r="I10" s="238">
        <f>'Battery Design'!I26</f>
        <v>2</v>
      </c>
      <c r="J10" s="458">
        <f>'Battery Design'!J26</f>
        <v>2</v>
      </c>
      <c r="K10" s="458">
        <f>'Battery Design'!K26</f>
        <v>2</v>
      </c>
      <c r="L10" s="458">
        <f>'Battery Design'!L26</f>
        <v>2</v>
      </c>
      <c r="M10" s="458">
        <f>'Battery Design'!M26</f>
        <v>2</v>
      </c>
    </row>
    <row r="11" spans="2:16" x14ac:dyDescent="0.25">
      <c r="B11" s="353" t="s">
        <v>75</v>
      </c>
      <c r="G11" s="458">
        <f>'Battery Design'!G27</f>
        <v>5</v>
      </c>
      <c r="H11" s="458">
        <f>'Battery Design'!H27</f>
        <v>5</v>
      </c>
      <c r="I11" s="458">
        <f>'Battery Design'!I27</f>
        <v>5</v>
      </c>
      <c r="J11" s="458">
        <f>'Battery Design'!J27</f>
        <v>5</v>
      </c>
      <c r="K11" s="458">
        <f>'Battery Design'!K27</f>
        <v>5</v>
      </c>
      <c r="L11" s="458">
        <f>'Battery Design'!L27</f>
        <v>5</v>
      </c>
      <c r="M11" s="458">
        <f>'Battery Design'!M27</f>
        <v>5</v>
      </c>
    </row>
    <row r="12" spans="2:16" x14ac:dyDescent="0.25">
      <c r="B12" s="353" t="s">
        <v>76</v>
      </c>
      <c r="G12" s="458">
        <f>'Battery Design'!G28</f>
        <v>4</v>
      </c>
      <c r="H12" s="458">
        <f>'Battery Design'!H28</f>
        <v>4</v>
      </c>
      <c r="I12" s="458">
        <f>'Battery Design'!I28</f>
        <v>4</v>
      </c>
      <c r="J12" s="458">
        <f>'Battery Design'!J28</f>
        <v>4</v>
      </c>
      <c r="K12" s="458">
        <f>'Battery Design'!K28</f>
        <v>4</v>
      </c>
      <c r="L12" s="458">
        <f>'Battery Design'!L28</f>
        <v>4</v>
      </c>
      <c r="M12" s="458">
        <f>'Battery Design'!M28</f>
        <v>4</v>
      </c>
    </row>
    <row r="13" spans="2:16" x14ac:dyDescent="0.25">
      <c r="B13" s="353" t="s">
        <v>901</v>
      </c>
      <c r="G13" s="458">
        <f>'Battery Design'!G29</f>
        <v>20</v>
      </c>
      <c r="H13" s="458">
        <f>'Battery Design'!H29</f>
        <v>20</v>
      </c>
      <c r="I13" s="458">
        <f>'Battery Design'!I29</f>
        <v>20</v>
      </c>
      <c r="J13" s="458">
        <f>'Battery Design'!J29</f>
        <v>20</v>
      </c>
      <c r="K13" s="458">
        <f>'Battery Design'!K29</f>
        <v>20</v>
      </c>
      <c r="L13" s="458">
        <f>'Battery Design'!L29</f>
        <v>20</v>
      </c>
      <c r="M13" s="458">
        <f>'Battery Design'!M29</f>
        <v>20</v>
      </c>
    </row>
    <row r="14" spans="2:16" x14ac:dyDescent="0.25">
      <c r="B14" s="353" t="s">
        <v>77</v>
      </c>
      <c r="G14" s="458">
        <f>'Battery Design'!G30</f>
        <v>2</v>
      </c>
      <c r="H14" s="458">
        <f>'Battery Design'!H30</f>
        <v>2</v>
      </c>
      <c r="I14" s="458">
        <f>'Battery Design'!I30</f>
        <v>2</v>
      </c>
      <c r="J14" s="458">
        <f>'Battery Design'!J30</f>
        <v>2</v>
      </c>
      <c r="K14" s="458">
        <f>'Battery Design'!K30</f>
        <v>2</v>
      </c>
      <c r="L14" s="458">
        <f>'Battery Design'!L30</f>
        <v>2</v>
      </c>
      <c r="M14" s="458">
        <f>'Battery Design'!M30</f>
        <v>2</v>
      </c>
    </row>
    <row r="15" spans="2:16" x14ac:dyDescent="0.25">
      <c r="B15" s="353" t="s">
        <v>902</v>
      </c>
      <c r="G15" s="87">
        <f>'Battery Design'!G31</f>
        <v>400</v>
      </c>
      <c r="H15" s="87">
        <f>'Battery Design'!H31</f>
        <v>400</v>
      </c>
      <c r="I15" s="87">
        <f>'Battery Design'!I31</f>
        <v>400</v>
      </c>
      <c r="J15" s="87">
        <f>'Battery Design'!J31</f>
        <v>400</v>
      </c>
      <c r="K15" s="87">
        <f>'Battery Design'!K31</f>
        <v>400</v>
      </c>
      <c r="L15" s="87">
        <f>'Battery Design'!L31</f>
        <v>400</v>
      </c>
      <c r="M15" s="87">
        <f>'Battery Design'!M31</f>
        <v>400</v>
      </c>
    </row>
    <row r="16" spans="2:16" x14ac:dyDescent="0.25">
      <c r="B16" s="353" t="s">
        <v>903</v>
      </c>
      <c r="G16" s="84">
        <f ca="1">'Battery Design'!G35</f>
        <v>68.179107463097623</v>
      </c>
      <c r="H16" s="84">
        <f ca="1">'Battery Design'!H35</f>
        <v>68.179107463097623</v>
      </c>
      <c r="I16" s="84">
        <f ca="1">'Battery Design'!I35</f>
        <v>68.097779848719952</v>
      </c>
      <c r="J16" s="84">
        <f ca="1">'Battery Design'!J35</f>
        <v>67.997707324430706</v>
      </c>
      <c r="K16" s="84">
        <f ca="1">'Battery Design'!K35</f>
        <v>67.882072882751757</v>
      </c>
      <c r="L16" s="84">
        <f ca="1">'Battery Design'!L35</f>
        <v>67.743621748620214</v>
      </c>
      <c r="M16" s="84">
        <f ca="1">'Battery Design'!M35</f>
        <v>67.561046766653277</v>
      </c>
    </row>
    <row r="17" spans="2:14" x14ac:dyDescent="0.25">
      <c r="B17" s="353" t="s">
        <v>202</v>
      </c>
      <c r="G17" s="84">
        <f ca="1">'Battery Design'!G35</f>
        <v>68.179107463097623</v>
      </c>
      <c r="H17" s="84">
        <f ca="1">'Battery Design'!H35</f>
        <v>68.179107463097623</v>
      </c>
      <c r="I17" s="84">
        <f ca="1">'Battery Design'!I35</f>
        <v>68.097779848719952</v>
      </c>
      <c r="J17" s="84">
        <f ca="1">'Battery Design'!J35</f>
        <v>67.997707324430706</v>
      </c>
      <c r="K17" s="84">
        <f ca="1">'Battery Design'!K35</f>
        <v>67.882072882751757</v>
      </c>
      <c r="L17" s="84">
        <f ca="1">'Battery Design'!L35</f>
        <v>67.743621748620214</v>
      </c>
      <c r="M17" s="84">
        <f ca="1">'Battery Design'!M35</f>
        <v>67.561046766653277</v>
      </c>
    </row>
    <row r="18" spans="2:14" x14ac:dyDescent="0.25">
      <c r="B18" s="353" t="s">
        <v>180</v>
      </c>
      <c r="G18" s="84">
        <f ca="1">'Battery Design'!G36</f>
        <v>136.35821492619525</v>
      </c>
      <c r="H18" s="84">
        <f ca="1">'Battery Design'!H36</f>
        <v>136.35821492619525</v>
      </c>
      <c r="I18" s="84">
        <f ca="1">'Battery Design'!I36</f>
        <v>136.1955596974399</v>
      </c>
      <c r="J18" s="84">
        <f ca="1">'Battery Design'!J36</f>
        <v>135.99541464886141</v>
      </c>
      <c r="K18" s="84">
        <f ca="1">'Battery Design'!K36</f>
        <v>135.76414576550351</v>
      </c>
      <c r="L18" s="84">
        <f ca="1">'Battery Design'!L36</f>
        <v>135.48724349724043</v>
      </c>
      <c r="M18" s="84">
        <f ca="1">'Battery Design'!M36</f>
        <v>135.12209353330655</v>
      </c>
    </row>
    <row r="19" spans="2:14" x14ac:dyDescent="0.25">
      <c r="B19" s="353" t="s">
        <v>904</v>
      </c>
      <c r="G19" s="87">
        <f ca="1">'Battery Design'!G220</f>
        <v>421.80603918239956</v>
      </c>
      <c r="H19" s="87">
        <f ca="1">'Battery Design'!H220</f>
        <v>421.80603918239956</v>
      </c>
      <c r="I19" s="87">
        <f ca="1">'Battery Design'!I220</f>
        <v>421.80603918239956</v>
      </c>
      <c r="J19" s="87">
        <f ca="1">'Battery Design'!J220</f>
        <v>421.80603918239956</v>
      </c>
      <c r="K19" s="87">
        <f ca="1">'Battery Design'!K220</f>
        <v>421.80603918239956</v>
      </c>
      <c r="L19" s="87">
        <f ca="1">'Battery Design'!L220</f>
        <v>421.80603918239956</v>
      </c>
      <c r="M19" s="87">
        <f ca="1">'Battery Design'!M220</f>
        <v>421.80603918239956</v>
      </c>
    </row>
    <row r="20" spans="2:14" x14ac:dyDescent="0.25">
      <c r="B20" s="353" t="s">
        <v>905</v>
      </c>
      <c r="G20" s="87">
        <f ca="1">'Battery Design'!G16</f>
        <v>371.32048846307276</v>
      </c>
      <c r="H20" s="87">
        <f ca="1">'Battery Design'!H16</f>
        <v>371.32048846307276</v>
      </c>
      <c r="I20" s="87">
        <f ca="1">'Battery Design'!I16</f>
        <v>371.32048846307276</v>
      </c>
      <c r="J20" s="87">
        <f ca="1">'Battery Design'!J16</f>
        <v>371.32048846307276</v>
      </c>
      <c r="K20" s="87">
        <f ca="1">'Battery Design'!K16</f>
        <v>371.32048846307276</v>
      </c>
      <c r="L20" s="87">
        <f ca="1">'Battery Design'!L16</f>
        <v>371.32048846307276</v>
      </c>
      <c r="M20" s="87">
        <f ca="1">'Battery Design'!M16</f>
        <v>371.32048846307276</v>
      </c>
    </row>
    <row r="21" spans="2:14" x14ac:dyDescent="0.25">
      <c r="B21" s="353" t="s">
        <v>906</v>
      </c>
      <c r="G21" s="174">
        <f>G9/G10*G13/G14</f>
        <v>100</v>
      </c>
      <c r="H21" s="174">
        <f t="shared" ref="H21:M21" si="0">H9/H10*H13/H14</f>
        <v>100</v>
      </c>
      <c r="I21" s="174">
        <f t="shared" si="0"/>
        <v>100</v>
      </c>
      <c r="J21" s="174">
        <f t="shared" si="0"/>
        <v>100</v>
      </c>
      <c r="K21" s="174">
        <f t="shared" si="0"/>
        <v>100</v>
      </c>
      <c r="L21" s="174">
        <f t="shared" si="0"/>
        <v>100</v>
      </c>
      <c r="M21" s="174">
        <f t="shared" si="0"/>
        <v>100</v>
      </c>
    </row>
    <row r="22" spans="2:14" x14ac:dyDescent="0.25">
      <c r="B22" s="353" t="s">
        <v>907</v>
      </c>
      <c r="G22" s="459">
        <v>10</v>
      </c>
      <c r="H22" s="459">
        <v>10</v>
      </c>
      <c r="I22" s="459">
        <v>10</v>
      </c>
      <c r="J22" s="459">
        <v>10</v>
      </c>
      <c r="K22" s="459">
        <v>10</v>
      </c>
      <c r="L22" s="459">
        <v>10</v>
      </c>
      <c r="M22" s="459">
        <v>10</v>
      </c>
    </row>
    <row r="23" spans="2:14" ht="13" x14ac:dyDescent="0.3">
      <c r="B23" s="353" t="s">
        <v>908</v>
      </c>
      <c r="G23" s="174">
        <f>ROUNDUP(G21/G22,0)</f>
        <v>10</v>
      </c>
      <c r="H23" s="174">
        <f t="shared" ref="H23:M23" si="1">ROUNDUP(H21/H22,0)</f>
        <v>10</v>
      </c>
      <c r="I23" s="174">
        <f t="shared" si="1"/>
        <v>10</v>
      </c>
      <c r="J23" s="174">
        <f t="shared" si="1"/>
        <v>10</v>
      </c>
      <c r="K23" s="174">
        <f t="shared" si="1"/>
        <v>10</v>
      </c>
      <c r="L23" s="174">
        <f t="shared" si="1"/>
        <v>10</v>
      </c>
      <c r="M23" s="174">
        <f t="shared" si="1"/>
        <v>10</v>
      </c>
      <c r="N23" s="737"/>
    </row>
    <row r="24" spans="2:14" x14ac:dyDescent="0.25">
      <c r="B24" s="353" t="s">
        <v>909</v>
      </c>
      <c r="G24" s="1281">
        <f>Dashboard!D105</f>
        <v>500000</v>
      </c>
      <c r="H24" s="1281">
        <f>Dashboard!E105</f>
        <v>500000</v>
      </c>
      <c r="I24" s="1281">
        <f>Dashboard!F105</f>
        <v>500000</v>
      </c>
      <c r="J24" s="1281">
        <f>Dashboard!G105</f>
        <v>500000</v>
      </c>
      <c r="K24" s="1281">
        <f>Dashboard!H105</f>
        <v>500000</v>
      </c>
      <c r="L24" s="1281">
        <f>Dashboard!I105</f>
        <v>500000</v>
      </c>
      <c r="M24" s="1281">
        <f>Dashboard!J105</f>
        <v>500000</v>
      </c>
    </row>
    <row r="25" spans="2:14" ht="13" thickBot="1" x14ac:dyDescent="0.3">
      <c r="C25" s="454"/>
      <c r="D25" s="454"/>
      <c r="E25" s="454"/>
      <c r="F25" s="454"/>
      <c r="G25" s="454"/>
      <c r="H25" s="454"/>
      <c r="I25" s="454"/>
    </row>
    <row r="26" spans="2:14" ht="20.5" thickBot="1" x14ac:dyDescent="0.45">
      <c r="B26" s="1453" t="s">
        <v>910</v>
      </c>
      <c r="C26" s="1454"/>
      <c r="D26" s="1454"/>
      <c r="E26" s="1454"/>
      <c r="F26" s="1454"/>
      <c r="G26" s="1454"/>
      <c r="H26" s="1454"/>
      <c r="I26" s="1454"/>
      <c r="J26" s="1454"/>
      <c r="K26" s="1454"/>
      <c r="L26" s="1454"/>
      <c r="M26" s="1455"/>
    </row>
    <row r="28" spans="2:14" ht="15.5" x14ac:dyDescent="0.35">
      <c r="B28" s="105" t="s">
        <v>911</v>
      </c>
      <c r="C28" s="105"/>
      <c r="D28" s="105"/>
      <c r="E28" s="105"/>
      <c r="F28" s="105"/>
      <c r="G28" s="105"/>
      <c r="H28" s="105"/>
      <c r="I28" s="105"/>
    </row>
    <row r="29" spans="2:14" ht="14.5" x14ac:dyDescent="0.35">
      <c r="B29" s="667" t="s">
        <v>912</v>
      </c>
      <c r="C29" s="732"/>
      <c r="D29" s="732"/>
      <c r="E29" s="732"/>
      <c r="F29" s="732"/>
      <c r="G29" s="732"/>
      <c r="H29" s="732"/>
      <c r="I29" s="732"/>
    </row>
    <row r="30" spans="2:14" x14ac:dyDescent="0.25">
      <c r="B30" s="353" t="s">
        <v>913</v>
      </c>
      <c r="C30" s="353"/>
      <c r="G30" s="353">
        <f t="shared" ref="G30:M39" si="2">$I160*($F160 + ROUNDUP(G$23*$G160 - $H160, 0))</f>
        <v>1</v>
      </c>
      <c r="H30" s="353">
        <f t="shared" si="2"/>
        <v>1</v>
      </c>
      <c r="I30" s="353">
        <f t="shared" si="2"/>
        <v>1</v>
      </c>
      <c r="J30" s="353">
        <f t="shared" si="2"/>
        <v>1</v>
      </c>
      <c r="K30" s="353">
        <f t="shared" si="2"/>
        <v>1</v>
      </c>
      <c r="L30" s="353">
        <f t="shared" si="2"/>
        <v>1</v>
      </c>
      <c r="M30" s="353">
        <f t="shared" si="2"/>
        <v>1</v>
      </c>
    </row>
    <row r="31" spans="2:14" x14ac:dyDescent="0.25">
      <c r="B31" s="353" t="s">
        <v>914</v>
      </c>
      <c r="C31" s="353"/>
      <c r="G31" s="353">
        <f>$I161*($F161 + ROUNDUP(G$23*$G161 - $H161, 0))</f>
        <v>6</v>
      </c>
      <c r="H31" s="353">
        <f t="shared" si="2"/>
        <v>6</v>
      </c>
      <c r="I31" s="353">
        <f t="shared" si="2"/>
        <v>6</v>
      </c>
      <c r="J31" s="353">
        <f t="shared" si="2"/>
        <v>6</v>
      </c>
      <c r="K31" s="353">
        <f t="shared" si="2"/>
        <v>6</v>
      </c>
      <c r="L31" s="353">
        <f t="shared" si="2"/>
        <v>6</v>
      </c>
      <c r="M31" s="353">
        <f t="shared" si="2"/>
        <v>6</v>
      </c>
    </row>
    <row r="32" spans="2:14" x14ac:dyDescent="0.25">
      <c r="B32" s="353" t="s">
        <v>915</v>
      </c>
      <c r="C32" s="353"/>
      <c r="G32" s="353">
        <f t="shared" si="2"/>
        <v>1</v>
      </c>
      <c r="H32" s="353">
        <f t="shared" si="2"/>
        <v>1</v>
      </c>
      <c r="I32" s="353">
        <f t="shared" si="2"/>
        <v>1</v>
      </c>
      <c r="J32" s="353">
        <f t="shared" si="2"/>
        <v>1</v>
      </c>
      <c r="K32" s="353">
        <f t="shared" si="2"/>
        <v>1</v>
      </c>
      <c r="L32" s="353">
        <f t="shared" si="2"/>
        <v>1</v>
      </c>
      <c r="M32" s="353">
        <f t="shared" si="2"/>
        <v>1</v>
      </c>
    </row>
    <row r="33" spans="2:13" x14ac:dyDescent="0.25">
      <c r="B33" s="353" t="s">
        <v>916</v>
      </c>
      <c r="C33" s="353"/>
      <c r="G33" s="353">
        <f t="shared" si="2"/>
        <v>4</v>
      </c>
      <c r="H33" s="353">
        <f t="shared" si="2"/>
        <v>4</v>
      </c>
      <c r="I33" s="353">
        <f t="shared" si="2"/>
        <v>4</v>
      </c>
      <c r="J33" s="353">
        <f t="shared" si="2"/>
        <v>4</v>
      </c>
      <c r="K33" s="353">
        <f t="shared" si="2"/>
        <v>4</v>
      </c>
      <c r="L33" s="353">
        <f t="shared" si="2"/>
        <v>4</v>
      </c>
      <c r="M33" s="353">
        <f t="shared" si="2"/>
        <v>4</v>
      </c>
    </row>
    <row r="34" spans="2:13" x14ac:dyDescent="0.25">
      <c r="B34" s="353" t="s">
        <v>917</v>
      </c>
      <c r="C34" s="353"/>
      <c r="G34" s="353">
        <f t="shared" si="2"/>
        <v>1</v>
      </c>
      <c r="H34" s="353">
        <f t="shared" si="2"/>
        <v>1</v>
      </c>
      <c r="I34" s="353">
        <f t="shared" si="2"/>
        <v>1</v>
      </c>
      <c r="J34" s="353">
        <f t="shared" si="2"/>
        <v>1</v>
      </c>
      <c r="K34" s="353">
        <f t="shared" si="2"/>
        <v>1</v>
      </c>
      <c r="L34" s="353">
        <f t="shared" si="2"/>
        <v>1</v>
      </c>
      <c r="M34" s="353">
        <f t="shared" si="2"/>
        <v>1</v>
      </c>
    </row>
    <row r="35" spans="2:13" x14ac:dyDescent="0.25">
      <c r="B35" s="353" t="s">
        <v>918</v>
      </c>
      <c r="C35" s="353"/>
      <c r="G35" s="353">
        <f t="shared" si="2"/>
        <v>11</v>
      </c>
      <c r="H35" s="353">
        <f t="shared" si="2"/>
        <v>11</v>
      </c>
      <c r="I35" s="353">
        <f t="shared" si="2"/>
        <v>11</v>
      </c>
      <c r="J35" s="353">
        <f t="shared" si="2"/>
        <v>11</v>
      </c>
      <c r="K35" s="353">
        <f t="shared" si="2"/>
        <v>11</v>
      </c>
      <c r="L35" s="353">
        <f t="shared" si="2"/>
        <v>11</v>
      </c>
      <c r="M35" s="353">
        <f t="shared" si="2"/>
        <v>11</v>
      </c>
    </row>
    <row r="36" spans="2:13" x14ac:dyDescent="0.25">
      <c r="B36" s="353" t="s">
        <v>919</v>
      </c>
      <c r="C36" s="353"/>
      <c r="G36" s="353">
        <f t="shared" si="2"/>
        <v>1</v>
      </c>
      <c r="H36" s="353">
        <f t="shared" si="2"/>
        <v>1</v>
      </c>
      <c r="I36" s="353">
        <f t="shared" si="2"/>
        <v>1</v>
      </c>
      <c r="J36" s="353">
        <f t="shared" si="2"/>
        <v>1</v>
      </c>
      <c r="K36" s="353">
        <f t="shared" si="2"/>
        <v>1</v>
      </c>
      <c r="L36" s="353">
        <f t="shared" si="2"/>
        <v>1</v>
      </c>
      <c r="M36" s="353">
        <f t="shared" si="2"/>
        <v>1</v>
      </c>
    </row>
    <row r="37" spans="2:13" x14ac:dyDescent="0.25">
      <c r="B37" s="353" t="s">
        <v>920</v>
      </c>
      <c r="C37" s="353"/>
      <c r="G37" s="353">
        <f t="shared" si="2"/>
        <v>10</v>
      </c>
      <c r="H37" s="353">
        <f t="shared" si="2"/>
        <v>10</v>
      </c>
      <c r="I37" s="353">
        <f t="shared" si="2"/>
        <v>10</v>
      </c>
      <c r="J37" s="353">
        <f t="shared" si="2"/>
        <v>10</v>
      </c>
      <c r="K37" s="353">
        <f t="shared" si="2"/>
        <v>10</v>
      </c>
      <c r="L37" s="353">
        <f t="shared" si="2"/>
        <v>10</v>
      </c>
      <c r="M37" s="353">
        <f t="shared" si="2"/>
        <v>10</v>
      </c>
    </row>
    <row r="38" spans="2:13" x14ac:dyDescent="0.25">
      <c r="B38" s="353" t="s">
        <v>921</v>
      </c>
      <c r="C38" s="353"/>
      <c r="G38" s="353">
        <f t="shared" si="2"/>
        <v>10</v>
      </c>
      <c r="H38" s="353">
        <f t="shared" si="2"/>
        <v>10</v>
      </c>
      <c r="I38" s="353">
        <f t="shared" si="2"/>
        <v>10</v>
      </c>
      <c r="J38" s="353">
        <f t="shared" si="2"/>
        <v>10</v>
      </c>
      <c r="K38" s="353">
        <f t="shared" si="2"/>
        <v>10</v>
      </c>
      <c r="L38" s="353">
        <f t="shared" si="2"/>
        <v>10</v>
      </c>
      <c r="M38" s="353">
        <f t="shared" si="2"/>
        <v>10</v>
      </c>
    </row>
    <row r="39" spans="2:13" x14ac:dyDescent="0.25">
      <c r="B39" s="353" t="s">
        <v>922</v>
      </c>
      <c r="C39" s="353"/>
      <c r="G39" s="353">
        <f t="shared" si="2"/>
        <v>4</v>
      </c>
      <c r="H39" s="353">
        <f t="shared" si="2"/>
        <v>4</v>
      </c>
      <c r="I39" s="353">
        <f t="shared" si="2"/>
        <v>4</v>
      </c>
      <c r="J39" s="353">
        <f t="shared" si="2"/>
        <v>4</v>
      </c>
      <c r="K39" s="353">
        <f t="shared" si="2"/>
        <v>4</v>
      </c>
      <c r="L39" s="353">
        <f t="shared" si="2"/>
        <v>4</v>
      </c>
      <c r="M39" s="353">
        <f t="shared" si="2"/>
        <v>4</v>
      </c>
    </row>
    <row r="40" spans="2:13" x14ac:dyDescent="0.25">
      <c r="B40" s="353" t="s">
        <v>923</v>
      </c>
      <c r="C40" s="353"/>
      <c r="G40" s="353">
        <f t="shared" ref="G40:M49" si="3">$I170*($F170 + ROUNDUP(G$23*$G170 - $H170, 0))</f>
        <v>3</v>
      </c>
      <c r="H40" s="353">
        <f t="shared" si="3"/>
        <v>3</v>
      </c>
      <c r="I40" s="353">
        <f t="shared" si="3"/>
        <v>3</v>
      </c>
      <c r="J40" s="353">
        <f t="shared" si="3"/>
        <v>3</v>
      </c>
      <c r="K40" s="353">
        <f t="shared" si="3"/>
        <v>3</v>
      </c>
      <c r="L40" s="353">
        <f t="shared" si="3"/>
        <v>3</v>
      </c>
      <c r="M40" s="353">
        <f t="shared" si="3"/>
        <v>3</v>
      </c>
    </row>
    <row r="41" spans="2:13" x14ac:dyDescent="0.25">
      <c r="B41" s="353" t="s">
        <v>924</v>
      </c>
      <c r="C41" s="353"/>
      <c r="G41" s="353">
        <f t="shared" si="3"/>
        <v>10</v>
      </c>
      <c r="H41" s="353">
        <f t="shared" si="3"/>
        <v>10</v>
      </c>
      <c r="I41" s="353">
        <f t="shared" si="3"/>
        <v>10</v>
      </c>
      <c r="J41" s="353">
        <f t="shared" si="3"/>
        <v>10</v>
      </c>
      <c r="K41" s="353">
        <f t="shared" si="3"/>
        <v>10</v>
      </c>
      <c r="L41" s="353">
        <f t="shared" si="3"/>
        <v>10</v>
      </c>
      <c r="M41" s="353">
        <f t="shared" si="3"/>
        <v>10</v>
      </c>
    </row>
    <row r="42" spans="2:13" x14ac:dyDescent="0.25">
      <c r="B42" s="353" t="s">
        <v>925</v>
      </c>
      <c r="C42" s="353"/>
      <c r="G42" s="353">
        <f t="shared" si="3"/>
        <v>1</v>
      </c>
      <c r="H42" s="353">
        <f t="shared" si="3"/>
        <v>1</v>
      </c>
      <c r="I42" s="353">
        <f t="shared" si="3"/>
        <v>1</v>
      </c>
      <c r="J42" s="353">
        <f t="shared" si="3"/>
        <v>1</v>
      </c>
      <c r="K42" s="353">
        <f t="shared" si="3"/>
        <v>1</v>
      </c>
      <c r="L42" s="353">
        <f t="shared" si="3"/>
        <v>1</v>
      </c>
      <c r="M42" s="353">
        <f t="shared" si="3"/>
        <v>1</v>
      </c>
    </row>
    <row r="43" spans="2:13" x14ac:dyDescent="0.25">
      <c r="B43" s="353" t="s">
        <v>926</v>
      </c>
      <c r="C43" s="353"/>
      <c r="G43" s="353">
        <f t="shared" si="3"/>
        <v>12</v>
      </c>
      <c r="H43" s="353">
        <f t="shared" si="3"/>
        <v>12</v>
      </c>
      <c r="I43" s="353">
        <f t="shared" si="3"/>
        <v>12</v>
      </c>
      <c r="J43" s="353">
        <f t="shared" si="3"/>
        <v>12</v>
      </c>
      <c r="K43" s="353">
        <f t="shared" si="3"/>
        <v>12</v>
      </c>
      <c r="L43" s="353">
        <f t="shared" si="3"/>
        <v>12</v>
      </c>
      <c r="M43" s="353">
        <f t="shared" si="3"/>
        <v>12</v>
      </c>
    </row>
    <row r="44" spans="2:13" x14ac:dyDescent="0.25">
      <c r="B44" s="353" t="s">
        <v>927</v>
      </c>
      <c r="C44" s="353"/>
      <c r="G44" s="353">
        <f t="shared" si="3"/>
        <v>5</v>
      </c>
      <c r="H44" s="353">
        <f t="shared" si="3"/>
        <v>5</v>
      </c>
      <c r="I44" s="353">
        <f t="shared" si="3"/>
        <v>5</v>
      </c>
      <c r="J44" s="353">
        <f t="shared" si="3"/>
        <v>5</v>
      </c>
      <c r="K44" s="353">
        <f t="shared" si="3"/>
        <v>5</v>
      </c>
      <c r="L44" s="353">
        <f t="shared" si="3"/>
        <v>5</v>
      </c>
      <c r="M44" s="353">
        <f t="shared" si="3"/>
        <v>5</v>
      </c>
    </row>
    <row r="45" spans="2:13" x14ac:dyDescent="0.25">
      <c r="B45" s="353" t="s">
        <v>928</v>
      </c>
      <c r="C45" s="353"/>
      <c r="G45" s="353">
        <f t="shared" si="3"/>
        <v>4</v>
      </c>
      <c r="H45" s="353">
        <f t="shared" si="3"/>
        <v>4</v>
      </c>
      <c r="I45" s="353">
        <f t="shared" si="3"/>
        <v>4</v>
      </c>
      <c r="J45" s="353">
        <f t="shared" si="3"/>
        <v>4</v>
      </c>
      <c r="K45" s="353">
        <f t="shared" si="3"/>
        <v>4</v>
      </c>
      <c r="L45" s="353">
        <f t="shared" si="3"/>
        <v>4</v>
      </c>
      <c r="M45" s="353">
        <f t="shared" si="3"/>
        <v>4</v>
      </c>
    </row>
    <row r="46" spans="2:13" x14ac:dyDescent="0.25">
      <c r="B46" s="353" t="s">
        <v>929</v>
      </c>
      <c r="C46" s="353"/>
      <c r="G46" s="353">
        <f t="shared" si="3"/>
        <v>1</v>
      </c>
      <c r="H46" s="353">
        <f t="shared" si="3"/>
        <v>1</v>
      </c>
      <c r="I46" s="353">
        <f t="shared" si="3"/>
        <v>1</v>
      </c>
      <c r="J46" s="353">
        <f t="shared" si="3"/>
        <v>1</v>
      </c>
      <c r="K46" s="353">
        <f t="shared" si="3"/>
        <v>1</v>
      </c>
      <c r="L46" s="353">
        <f t="shared" si="3"/>
        <v>1</v>
      </c>
      <c r="M46" s="353">
        <f t="shared" si="3"/>
        <v>1</v>
      </c>
    </row>
    <row r="47" spans="2:13" x14ac:dyDescent="0.25">
      <c r="B47" s="353" t="s">
        <v>930</v>
      </c>
      <c r="C47" s="353"/>
      <c r="G47" s="353">
        <f t="shared" si="3"/>
        <v>286</v>
      </c>
      <c r="H47" s="353">
        <f t="shared" si="3"/>
        <v>286</v>
      </c>
      <c r="I47" s="353">
        <f t="shared" si="3"/>
        <v>286</v>
      </c>
      <c r="J47" s="353">
        <f t="shared" si="3"/>
        <v>286</v>
      </c>
      <c r="K47" s="353">
        <f t="shared" si="3"/>
        <v>286</v>
      </c>
      <c r="L47" s="353">
        <f t="shared" si="3"/>
        <v>286</v>
      </c>
      <c r="M47" s="353">
        <f t="shared" si="3"/>
        <v>286</v>
      </c>
    </row>
    <row r="48" spans="2:13" x14ac:dyDescent="0.25">
      <c r="B48" s="353" t="s">
        <v>931</v>
      </c>
      <c r="C48" s="353"/>
      <c r="G48" s="353">
        <f t="shared" si="3"/>
        <v>501</v>
      </c>
      <c r="H48" s="353">
        <f t="shared" si="3"/>
        <v>501</v>
      </c>
      <c r="I48" s="353">
        <f t="shared" si="3"/>
        <v>501</v>
      </c>
      <c r="J48" s="353">
        <f t="shared" si="3"/>
        <v>501</v>
      </c>
      <c r="K48" s="353">
        <f t="shared" si="3"/>
        <v>501</v>
      </c>
      <c r="L48" s="353">
        <f t="shared" si="3"/>
        <v>501</v>
      </c>
      <c r="M48" s="353">
        <f t="shared" si="3"/>
        <v>501</v>
      </c>
    </row>
    <row r="49" spans="2:14" x14ac:dyDescent="0.25">
      <c r="B49" s="353" t="s">
        <v>932</v>
      </c>
      <c r="C49" s="353"/>
      <c r="G49" s="353">
        <f t="shared" si="3"/>
        <v>501</v>
      </c>
      <c r="H49" s="353">
        <f t="shared" si="3"/>
        <v>501</v>
      </c>
      <c r="I49" s="353">
        <f t="shared" si="3"/>
        <v>501</v>
      </c>
      <c r="J49" s="353">
        <f t="shared" si="3"/>
        <v>501</v>
      </c>
      <c r="K49" s="353">
        <f t="shared" si="3"/>
        <v>501</v>
      </c>
      <c r="L49" s="353">
        <f t="shared" si="3"/>
        <v>501</v>
      </c>
      <c r="M49" s="353">
        <f t="shared" si="3"/>
        <v>501</v>
      </c>
    </row>
    <row r="50" spans="2:14" x14ac:dyDescent="0.25">
      <c r="B50" s="353" t="s">
        <v>933</v>
      </c>
      <c r="C50" s="353"/>
      <c r="G50" s="353">
        <f t="shared" ref="G50:M56" si="4">$I180*($F180 + ROUNDUP(G$23*$G180 - $H180, 0))</f>
        <v>208</v>
      </c>
      <c r="H50" s="353">
        <f t="shared" si="4"/>
        <v>208</v>
      </c>
      <c r="I50" s="353">
        <f t="shared" si="4"/>
        <v>208</v>
      </c>
      <c r="J50" s="353">
        <f t="shared" si="4"/>
        <v>208</v>
      </c>
      <c r="K50" s="353">
        <f t="shared" si="4"/>
        <v>208</v>
      </c>
      <c r="L50" s="353">
        <f t="shared" si="4"/>
        <v>208</v>
      </c>
      <c r="M50" s="353">
        <f t="shared" si="4"/>
        <v>208</v>
      </c>
    </row>
    <row r="51" spans="2:14" x14ac:dyDescent="0.25">
      <c r="B51" s="353" t="s">
        <v>934</v>
      </c>
      <c r="C51" s="353"/>
      <c r="G51" s="353">
        <f t="shared" si="4"/>
        <v>12</v>
      </c>
      <c r="H51" s="353">
        <f t="shared" si="4"/>
        <v>12</v>
      </c>
      <c r="I51" s="353">
        <f t="shared" si="4"/>
        <v>12</v>
      </c>
      <c r="J51" s="353">
        <f t="shared" si="4"/>
        <v>12</v>
      </c>
      <c r="K51" s="353">
        <f t="shared" si="4"/>
        <v>12</v>
      </c>
      <c r="L51" s="353">
        <f t="shared" si="4"/>
        <v>12</v>
      </c>
      <c r="M51" s="353">
        <f t="shared" si="4"/>
        <v>12</v>
      </c>
    </row>
    <row r="52" spans="2:14" x14ac:dyDescent="0.25">
      <c r="B52" s="353" t="s">
        <v>935</v>
      </c>
      <c r="C52" s="353"/>
      <c r="G52" s="353">
        <f t="shared" si="4"/>
        <v>336</v>
      </c>
      <c r="H52" s="353">
        <f t="shared" si="4"/>
        <v>336</v>
      </c>
      <c r="I52" s="353">
        <f t="shared" si="4"/>
        <v>336</v>
      </c>
      <c r="J52" s="353">
        <f t="shared" si="4"/>
        <v>336</v>
      </c>
      <c r="K52" s="353">
        <f t="shared" si="4"/>
        <v>336</v>
      </c>
      <c r="L52" s="353">
        <f t="shared" si="4"/>
        <v>336</v>
      </c>
      <c r="M52" s="353">
        <f t="shared" si="4"/>
        <v>336</v>
      </c>
    </row>
    <row r="53" spans="2:14" x14ac:dyDescent="0.25">
      <c r="B53" s="353" t="s">
        <v>936</v>
      </c>
      <c r="C53" s="353"/>
      <c r="G53" s="353">
        <f t="shared" si="4"/>
        <v>325</v>
      </c>
      <c r="H53" s="353">
        <f t="shared" si="4"/>
        <v>325</v>
      </c>
      <c r="I53" s="353">
        <f t="shared" si="4"/>
        <v>325</v>
      </c>
      <c r="J53" s="353">
        <f t="shared" si="4"/>
        <v>325</v>
      </c>
      <c r="K53" s="353">
        <f t="shared" si="4"/>
        <v>325</v>
      </c>
      <c r="L53" s="353">
        <f t="shared" si="4"/>
        <v>325</v>
      </c>
      <c r="M53" s="353">
        <f t="shared" si="4"/>
        <v>325</v>
      </c>
    </row>
    <row r="54" spans="2:14" x14ac:dyDescent="0.25">
      <c r="B54" s="353" t="s">
        <v>937</v>
      </c>
      <c r="C54" s="353"/>
      <c r="G54" s="353">
        <f t="shared" si="4"/>
        <v>32</v>
      </c>
      <c r="H54" s="353">
        <f t="shared" si="4"/>
        <v>32</v>
      </c>
      <c r="I54" s="353">
        <f t="shared" si="4"/>
        <v>32</v>
      </c>
      <c r="J54" s="353">
        <f t="shared" si="4"/>
        <v>32</v>
      </c>
      <c r="K54" s="353">
        <f t="shared" si="4"/>
        <v>32</v>
      </c>
      <c r="L54" s="353">
        <f t="shared" si="4"/>
        <v>32</v>
      </c>
      <c r="M54" s="353">
        <f t="shared" si="4"/>
        <v>32</v>
      </c>
    </row>
    <row r="55" spans="2:14" x14ac:dyDescent="0.25">
      <c r="B55" s="353" t="s">
        <v>938</v>
      </c>
      <c r="C55" s="353"/>
      <c r="G55" s="353">
        <f t="shared" si="4"/>
        <v>154</v>
      </c>
      <c r="H55" s="353">
        <f t="shared" si="4"/>
        <v>154</v>
      </c>
      <c r="I55" s="353">
        <f t="shared" si="4"/>
        <v>154</v>
      </c>
      <c r="J55" s="353">
        <f t="shared" si="4"/>
        <v>154</v>
      </c>
      <c r="K55" s="353">
        <f t="shared" si="4"/>
        <v>154</v>
      </c>
      <c r="L55" s="353">
        <f t="shared" si="4"/>
        <v>154</v>
      </c>
      <c r="M55" s="353">
        <f t="shared" si="4"/>
        <v>154</v>
      </c>
    </row>
    <row r="56" spans="2:14" x14ac:dyDescent="0.25">
      <c r="B56" s="353" t="s">
        <v>939</v>
      </c>
      <c r="C56" s="353"/>
      <c r="G56" s="353">
        <f t="shared" si="4"/>
        <v>2</v>
      </c>
      <c r="H56" s="353">
        <f t="shared" si="4"/>
        <v>2</v>
      </c>
      <c r="I56" s="353">
        <f t="shared" si="4"/>
        <v>2</v>
      </c>
      <c r="J56" s="353">
        <f t="shared" si="4"/>
        <v>2</v>
      </c>
      <c r="K56" s="353">
        <f t="shared" si="4"/>
        <v>2</v>
      </c>
      <c r="L56" s="353">
        <f t="shared" si="4"/>
        <v>2</v>
      </c>
      <c r="M56" s="353">
        <f t="shared" si="4"/>
        <v>2</v>
      </c>
    </row>
    <row r="57" spans="2:14" x14ac:dyDescent="0.25">
      <c r="B57" s="353" t="s">
        <v>940</v>
      </c>
      <c r="C57" s="353"/>
      <c r="G57" s="353">
        <f t="shared" ref="G57:M57" ca="1" si="5">$I187*($F187 + ROUNDUP(G$23*$G187 - $H187, 0))*IF(OR(G13 = 1, G20 &lt; 50), 0, 1)</f>
        <v>1</v>
      </c>
      <c r="H57" s="353">
        <f t="shared" ca="1" si="5"/>
        <v>1</v>
      </c>
      <c r="I57" s="353">
        <f t="shared" ca="1" si="5"/>
        <v>1</v>
      </c>
      <c r="J57" s="353">
        <f t="shared" ca="1" si="5"/>
        <v>1</v>
      </c>
      <c r="K57" s="353">
        <f t="shared" ca="1" si="5"/>
        <v>1</v>
      </c>
      <c r="L57" s="353">
        <f t="shared" ca="1" si="5"/>
        <v>1</v>
      </c>
      <c r="M57" s="353">
        <f t="shared" ca="1" si="5"/>
        <v>1</v>
      </c>
    </row>
    <row r="58" spans="2:14" x14ac:dyDescent="0.25">
      <c r="B58" s="353" t="s">
        <v>941</v>
      </c>
      <c r="C58" s="353"/>
      <c r="G58" s="353">
        <f t="shared" ref="G58:M58" si="6">$I188*($F188 + ROUNDUP(G$23*$G188 - $H188, 0))</f>
        <v>1</v>
      </c>
      <c r="H58" s="353">
        <f t="shared" si="6"/>
        <v>1</v>
      </c>
      <c r="I58" s="353">
        <f t="shared" si="6"/>
        <v>1</v>
      </c>
      <c r="J58" s="353">
        <f t="shared" si="6"/>
        <v>1</v>
      </c>
      <c r="K58" s="353">
        <f t="shared" si="6"/>
        <v>1</v>
      </c>
      <c r="L58" s="353">
        <f t="shared" si="6"/>
        <v>1</v>
      </c>
      <c r="M58" s="353">
        <f t="shared" si="6"/>
        <v>1</v>
      </c>
    </row>
    <row r="59" spans="2:14" x14ac:dyDescent="0.25">
      <c r="C59" s="353"/>
    </row>
    <row r="60" spans="2:14" ht="14" x14ac:dyDescent="0.3">
      <c r="B60" s="667" t="s">
        <v>942</v>
      </c>
      <c r="C60" s="353"/>
    </row>
    <row r="61" spans="2:14" ht="13" x14ac:dyDescent="0.3">
      <c r="B61" s="353" t="s">
        <v>943</v>
      </c>
      <c r="C61" s="353"/>
      <c r="G61" s="353">
        <f ca="1">$I192*($F192+ROUNDUP(G$23*$G192-$H192,0))/(IF(G20&lt;100,2,1))*IF(OR(G13 = 1, G20 &lt; 50), 0, 1)</f>
        <v>2</v>
      </c>
      <c r="H61" s="353">
        <f t="shared" ref="H61:M61" ca="1" si="7">$I192*($F192+ROUNDUP(H$23*$G192-$H192,0))/(IF(H20&lt;100,2,1))*IF(OR(H13 = 1, H20 &lt; 50), 0, 1)</f>
        <v>2</v>
      </c>
      <c r="I61" s="353">
        <f t="shared" ca="1" si="7"/>
        <v>2</v>
      </c>
      <c r="J61" s="353">
        <f t="shared" ca="1" si="7"/>
        <v>2</v>
      </c>
      <c r="K61" s="353">
        <f t="shared" ca="1" si="7"/>
        <v>2</v>
      </c>
      <c r="L61" s="353">
        <f t="shared" ca="1" si="7"/>
        <v>2</v>
      </c>
      <c r="M61" s="353">
        <f t="shared" ca="1" si="7"/>
        <v>2</v>
      </c>
      <c r="N61" s="737"/>
    </row>
    <row r="62" spans="2:14" x14ac:dyDescent="0.25">
      <c r="B62" s="353" t="s">
        <v>944</v>
      </c>
      <c r="C62" s="353"/>
      <c r="G62" s="353">
        <f t="shared" ref="G62:M62" si="8">$I193*($F193 + ROUNDUP(G$23*$G193 - $H193, 0))</f>
        <v>2</v>
      </c>
      <c r="H62" s="353">
        <f t="shared" si="8"/>
        <v>2</v>
      </c>
      <c r="I62" s="353">
        <f t="shared" si="8"/>
        <v>2</v>
      </c>
      <c r="J62" s="353">
        <f t="shared" si="8"/>
        <v>2</v>
      </c>
      <c r="K62" s="353">
        <f t="shared" si="8"/>
        <v>2</v>
      </c>
      <c r="L62" s="353">
        <f t="shared" si="8"/>
        <v>2</v>
      </c>
      <c r="M62" s="353">
        <f t="shared" si="8"/>
        <v>2</v>
      </c>
    </row>
    <row r="63" spans="2:14" x14ac:dyDescent="0.25">
      <c r="B63" s="353" t="s">
        <v>945</v>
      </c>
      <c r="C63" s="353"/>
      <c r="G63" s="353">
        <f t="shared" ref="G63:M63" ca="1" si="9">$I194*($F194 + ROUNDUP(G$23*$G194 - $H194, 0))*IF(OR(G13 = 1, G20 &lt; 50), 0, 1)</f>
        <v>1</v>
      </c>
      <c r="H63" s="353">
        <f t="shared" ca="1" si="9"/>
        <v>1</v>
      </c>
      <c r="I63" s="353">
        <f t="shared" ca="1" si="9"/>
        <v>1</v>
      </c>
      <c r="J63" s="353">
        <f t="shared" ca="1" si="9"/>
        <v>1</v>
      </c>
      <c r="K63" s="353">
        <f t="shared" ca="1" si="9"/>
        <v>1</v>
      </c>
      <c r="L63" s="353">
        <f t="shared" ca="1" si="9"/>
        <v>1</v>
      </c>
      <c r="M63" s="353">
        <f t="shared" ca="1" si="9"/>
        <v>1</v>
      </c>
    </row>
    <row r="64" spans="2:14" x14ac:dyDescent="0.25">
      <c r="B64" s="353" t="s">
        <v>946</v>
      </c>
      <c r="C64" s="353"/>
      <c r="G64" s="353">
        <f t="shared" ref="G64:M67" si="10">$I195*($F195 + ROUNDUP(G$23*$G195 - $H195, 0))</f>
        <v>1</v>
      </c>
      <c r="H64" s="353">
        <f t="shared" si="10"/>
        <v>1</v>
      </c>
      <c r="I64" s="353">
        <f t="shared" si="10"/>
        <v>1</v>
      </c>
      <c r="J64" s="353">
        <f t="shared" si="10"/>
        <v>1</v>
      </c>
      <c r="K64" s="353">
        <f t="shared" si="10"/>
        <v>1</v>
      </c>
      <c r="L64" s="353">
        <f t="shared" si="10"/>
        <v>1</v>
      </c>
      <c r="M64" s="353">
        <f t="shared" si="10"/>
        <v>1</v>
      </c>
    </row>
    <row r="65" spans="2:13" x14ac:dyDescent="0.25">
      <c r="B65" s="353" t="s">
        <v>947</v>
      </c>
      <c r="C65" s="353"/>
      <c r="G65" s="353">
        <f t="shared" si="10"/>
        <v>1</v>
      </c>
      <c r="H65" s="353">
        <f t="shared" si="10"/>
        <v>1</v>
      </c>
      <c r="I65" s="353">
        <f t="shared" si="10"/>
        <v>1</v>
      </c>
      <c r="J65" s="353">
        <f t="shared" si="10"/>
        <v>1</v>
      </c>
      <c r="K65" s="353">
        <f t="shared" si="10"/>
        <v>1</v>
      </c>
      <c r="L65" s="353">
        <f t="shared" si="10"/>
        <v>1</v>
      </c>
      <c r="M65" s="353">
        <f t="shared" si="10"/>
        <v>1</v>
      </c>
    </row>
    <row r="66" spans="2:13" x14ac:dyDescent="0.25">
      <c r="B66" s="353" t="s">
        <v>948</v>
      </c>
      <c r="C66" s="353"/>
      <c r="G66" s="353">
        <f t="shared" si="10"/>
        <v>1</v>
      </c>
      <c r="H66" s="353">
        <f t="shared" si="10"/>
        <v>1</v>
      </c>
      <c r="I66" s="353">
        <f t="shared" si="10"/>
        <v>1</v>
      </c>
      <c r="J66" s="353">
        <f t="shared" si="10"/>
        <v>1</v>
      </c>
      <c r="K66" s="353">
        <f t="shared" si="10"/>
        <v>1</v>
      </c>
      <c r="L66" s="353">
        <f t="shared" si="10"/>
        <v>1</v>
      </c>
      <c r="M66" s="353">
        <f t="shared" si="10"/>
        <v>1</v>
      </c>
    </row>
    <row r="67" spans="2:13" x14ac:dyDescent="0.25">
      <c r="B67" s="353" t="s">
        <v>949</v>
      </c>
      <c r="C67" s="353"/>
      <c r="G67" s="353">
        <f t="shared" si="10"/>
        <v>1</v>
      </c>
      <c r="H67" s="353">
        <f t="shared" si="10"/>
        <v>1</v>
      </c>
      <c r="I67" s="353">
        <f t="shared" si="10"/>
        <v>1</v>
      </c>
      <c r="J67" s="353">
        <f t="shared" si="10"/>
        <v>1</v>
      </c>
      <c r="K67" s="353">
        <f t="shared" si="10"/>
        <v>1</v>
      </c>
      <c r="L67" s="353">
        <f t="shared" si="10"/>
        <v>1</v>
      </c>
      <c r="M67" s="353">
        <f t="shared" si="10"/>
        <v>1</v>
      </c>
    </row>
    <row r="68" spans="2:13" x14ac:dyDescent="0.25">
      <c r="B68" s="353" t="s">
        <v>950</v>
      </c>
      <c r="C68" s="353"/>
      <c r="G68" s="353">
        <f t="shared" ref="G68:M68" ca="1" si="11">$I199*($F199 + ROUNDUP(G$23*$G199 - $H199, 0))*IF(OR(G13 = 1, G20 &lt; 50), 0, 1)</f>
        <v>1</v>
      </c>
      <c r="H68" s="353">
        <f t="shared" ca="1" si="11"/>
        <v>1</v>
      </c>
      <c r="I68" s="353">
        <f t="shared" ca="1" si="11"/>
        <v>1</v>
      </c>
      <c r="J68" s="353">
        <f t="shared" ca="1" si="11"/>
        <v>1</v>
      </c>
      <c r="K68" s="353">
        <f t="shared" ca="1" si="11"/>
        <v>1</v>
      </c>
      <c r="L68" s="353">
        <f t="shared" ca="1" si="11"/>
        <v>1</v>
      </c>
      <c r="M68" s="353">
        <f t="shared" ca="1" si="11"/>
        <v>1</v>
      </c>
    </row>
    <row r="69" spans="2:13" x14ac:dyDescent="0.25">
      <c r="C69" s="353"/>
    </row>
    <row r="70" spans="2:13" ht="14" x14ac:dyDescent="0.3">
      <c r="B70" s="667" t="s">
        <v>951</v>
      </c>
      <c r="C70" s="353"/>
    </row>
    <row r="71" spans="2:13" x14ac:dyDescent="0.25">
      <c r="B71" s="353" t="s">
        <v>952</v>
      </c>
      <c r="C71" s="353"/>
      <c r="G71" s="353">
        <f ca="1">IF(OR(G13 = 1, G20 &lt; 50), 0, 1)</f>
        <v>1</v>
      </c>
      <c r="H71" s="353">
        <f t="shared" ref="H71:M71" ca="1" si="12">IF(OR(H13 = 1, H20 &lt; 50), 0, 1)</f>
        <v>1</v>
      </c>
      <c r="I71" s="353">
        <f t="shared" ca="1" si="12"/>
        <v>1</v>
      </c>
      <c r="J71" s="353">
        <f t="shared" ca="1" si="12"/>
        <v>1</v>
      </c>
      <c r="K71" s="353">
        <f t="shared" ca="1" si="12"/>
        <v>1</v>
      </c>
      <c r="L71" s="353">
        <f t="shared" ca="1" si="12"/>
        <v>1</v>
      </c>
      <c r="M71" s="353">
        <f t="shared" ca="1" si="12"/>
        <v>1</v>
      </c>
    </row>
    <row r="72" spans="2:13" x14ac:dyDescent="0.25">
      <c r="C72" s="353"/>
    </row>
    <row r="73" spans="2:13" ht="14" x14ac:dyDescent="0.3">
      <c r="B73" s="667" t="s">
        <v>953</v>
      </c>
      <c r="C73" s="353"/>
    </row>
    <row r="74" spans="2:13" x14ac:dyDescent="0.25">
      <c r="B74" s="353" t="s">
        <v>954</v>
      </c>
      <c r="C74" s="353"/>
      <c r="G74" s="353">
        <f t="shared" ref="G74:M74" si="13">ROUNDUP(((G9/G10)+1)*G13, 0)</f>
        <v>220</v>
      </c>
      <c r="H74" s="353">
        <f t="shared" si="13"/>
        <v>220</v>
      </c>
      <c r="I74" s="353">
        <f t="shared" si="13"/>
        <v>220</v>
      </c>
      <c r="J74" s="353">
        <f t="shared" si="13"/>
        <v>220</v>
      </c>
      <c r="K74" s="353">
        <f t="shared" si="13"/>
        <v>220</v>
      </c>
      <c r="L74" s="353">
        <f t="shared" si="13"/>
        <v>220</v>
      </c>
      <c r="M74" s="353">
        <f t="shared" si="13"/>
        <v>220</v>
      </c>
    </row>
    <row r="75" spans="2:13" x14ac:dyDescent="0.25">
      <c r="B75" s="353" t="s">
        <v>955</v>
      </c>
      <c r="C75" s="353"/>
      <c r="G75" s="353">
        <f>G13*2+2</f>
        <v>42</v>
      </c>
      <c r="H75" s="353">
        <f t="shared" ref="H75:M75" si="14">H13*2+2</f>
        <v>42</v>
      </c>
      <c r="I75" s="353">
        <f t="shared" si="14"/>
        <v>42</v>
      </c>
      <c r="J75" s="353">
        <f t="shared" si="14"/>
        <v>42</v>
      </c>
      <c r="K75" s="353">
        <f t="shared" si="14"/>
        <v>42</v>
      </c>
      <c r="L75" s="353">
        <f t="shared" si="14"/>
        <v>42</v>
      </c>
      <c r="M75" s="353">
        <f t="shared" si="14"/>
        <v>42</v>
      </c>
    </row>
    <row r="76" spans="2:13" x14ac:dyDescent="0.25">
      <c r="B76" s="353" t="s">
        <v>956</v>
      </c>
      <c r="C76" s="353"/>
      <c r="G76" s="454">
        <f>G13</f>
        <v>20</v>
      </c>
      <c r="H76" s="454">
        <f t="shared" ref="H76:M76" si="15">H13</f>
        <v>20</v>
      </c>
      <c r="I76" s="454">
        <f t="shared" si="15"/>
        <v>20</v>
      </c>
      <c r="J76" s="454">
        <f t="shared" si="15"/>
        <v>20</v>
      </c>
      <c r="K76" s="454">
        <f t="shared" si="15"/>
        <v>20</v>
      </c>
      <c r="L76" s="454">
        <f t="shared" si="15"/>
        <v>20</v>
      </c>
      <c r="M76" s="454">
        <f t="shared" si="15"/>
        <v>20</v>
      </c>
    </row>
    <row r="77" spans="2:13" ht="14.5" x14ac:dyDescent="0.35">
      <c r="B77" s="568"/>
      <c r="C77" s="353"/>
    </row>
    <row r="78" spans="2:13" ht="15.5" x14ac:dyDescent="0.35">
      <c r="B78" s="105" t="s">
        <v>957</v>
      </c>
      <c r="C78" s="105"/>
      <c r="D78" s="105"/>
      <c r="E78" s="105"/>
      <c r="F78" s="105"/>
      <c r="G78" s="105"/>
      <c r="H78" s="105"/>
      <c r="I78" s="105"/>
    </row>
    <row r="79" spans="2:13" ht="14.5" x14ac:dyDescent="0.35">
      <c r="B79" s="667" t="s">
        <v>912</v>
      </c>
      <c r="C79" s="732"/>
      <c r="D79" s="732"/>
      <c r="E79" s="732"/>
      <c r="F79" s="732"/>
      <c r="G79" s="732"/>
      <c r="H79" s="732"/>
      <c r="I79" s="732"/>
    </row>
    <row r="80" spans="2:13" x14ac:dyDescent="0.25">
      <c r="B80" s="353" t="s">
        <v>913</v>
      </c>
      <c r="G80" s="569">
        <f t="shared" ref="G80:M89" si="16">IF(G30 = 0, 0, $C160*($D160/(G30*G$24))^(1-$E160 ))</f>
        <v>2.6857958838184395</v>
      </c>
      <c r="H80" s="569">
        <f t="shared" si="16"/>
        <v>2.6857958838184395</v>
      </c>
      <c r="I80" s="569">
        <f t="shared" si="16"/>
        <v>2.6857958838184395</v>
      </c>
      <c r="J80" s="569">
        <f t="shared" si="16"/>
        <v>2.6857958838184395</v>
      </c>
      <c r="K80" s="569">
        <f t="shared" si="16"/>
        <v>2.6857958838184395</v>
      </c>
      <c r="L80" s="569">
        <f t="shared" si="16"/>
        <v>2.6857958838184395</v>
      </c>
      <c r="M80" s="569">
        <f t="shared" si="16"/>
        <v>2.6857958838184395</v>
      </c>
    </row>
    <row r="81" spans="2:13" x14ac:dyDescent="0.25">
      <c r="B81" s="353" t="s">
        <v>914</v>
      </c>
      <c r="G81" s="569">
        <f t="shared" si="16"/>
        <v>0.83337786644922296</v>
      </c>
      <c r="H81" s="569">
        <f t="shared" si="16"/>
        <v>0.83337786644922296</v>
      </c>
      <c r="I81" s="569">
        <f t="shared" si="16"/>
        <v>0.83337786644922296</v>
      </c>
      <c r="J81" s="569">
        <f t="shared" si="16"/>
        <v>0.83337786644922296</v>
      </c>
      <c r="K81" s="569">
        <f t="shared" si="16"/>
        <v>0.83337786644922296</v>
      </c>
      <c r="L81" s="569">
        <f t="shared" si="16"/>
        <v>0.83337786644922296</v>
      </c>
      <c r="M81" s="569">
        <f t="shared" si="16"/>
        <v>0.83337786644922296</v>
      </c>
    </row>
    <row r="82" spans="2:13" x14ac:dyDescent="0.25">
      <c r="B82" s="353" t="s">
        <v>915</v>
      </c>
      <c r="G82" s="569">
        <f t="shared" si="16"/>
        <v>0.82024454782425138</v>
      </c>
      <c r="H82" s="569">
        <f t="shared" si="16"/>
        <v>0.82024454782425138</v>
      </c>
      <c r="I82" s="569">
        <f t="shared" si="16"/>
        <v>0.82024454782425138</v>
      </c>
      <c r="J82" s="569">
        <f t="shared" si="16"/>
        <v>0.82024454782425138</v>
      </c>
      <c r="K82" s="569">
        <f t="shared" si="16"/>
        <v>0.82024454782425138</v>
      </c>
      <c r="L82" s="569">
        <f t="shared" si="16"/>
        <v>0.82024454782425138</v>
      </c>
      <c r="M82" s="569">
        <f t="shared" si="16"/>
        <v>0.82024454782425138</v>
      </c>
    </row>
    <row r="83" spans="2:13" x14ac:dyDescent="0.25">
      <c r="B83" s="353" t="s">
        <v>916</v>
      </c>
      <c r="G83" s="569">
        <f t="shared" si="16"/>
        <v>0.23381211195565538</v>
      </c>
      <c r="H83" s="569">
        <f t="shared" si="16"/>
        <v>0.23381211195565538</v>
      </c>
      <c r="I83" s="569">
        <f t="shared" si="16"/>
        <v>0.23381211195565538</v>
      </c>
      <c r="J83" s="569">
        <f t="shared" si="16"/>
        <v>0.23381211195565538</v>
      </c>
      <c r="K83" s="569">
        <f t="shared" si="16"/>
        <v>0.23381211195565538</v>
      </c>
      <c r="L83" s="569">
        <f t="shared" si="16"/>
        <v>0.23381211195565538</v>
      </c>
      <c r="M83" s="569">
        <f t="shared" si="16"/>
        <v>0.23381211195565538</v>
      </c>
    </row>
    <row r="84" spans="2:13" x14ac:dyDescent="0.25">
      <c r="B84" s="353" t="s">
        <v>917</v>
      </c>
      <c r="G84" s="569">
        <f t="shared" si="16"/>
        <v>10.174000605186905</v>
      </c>
      <c r="H84" s="569">
        <f t="shared" si="16"/>
        <v>10.174000605186905</v>
      </c>
      <c r="I84" s="569">
        <f t="shared" si="16"/>
        <v>10.174000605186905</v>
      </c>
      <c r="J84" s="569">
        <f t="shared" si="16"/>
        <v>10.174000605186905</v>
      </c>
      <c r="K84" s="569">
        <f t="shared" si="16"/>
        <v>10.174000605186905</v>
      </c>
      <c r="L84" s="569">
        <f t="shared" si="16"/>
        <v>10.174000605186905</v>
      </c>
      <c r="M84" s="569">
        <f t="shared" si="16"/>
        <v>10.174000605186905</v>
      </c>
    </row>
    <row r="85" spans="2:13" x14ac:dyDescent="0.25">
      <c r="B85" s="353" t="s">
        <v>918</v>
      </c>
      <c r="G85" s="569">
        <f t="shared" si="16"/>
        <v>5.6611590822018068E-2</v>
      </c>
      <c r="H85" s="569">
        <f t="shared" si="16"/>
        <v>5.6611590822018068E-2</v>
      </c>
      <c r="I85" s="569">
        <f t="shared" si="16"/>
        <v>5.6611590822018068E-2</v>
      </c>
      <c r="J85" s="569">
        <f t="shared" si="16"/>
        <v>5.6611590822018068E-2</v>
      </c>
      <c r="K85" s="569">
        <f t="shared" si="16"/>
        <v>5.6611590822018068E-2</v>
      </c>
      <c r="L85" s="569">
        <f t="shared" si="16"/>
        <v>5.6611590822018068E-2</v>
      </c>
      <c r="M85" s="569">
        <f t="shared" si="16"/>
        <v>5.6611590822018068E-2</v>
      </c>
    </row>
    <row r="86" spans="2:13" x14ac:dyDescent="0.25">
      <c r="B86" s="353" t="s">
        <v>919</v>
      </c>
      <c r="G86" s="569">
        <f t="shared" si="16"/>
        <v>0.2731451012183656</v>
      </c>
      <c r="H86" s="569">
        <f t="shared" si="16"/>
        <v>0.2731451012183656</v>
      </c>
      <c r="I86" s="569">
        <f t="shared" si="16"/>
        <v>0.2731451012183656</v>
      </c>
      <c r="J86" s="569">
        <f t="shared" si="16"/>
        <v>0.2731451012183656</v>
      </c>
      <c r="K86" s="569">
        <f t="shared" si="16"/>
        <v>0.2731451012183656</v>
      </c>
      <c r="L86" s="569">
        <f t="shared" si="16"/>
        <v>0.2731451012183656</v>
      </c>
      <c r="M86" s="569">
        <f t="shared" si="16"/>
        <v>0.2731451012183656</v>
      </c>
    </row>
    <row r="87" spans="2:13" x14ac:dyDescent="0.25">
      <c r="B87" s="353" t="s">
        <v>920</v>
      </c>
      <c r="G87" s="569">
        <f t="shared" si="16"/>
        <v>1.8063549551129394</v>
      </c>
      <c r="H87" s="569">
        <f t="shared" si="16"/>
        <v>1.8063549551129394</v>
      </c>
      <c r="I87" s="569">
        <f t="shared" si="16"/>
        <v>1.8063549551129394</v>
      </c>
      <c r="J87" s="569">
        <f t="shared" si="16"/>
        <v>1.8063549551129394</v>
      </c>
      <c r="K87" s="569">
        <f t="shared" si="16"/>
        <v>1.8063549551129394</v>
      </c>
      <c r="L87" s="569">
        <f t="shared" si="16"/>
        <v>1.8063549551129394</v>
      </c>
      <c r="M87" s="569">
        <f t="shared" si="16"/>
        <v>1.8063549551129394</v>
      </c>
    </row>
    <row r="88" spans="2:13" x14ac:dyDescent="0.25">
      <c r="B88" s="353" t="s">
        <v>921</v>
      </c>
      <c r="G88" s="569">
        <f t="shared" si="16"/>
        <v>1.258708066901713</v>
      </c>
      <c r="H88" s="569">
        <f t="shared" si="16"/>
        <v>1.258708066901713</v>
      </c>
      <c r="I88" s="569">
        <f t="shared" si="16"/>
        <v>1.258708066901713</v>
      </c>
      <c r="J88" s="569">
        <f t="shared" si="16"/>
        <v>1.258708066901713</v>
      </c>
      <c r="K88" s="569">
        <f t="shared" si="16"/>
        <v>1.258708066901713</v>
      </c>
      <c r="L88" s="569">
        <f t="shared" si="16"/>
        <v>1.258708066901713</v>
      </c>
      <c r="M88" s="569">
        <f t="shared" si="16"/>
        <v>1.258708066901713</v>
      </c>
    </row>
    <row r="89" spans="2:13" x14ac:dyDescent="0.25">
      <c r="B89" s="353" t="s">
        <v>922</v>
      </c>
      <c r="G89" s="569">
        <f t="shared" si="16"/>
        <v>0.31584516584570826</v>
      </c>
      <c r="H89" s="569">
        <f t="shared" si="16"/>
        <v>0.31584516584570826</v>
      </c>
      <c r="I89" s="569">
        <f t="shared" si="16"/>
        <v>0.31584516584570826</v>
      </c>
      <c r="J89" s="569">
        <f t="shared" si="16"/>
        <v>0.31584516584570826</v>
      </c>
      <c r="K89" s="569">
        <f t="shared" si="16"/>
        <v>0.31584516584570826</v>
      </c>
      <c r="L89" s="569">
        <f t="shared" si="16"/>
        <v>0.31584516584570826</v>
      </c>
      <c r="M89" s="569">
        <f t="shared" si="16"/>
        <v>0.31584516584570826</v>
      </c>
    </row>
    <row r="90" spans="2:13" x14ac:dyDescent="0.25">
      <c r="B90" s="353" t="s">
        <v>923</v>
      </c>
      <c r="G90" s="569">
        <f t="shared" ref="G90:M99" si="17">IF(G40 = 0, 0, $C170*($D170/(G40*G$24))^(1-$E170 ))</f>
        <v>0.39305057055264619</v>
      </c>
      <c r="H90" s="569">
        <f t="shared" si="17"/>
        <v>0.39305057055264619</v>
      </c>
      <c r="I90" s="569">
        <f t="shared" si="17"/>
        <v>0.39305057055264619</v>
      </c>
      <c r="J90" s="569">
        <f t="shared" si="17"/>
        <v>0.39305057055264619</v>
      </c>
      <c r="K90" s="569">
        <f t="shared" si="17"/>
        <v>0.39305057055264619</v>
      </c>
      <c r="L90" s="569">
        <f t="shared" si="17"/>
        <v>0.39305057055264619</v>
      </c>
      <c r="M90" s="569">
        <f t="shared" si="17"/>
        <v>0.39305057055264619</v>
      </c>
    </row>
    <row r="91" spans="2:13" x14ac:dyDescent="0.25">
      <c r="B91" s="353" t="s">
        <v>924</v>
      </c>
      <c r="G91" s="569">
        <f t="shared" si="17"/>
        <v>0.39096613720796264</v>
      </c>
      <c r="H91" s="569">
        <f t="shared" si="17"/>
        <v>0.39096613720796264</v>
      </c>
      <c r="I91" s="569">
        <f t="shared" si="17"/>
        <v>0.39096613720796264</v>
      </c>
      <c r="J91" s="569">
        <f t="shared" si="17"/>
        <v>0.39096613720796264</v>
      </c>
      <c r="K91" s="569">
        <f t="shared" si="17"/>
        <v>0.39096613720796264</v>
      </c>
      <c r="L91" s="569">
        <f t="shared" si="17"/>
        <v>0.39096613720796264</v>
      </c>
      <c r="M91" s="569">
        <f t="shared" si="17"/>
        <v>0.39096613720796264</v>
      </c>
    </row>
    <row r="92" spans="2:13" x14ac:dyDescent="0.25">
      <c r="B92" s="353" t="s">
        <v>925</v>
      </c>
      <c r="G92" s="569">
        <f t="shared" si="17"/>
        <v>0.94574030985466295</v>
      </c>
      <c r="H92" s="569">
        <f t="shared" si="17"/>
        <v>0.94574030985466295</v>
      </c>
      <c r="I92" s="569">
        <f t="shared" si="17"/>
        <v>0.94574030985466295</v>
      </c>
      <c r="J92" s="569">
        <f t="shared" si="17"/>
        <v>0.94574030985466295</v>
      </c>
      <c r="K92" s="569">
        <f t="shared" si="17"/>
        <v>0.94574030985466295</v>
      </c>
      <c r="L92" s="569">
        <f t="shared" si="17"/>
        <v>0.94574030985466295</v>
      </c>
      <c r="M92" s="569">
        <f t="shared" si="17"/>
        <v>0.94574030985466295</v>
      </c>
    </row>
    <row r="93" spans="2:13" x14ac:dyDescent="0.25">
      <c r="B93" s="353" t="s">
        <v>926</v>
      </c>
      <c r="G93" s="569">
        <f t="shared" si="17"/>
        <v>0.45667934858939263</v>
      </c>
      <c r="H93" s="569">
        <f t="shared" si="17"/>
        <v>0.45667934858939263</v>
      </c>
      <c r="I93" s="569">
        <f t="shared" si="17"/>
        <v>0.45667934858939263</v>
      </c>
      <c r="J93" s="569">
        <f t="shared" si="17"/>
        <v>0.45667934858939263</v>
      </c>
      <c r="K93" s="569">
        <f t="shared" si="17"/>
        <v>0.45667934858939263</v>
      </c>
      <c r="L93" s="569">
        <f t="shared" si="17"/>
        <v>0.45667934858939263</v>
      </c>
      <c r="M93" s="569">
        <f t="shared" si="17"/>
        <v>0.45667934858939263</v>
      </c>
    </row>
    <row r="94" spans="2:13" x14ac:dyDescent="0.25">
      <c r="B94" s="353" t="s">
        <v>927</v>
      </c>
      <c r="G94" s="569">
        <f t="shared" si="17"/>
        <v>0.80695625913906888</v>
      </c>
      <c r="H94" s="569">
        <f t="shared" si="17"/>
        <v>0.80695625913906888</v>
      </c>
      <c r="I94" s="569">
        <f t="shared" si="17"/>
        <v>0.80695625913906888</v>
      </c>
      <c r="J94" s="569">
        <f t="shared" si="17"/>
        <v>0.80695625913906888</v>
      </c>
      <c r="K94" s="569">
        <f t="shared" si="17"/>
        <v>0.80695625913906888</v>
      </c>
      <c r="L94" s="569">
        <f t="shared" si="17"/>
        <v>0.80695625913906888</v>
      </c>
      <c r="M94" s="569">
        <f t="shared" si="17"/>
        <v>0.80695625913906888</v>
      </c>
    </row>
    <row r="95" spans="2:13" x14ac:dyDescent="0.25">
      <c r="B95" s="353" t="s">
        <v>928</v>
      </c>
      <c r="G95" s="569">
        <f t="shared" si="17"/>
        <v>6.0499826752262544E-2</v>
      </c>
      <c r="H95" s="569">
        <f t="shared" si="17"/>
        <v>6.0499826752262544E-2</v>
      </c>
      <c r="I95" s="569">
        <f t="shared" si="17"/>
        <v>6.0499826752262544E-2</v>
      </c>
      <c r="J95" s="569">
        <f t="shared" si="17"/>
        <v>6.0499826752262544E-2</v>
      </c>
      <c r="K95" s="569">
        <f t="shared" si="17"/>
        <v>6.0499826752262544E-2</v>
      </c>
      <c r="L95" s="569">
        <f t="shared" si="17"/>
        <v>6.0499826752262544E-2</v>
      </c>
      <c r="M95" s="569">
        <f t="shared" si="17"/>
        <v>6.0499826752262544E-2</v>
      </c>
    </row>
    <row r="96" spans="2:13" x14ac:dyDescent="0.25">
      <c r="B96" s="353" t="s">
        <v>929</v>
      </c>
      <c r="G96" s="569">
        <f t="shared" si="17"/>
        <v>0.443083485587771</v>
      </c>
      <c r="H96" s="569">
        <f t="shared" si="17"/>
        <v>0.443083485587771</v>
      </c>
      <c r="I96" s="569">
        <f t="shared" si="17"/>
        <v>0.443083485587771</v>
      </c>
      <c r="J96" s="569">
        <f t="shared" si="17"/>
        <v>0.443083485587771</v>
      </c>
      <c r="K96" s="569">
        <f t="shared" si="17"/>
        <v>0.443083485587771</v>
      </c>
      <c r="L96" s="569">
        <f t="shared" si="17"/>
        <v>0.443083485587771</v>
      </c>
      <c r="M96" s="569">
        <f t="shared" si="17"/>
        <v>0.443083485587771</v>
      </c>
    </row>
    <row r="97" spans="2:13" x14ac:dyDescent="0.25">
      <c r="B97" s="353" t="s">
        <v>930</v>
      </c>
      <c r="G97" s="569">
        <f t="shared" si="17"/>
        <v>2.0622347628681374E-2</v>
      </c>
      <c r="H97" s="569">
        <f t="shared" si="17"/>
        <v>2.0622347628681374E-2</v>
      </c>
      <c r="I97" s="569">
        <f t="shared" si="17"/>
        <v>2.0622347628681374E-2</v>
      </c>
      <c r="J97" s="569">
        <f t="shared" si="17"/>
        <v>2.0622347628681374E-2</v>
      </c>
      <c r="K97" s="569">
        <f t="shared" si="17"/>
        <v>2.0622347628681374E-2</v>
      </c>
      <c r="L97" s="569">
        <f t="shared" si="17"/>
        <v>2.0622347628681374E-2</v>
      </c>
      <c r="M97" s="569">
        <f t="shared" si="17"/>
        <v>2.0622347628681374E-2</v>
      </c>
    </row>
    <row r="98" spans="2:13" x14ac:dyDescent="0.25">
      <c r="B98" s="353" t="s">
        <v>931</v>
      </c>
      <c r="G98" s="569">
        <f t="shared" si="17"/>
        <v>5.0338264072681002E-3</v>
      </c>
      <c r="H98" s="569">
        <f t="shared" si="17"/>
        <v>5.0338264072681002E-3</v>
      </c>
      <c r="I98" s="569">
        <f t="shared" si="17"/>
        <v>5.0338264072681002E-3</v>
      </c>
      <c r="J98" s="569">
        <f t="shared" si="17"/>
        <v>5.0338264072681002E-3</v>
      </c>
      <c r="K98" s="569">
        <f t="shared" si="17"/>
        <v>5.0338264072681002E-3</v>
      </c>
      <c r="L98" s="569">
        <f t="shared" si="17"/>
        <v>5.0338264072681002E-3</v>
      </c>
      <c r="M98" s="569">
        <f t="shared" si="17"/>
        <v>5.0338264072681002E-3</v>
      </c>
    </row>
    <row r="99" spans="2:13" x14ac:dyDescent="0.25">
      <c r="B99" s="353" t="s">
        <v>932</v>
      </c>
      <c r="G99" s="569">
        <f t="shared" si="17"/>
        <v>5.0338264072681002E-3</v>
      </c>
      <c r="H99" s="569">
        <f t="shared" si="17"/>
        <v>5.0338264072681002E-3</v>
      </c>
      <c r="I99" s="569">
        <f t="shared" si="17"/>
        <v>5.0338264072681002E-3</v>
      </c>
      <c r="J99" s="569">
        <f t="shared" si="17"/>
        <v>5.0338264072681002E-3</v>
      </c>
      <c r="K99" s="569">
        <f t="shared" si="17"/>
        <v>5.0338264072681002E-3</v>
      </c>
      <c r="L99" s="569">
        <f t="shared" si="17"/>
        <v>5.0338264072681002E-3</v>
      </c>
      <c r="M99" s="569">
        <f t="shared" si="17"/>
        <v>5.0338264072681002E-3</v>
      </c>
    </row>
    <row r="100" spans="2:13" x14ac:dyDescent="0.25">
      <c r="B100" s="353" t="s">
        <v>933</v>
      </c>
      <c r="G100" s="569">
        <f t="shared" ref="G100:M108" si="18">IF(G50 = 0, 0, $C180*($D180/(G50*G$24))^(1-$E180 ))</f>
        <v>0.10048178677662821</v>
      </c>
      <c r="H100" s="569">
        <f t="shared" si="18"/>
        <v>0.10048178677662821</v>
      </c>
      <c r="I100" s="569">
        <f t="shared" si="18"/>
        <v>0.10048178677662821</v>
      </c>
      <c r="J100" s="569">
        <f t="shared" si="18"/>
        <v>0.10048178677662821</v>
      </c>
      <c r="K100" s="569">
        <f t="shared" si="18"/>
        <v>0.10048178677662821</v>
      </c>
      <c r="L100" s="569">
        <f t="shared" si="18"/>
        <v>0.10048178677662821</v>
      </c>
      <c r="M100" s="569">
        <f t="shared" si="18"/>
        <v>0.10048178677662821</v>
      </c>
    </row>
    <row r="101" spans="2:13" x14ac:dyDescent="0.25">
      <c r="B101" s="353" t="s">
        <v>934</v>
      </c>
      <c r="G101" s="569">
        <f t="shared" si="18"/>
        <v>2.4821279901832909E-2</v>
      </c>
      <c r="H101" s="569">
        <f t="shared" si="18"/>
        <v>2.4821279901832909E-2</v>
      </c>
      <c r="I101" s="569">
        <f t="shared" si="18"/>
        <v>2.4821279901832909E-2</v>
      </c>
      <c r="J101" s="569">
        <f t="shared" si="18"/>
        <v>2.4821279901832909E-2</v>
      </c>
      <c r="K101" s="569">
        <f t="shared" si="18"/>
        <v>2.4821279901832909E-2</v>
      </c>
      <c r="L101" s="569">
        <f t="shared" si="18"/>
        <v>2.4821279901832909E-2</v>
      </c>
      <c r="M101" s="569">
        <f t="shared" si="18"/>
        <v>2.4821279901832909E-2</v>
      </c>
    </row>
    <row r="102" spans="2:13" x14ac:dyDescent="0.25">
      <c r="B102" s="353" t="s">
        <v>935</v>
      </c>
      <c r="G102" s="569">
        <f t="shared" si="18"/>
        <v>8.8564712232549092E-4</v>
      </c>
      <c r="H102" s="569">
        <f t="shared" si="18"/>
        <v>8.8564712232549092E-4</v>
      </c>
      <c r="I102" s="569">
        <f t="shared" si="18"/>
        <v>8.8564712232549092E-4</v>
      </c>
      <c r="J102" s="569">
        <f t="shared" si="18"/>
        <v>8.8564712232549092E-4</v>
      </c>
      <c r="K102" s="569">
        <f t="shared" si="18"/>
        <v>8.8564712232549092E-4</v>
      </c>
      <c r="L102" s="569">
        <f t="shared" si="18"/>
        <v>8.8564712232549092E-4</v>
      </c>
      <c r="M102" s="569">
        <f t="shared" si="18"/>
        <v>8.8564712232549092E-4</v>
      </c>
    </row>
    <row r="103" spans="2:13" x14ac:dyDescent="0.25">
      <c r="B103" s="353" t="s">
        <v>936</v>
      </c>
      <c r="G103" s="569">
        <f t="shared" si="18"/>
        <v>3.3738461792118999E-3</v>
      </c>
      <c r="H103" s="569">
        <f t="shared" si="18"/>
        <v>3.3738461792118999E-3</v>
      </c>
      <c r="I103" s="569">
        <f t="shared" si="18"/>
        <v>3.3738461792118999E-3</v>
      </c>
      <c r="J103" s="569">
        <f t="shared" si="18"/>
        <v>3.3738461792118999E-3</v>
      </c>
      <c r="K103" s="569">
        <f t="shared" si="18"/>
        <v>3.3738461792118999E-3</v>
      </c>
      <c r="L103" s="569">
        <f t="shared" si="18"/>
        <v>3.3738461792118999E-3</v>
      </c>
      <c r="M103" s="569">
        <f t="shared" si="18"/>
        <v>3.3738461792118999E-3</v>
      </c>
    </row>
    <row r="104" spans="2:13" x14ac:dyDescent="0.25">
      <c r="B104" s="353" t="s">
        <v>937</v>
      </c>
      <c r="G104" s="569">
        <f t="shared" si="18"/>
        <v>1.7941019030019097E-2</v>
      </c>
      <c r="H104" s="569">
        <f t="shared" si="18"/>
        <v>1.7941019030019097E-2</v>
      </c>
      <c r="I104" s="569">
        <f t="shared" si="18"/>
        <v>1.7941019030019097E-2</v>
      </c>
      <c r="J104" s="569">
        <f t="shared" si="18"/>
        <v>1.7941019030019097E-2</v>
      </c>
      <c r="K104" s="569">
        <f t="shared" si="18"/>
        <v>1.7941019030019097E-2</v>
      </c>
      <c r="L104" s="569">
        <f t="shared" si="18"/>
        <v>1.7941019030019097E-2</v>
      </c>
      <c r="M104" s="569">
        <f t="shared" si="18"/>
        <v>1.7941019030019097E-2</v>
      </c>
    </row>
    <row r="105" spans="2:13" x14ac:dyDescent="0.25">
      <c r="B105" s="353" t="s">
        <v>938</v>
      </c>
      <c r="G105" s="569">
        <f t="shared" si="18"/>
        <v>3.8194076138302731E-2</v>
      </c>
      <c r="H105" s="569">
        <f t="shared" si="18"/>
        <v>3.8194076138302731E-2</v>
      </c>
      <c r="I105" s="569">
        <f t="shared" si="18"/>
        <v>3.8194076138302731E-2</v>
      </c>
      <c r="J105" s="569">
        <f t="shared" si="18"/>
        <v>3.8194076138302731E-2</v>
      </c>
      <c r="K105" s="569">
        <f t="shared" si="18"/>
        <v>3.8194076138302731E-2</v>
      </c>
      <c r="L105" s="569">
        <f t="shared" si="18"/>
        <v>3.8194076138302731E-2</v>
      </c>
      <c r="M105" s="569">
        <f t="shared" si="18"/>
        <v>3.8194076138302731E-2</v>
      </c>
    </row>
    <row r="106" spans="2:13" x14ac:dyDescent="0.25">
      <c r="B106" s="353" t="s">
        <v>939</v>
      </c>
      <c r="G106" s="569">
        <f t="shared" si="18"/>
        <v>3.1190492020079447E-3</v>
      </c>
      <c r="H106" s="569">
        <f t="shared" si="18"/>
        <v>3.1190492020079447E-3</v>
      </c>
      <c r="I106" s="569">
        <f t="shared" si="18"/>
        <v>3.1190492020079447E-3</v>
      </c>
      <c r="J106" s="569">
        <f t="shared" si="18"/>
        <v>3.1190492020079447E-3</v>
      </c>
      <c r="K106" s="569">
        <f t="shared" si="18"/>
        <v>3.1190492020079447E-3</v>
      </c>
      <c r="L106" s="569">
        <f t="shared" si="18"/>
        <v>3.1190492020079447E-3</v>
      </c>
      <c r="M106" s="569">
        <f t="shared" si="18"/>
        <v>3.1190492020079447E-3</v>
      </c>
    </row>
    <row r="107" spans="2:13" x14ac:dyDescent="0.25">
      <c r="B107" s="353" t="s">
        <v>940</v>
      </c>
      <c r="G107" s="569">
        <f t="shared" ca="1" si="18"/>
        <v>10</v>
      </c>
      <c r="H107" s="569">
        <f t="shared" ca="1" si="18"/>
        <v>10</v>
      </c>
      <c r="I107" s="569">
        <f t="shared" ca="1" si="18"/>
        <v>10</v>
      </c>
      <c r="J107" s="569">
        <f t="shared" ca="1" si="18"/>
        <v>10</v>
      </c>
      <c r="K107" s="569">
        <f t="shared" ca="1" si="18"/>
        <v>10</v>
      </c>
      <c r="L107" s="569">
        <f t="shared" ca="1" si="18"/>
        <v>10</v>
      </c>
      <c r="M107" s="569">
        <f t="shared" ca="1" si="18"/>
        <v>10</v>
      </c>
    </row>
    <row r="108" spans="2:13" x14ac:dyDescent="0.25">
      <c r="B108" s="353" t="s">
        <v>941</v>
      </c>
      <c r="G108" s="569">
        <f t="shared" si="18"/>
        <v>3</v>
      </c>
      <c r="H108" s="569">
        <f t="shared" si="18"/>
        <v>3</v>
      </c>
      <c r="I108" s="569">
        <f t="shared" si="18"/>
        <v>3</v>
      </c>
      <c r="J108" s="569">
        <f t="shared" si="18"/>
        <v>3</v>
      </c>
      <c r="K108" s="569">
        <f t="shared" si="18"/>
        <v>3</v>
      </c>
      <c r="L108" s="569">
        <f t="shared" si="18"/>
        <v>3</v>
      </c>
      <c r="M108" s="569">
        <f t="shared" si="18"/>
        <v>3</v>
      </c>
    </row>
    <row r="110" spans="2:13" ht="14" x14ac:dyDescent="0.3">
      <c r="B110" s="667" t="s">
        <v>958</v>
      </c>
    </row>
    <row r="111" spans="2:13" x14ac:dyDescent="0.25">
      <c r="B111" s="353" t="s">
        <v>943</v>
      </c>
      <c r="G111" s="569">
        <f t="shared" ref="G111:M111" ca="1" si="19">IF(G61 = 0, 0, FORECAST(G19, $C$215:$C$216, $F$215:$F$216)*($D192/(G61*G$24))^(1-$E192 ))</f>
        <v>36.829050788394191</v>
      </c>
      <c r="H111" s="569">
        <f t="shared" ca="1" si="19"/>
        <v>36.829050788394191</v>
      </c>
      <c r="I111" s="569">
        <f t="shared" ca="1" si="19"/>
        <v>36.829050788394191</v>
      </c>
      <c r="J111" s="569">
        <f t="shared" ca="1" si="19"/>
        <v>36.829050788394191</v>
      </c>
      <c r="K111" s="569">
        <f t="shared" ca="1" si="19"/>
        <v>36.829050788394191</v>
      </c>
      <c r="L111" s="569">
        <f t="shared" ca="1" si="19"/>
        <v>36.829050788394191</v>
      </c>
      <c r="M111" s="569">
        <f t="shared" ca="1" si="19"/>
        <v>36.829050788394191</v>
      </c>
    </row>
    <row r="112" spans="2:13" x14ac:dyDescent="0.25">
      <c r="B112" s="353" t="s">
        <v>944</v>
      </c>
      <c r="G112" s="569">
        <f t="shared" ref="G112:M118" si="20">IF(G62 = 0, 0, $C193*($D193/(G62*G$24))^(1-$E193 ))</f>
        <v>10</v>
      </c>
      <c r="H112" s="569">
        <f t="shared" si="20"/>
        <v>10</v>
      </c>
      <c r="I112" s="569">
        <f t="shared" si="20"/>
        <v>10</v>
      </c>
      <c r="J112" s="569">
        <f t="shared" si="20"/>
        <v>10</v>
      </c>
      <c r="K112" s="569">
        <f t="shared" si="20"/>
        <v>10</v>
      </c>
      <c r="L112" s="569">
        <f t="shared" si="20"/>
        <v>10</v>
      </c>
      <c r="M112" s="569">
        <f t="shared" si="20"/>
        <v>10</v>
      </c>
    </row>
    <row r="113" spans="2:13" x14ac:dyDescent="0.25">
      <c r="B113" s="353" t="s">
        <v>959</v>
      </c>
      <c r="G113" s="569">
        <f t="shared" ca="1" si="20"/>
        <v>6.7624333780624148</v>
      </c>
      <c r="H113" s="569">
        <f t="shared" ca="1" si="20"/>
        <v>6.7624333780624148</v>
      </c>
      <c r="I113" s="569">
        <f t="shared" ca="1" si="20"/>
        <v>6.7624333780624148</v>
      </c>
      <c r="J113" s="569">
        <f t="shared" ca="1" si="20"/>
        <v>6.7624333780624148</v>
      </c>
      <c r="K113" s="569">
        <f t="shared" ca="1" si="20"/>
        <v>6.7624333780624148</v>
      </c>
      <c r="L113" s="569">
        <f t="shared" ca="1" si="20"/>
        <v>6.7624333780624148</v>
      </c>
      <c r="M113" s="569">
        <f t="shared" ca="1" si="20"/>
        <v>6.7624333780624148</v>
      </c>
    </row>
    <row r="114" spans="2:13" x14ac:dyDescent="0.25">
      <c r="B114" s="353" t="s">
        <v>946</v>
      </c>
      <c r="G114" s="569">
        <f t="shared" si="20"/>
        <v>2.3849867448307744</v>
      </c>
      <c r="H114" s="569">
        <f t="shared" si="20"/>
        <v>2.3849867448307744</v>
      </c>
      <c r="I114" s="569">
        <f t="shared" si="20"/>
        <v>2.3849867448307744</v>
      </c>
      <c r="J114" s="569">
        <f t="shared" si="20"/>
        <v>2.3849867448307744</v>
      </c>
      <c r="K114" s="569">
        <f t="shared" si="20"/>
        <v>2.3849867448307744</v>
      </c>
      <c r="L114" s="569">
        <f t="shared" si="20"/>
        <v>2.3849867448307744</v>
      </c>
      <c r="M114" s="569">
        <f t="shared" si="20"/>
        <v>2.3849867448307744</v>
      </c>
    </row>
    <row r="115" spans="2:13" x14ac:dyDescent="0.25">
      <c r="B115" s="353" t="s">
        <v>947</v>
      </c>
      <c r="G115" s="569">
        <f t="shared" si="20"/>
        <v>0.67624333780624146</v>
      </c>
      <c r="H115" s="569">
        <f t="shared" si="20"/>
        <v>0.67624333780624146</v>
      </c>
      <c r="I115" s="569">
        <f t="shared" si="20"/>
        <v>0.67624333780624146</v>
      </c>
      <c r="J115" s="569">
        <f t="shared" si="20"/>
        <v>0.67624333780624146</v>
      </c>
      <c r="K115" s="569">
        <f t="shared" si="20"/>
        <v>0.67624333780624146</v>
      </c>
      <c r="L115" s="569">
        <f t="shared" si="20"/>
        <v>0.67624333780624146</v>
      </c>
      <c r="M115" s="569">
        <f t="shared" si="20"/>
        <v>0.67624333780624146</v>
      </c>
    </row>
    <row r="116" spans="2:13" x14ac:dyDescent="0.25">
      <c r="B116" s="353" t="s">
        <v>948</v>
      </c>
      <c r="G116" s="569">
        <f t="shared" si="20"/>
        <v>6.7624333780624148</v>
      </c>
      <c r="H116" s="569">
        <f t="shared" si="20"/>
        <v>6.7624333780624148</v>
      </c>
      <c r="I116" s="569">
        <f t="shared" si="20"/>
        <v>6.7624333780624148</v>
      </c>
      <c r="J116" s="569">
        <f t="shared" si="20"/>
        <v>6.7624333780624148</v>
      </c>
      <c r="K116" s="569">
        <f t="shared" si="20"/>
        <v>6.7624333780624148</v>
      </c>
      <c r="L116" s="569">
        <f t="shared" si="20"/>
        <v>6.7624333780624148</v>
      </c>
      <c r="M116" s="569">
        <f t="shared" si="20"/>
        <v>6.7624333780624148</v>
      </c>
    </row>
    <row r="117" spans="2:13" x14ac:dyDescent="0.25">
      <c r="B117" s="353" t="s">
        <v>949</v>
      </c>
      <c r="G117" s="569">
        <f t="shared" si="20"/>
        <v>2.0287300134187243</v>
      </c>
      <c r="H117" s="569">
        <f t="shared" si="20"/>
        <v>2.0287300134187243</v>
      </c>
      <c r="I117" s="569">
        <f t="shared" si="20"/>
        <v>2.0287300134187243</v>
      </c>
      <c r="J117" s="569">
        <f t="shared" si="20"/>
        <v>2.0287300134187243</v>
      </c>
      <c r="K117" s="569">
        <f t="shared" si="20"/>
        <v>2.0287300134187243</v>
      </c>
      <c r="L117" s="569">
        <f t="shared" si="20"/>
        <v>2.0287300134187243</v>
      </c>
      <c r="M117" s="569">
        <f t="shared" si="20"/>
        <v>2.0287300134187243</v>
      </c>
    </row>
    <row r="118" spans="2:13" x14ac:dyDescent="0.25">
      <c r="B118" s="353" t="s">
        <v>950</v>
      </c>
      <c r="G118" s="569">
        <f t="shared" ca="1" si="20"/>
        <v>24.017805599492494</v>
      </c>
      <c r="H118" s="569">
        <f t="shared" ca="1" si="20"/>
        <v>24.017805599492494</v>
      </c>
      <c r="I118" s="569">
        <f t="shared" ca="1" si="20"/>
        <v>24.017805599492494</v>
      </c>
      <c r="J118" s="569">
        <f t="shared" ca="1" si="20"/>
        <v>24.017805599492494</v>
      </c>
      <c r="K118" s="569">
        <f t="shared" ca="1" si="20"/>
        <v>24.017805599492494</v>
      </c>
      <c r="L118" s="569">
        <f t="shared" ca="1" si="20"/>
        <v>24.017805599492494</v>
      </c>
      <c r="M118" s="569">
        <f t="shared" ca="1" si="20"/>
        <v>24.017805599492494</v>
      </c>
    </row>
    <row r="120" spans="2:13" ht="14" x14ac:dyDescent="0.3">
      <c r="B120" s="667" t="s">
        <v>960</v>
      </c>
    </row>
    <row r="121" spans="2:13" x14ac:dyDescent="0.25">
      <c r="B121" s="353" t="s">
        <v>952</v>
      </c>
      <c r="G121" s="569">
        <f t="shared" ref="G121:M121" ca="1" si="21">FORECAST(G19,$C$203:$C$204,  $D$203:$D$204)*G71</f>
        <v>53.04942570510218</v>
      </c>
      <c r="H121" s="569">
        <f t="shared" ca="1" si="21"/>
        <v>53.04942570510218</v>
      </c>
      <c r="I121" s="569">
        <f t="shared" ca="1" si="21"/>
        <v>53.04942570510218</v>
      </c>
      <c r="J121" s="569">
        <f t="shared" ca="1" si="21"/>
        <v>53.04942570510218</v>
      </c>
      <c r="K121" s="569">
        <f t="shared" ca="1" si="21"/>
        <v>53.04942570510218</v>
      </c>
      <c r="L121" s="569">
        <f t="shared" ca="1" si="21"/>
        <v>53.04942570510218</v>
      </c>
      <c r="M121" s="569">
        <f t="shared" ca="1" si="21"/>
        <v>53.04942570510218</v>
      </c>
    </row>
    <row r="123" spans="2:13" ht="14" x14ac:dyDescent="0.3">
      <c r="B123" s="667" t="s">
        <v>961</v>
      </c>
    </row>
    <row r="124" spans="2:13" x14ac:dyDescent="0.25">
      <c r="B124" s="353" t="s">
        <v>954</v>
      </c>
      <c r="G124" s="569">
        <f t="shared" ref="G124:M126" si="22">IF(G74 = 0, 0, $C209*($D209/(G74*G$24))^(1-$E209 ))</f>
        <v>0.13105093404948337</v>
      </c>
      <c r="H124" s="569">
        <f t="shared" si="22"/>
        <v>0.13105093404948337</v>
      </c>
      <c r="I124" s="569">
        <f t="shared" si="22"/>
        <v>0.13105093404948337</v>
      </c>
      <c r="J124" s="569">
        <f t="shared" si="22"/>
        <v>0.13105093404948337</v>
      </c>
      <c r="K124" s="569">
        <f t="shared" si="22"/>
        <v>0.13105093404948337</v>
      </c>
      <c r="L124" s="569">
        <f t="shared" si="22"/>
        <v>0.13105093404948337</v>
      </c>
      <c r="M124" s="569">
        <f t="shared" si="22"/>
        <v>0.13105093404948337</v>
      </c>
    </row>
    <row r="125" spans="2:13" x14ac:dyDescent="0.25">
      <c r="B125" s="353" t="s">
        <v>962</v>
      </c>
      <c r="G125" s="569">
        <f t="shared" si="22"/>
        <v>0.13746419640928109</v>
      </c>
      <c r="H125" s="569">
        <f t="shared" si="22"/>
        <v>0.13746419640928109</v>
      </c>
      <c r="I125" s="569">
        <f t="shared" si="22"/>
        <v>0.13746419640928109</v>
      </c>
      <c r="J125" s="569">
        <f t="shared" si="22"/>
        <v>0.13746419640928109</v>
      </c>
      <c r="K125" s="569">
        <f t="shared" si="22"/>
        <v>0.13746419640928109</v>
      </c>
      <c r="L125" s="569">
        <f t="shared" si="22"/>
        <v>0.13746419640928109</v>
      </c>
      <c r="M125" s="569">
        <f t="shared" si="22"/>
        <v>0.13746419640928109</v>
      </c>
    </row>
    <row r="126" spans="2:13" x14ac:dyDescent="0.25">
      <c r="B126" s="353" t="s">
        <v>956</v>
      </c>
      <c r="G126" s="569">
        <f t="shared" si="22"/>
        <v>0.5</v>
      </c>
      <c r="H126" s="569">
        <f t="shared" si="22"/>
        <v>0.5</v>
      </c>
      <c r="I126" s="569">
        <f t="shared" si="22"/>
        <v>0.5</v>
      </c>
      <c r="J126" s="569">
        <f t="shared" si="22"/>
        <v>0.5</v>
      </c>
      <c r="K126" s="569">
        <f t="shared" si="22"/>
        <v>0.5</v>
      </c>
      <c r="L126" s="569">
        <f t="shared" si="22"/>
        <v>0.5</v>
      </c>
      <c r="M126" s="569">
        <f t="shared" si="22"/>
        <v>0.5</v>
      </c>
    </row>
    <row r="127" spans="2:13" ht="14.5" x14ac:dyDescent="0.35">
      <c r="B127" s="568"/>
      <c r="C127" s="353"/>
    </row>
    <row r="128" spans="2:13" ht="15.5" x14ac:dyDescent="0.35">
      <c r="B128" s="105" t="s">
        <v>963</v>
      </c>
      <c r="C128" s="105"/>
      <c r="D128" s="105"/>
      <c r="E128" s="105"/>
      <c r="F128" s="105"/>
      <c r="G128" s="105"/>
      <c r="H128" s="105"/>
      <c r="I128" s="105"/>
    </row>
    <row r="129" spans="1:14" x14ac:dyDescent="0.25">
      <c r="B129" s="353" t="s">
        <v>964</v>
      </c>
      <c r="C129" s="353"/>
      <c r="G129" s="571">
        <f t="array" aca="1" ref="G129" ca="1">SUM(G80:G108*G30:G58)</f>
        <v>121.65627819634923</v>
      </c>
      <c r="H129" s="571">
        <f t="array" aca="1" ref="H129" ca="1">SUM(H80:H108*H30:H58)</f>
        <v>121.65627819634923</v>
      </c>
      <c r="I129" s="571">
        <f t="array" aca="1" ref="I129" ca="1">SUM(I80:I108*I30:I58)</f>
        <v>121.65627819634923</v>
      </c>
      <c r="J129" s="571">
        <f t="array" aca="1" ref="J129" ca="1">SUM(J80:J108*J30:J58)</f>
        <v>121.65627819634923</v>
      </c>
      <c r="K129" s="571">
        <f t="array" aca="1" ref="K129" ca="1">SUM(K80:K108*K30:K58)</f>
        <v>121.65627819634923</v>
      </c>
      <c r="L129" s="571">
        <f t="array" aca="1" ref="L129" ca="1">SUM(L80:L108*L30:L58)</f>
        <v>121.65627819634923</v>
      </c>
      <c r="M129" s="571">
        <f t="array" aca="1" ref="M129" ca="1">SUM(M80:M108*M30:M58)</f>
        <v>121.65627819634923</v>
      </c>
    </row>
    <row r="130" spans="1:14" x14ac:dyDescent="0.25">
      <c r="B130" s="353" t="s">
        <v>965</v>
      </c>
      <c r="C130" s="353"/>
      <c r="G130" s="571">
        <f t="array" aca="1" ref="G130" ca="1">SUM(G61:G68*G111:G118)</f>
        <v>136.29073402846143</v>
      </c>
      <c r="H130" s="571">
        <f t="array" aca="1" ref="H130" ca="1">SUM(H61:H68*H111:H118)</f>
        <v>136.29073402846143</v>
      </c>
      <c r="I130" s="571">
        <f t="array" aca="1" ref="I130" ca="1">SUM(I61:I68*I111:I118)</f>
        <v>136.29073402846143</v>
      </c>
      <c r="J130" s="571">
        <f t="array" aca="1" ref="J130" ca="1">SUM(J61:J68*J111:J118)</f>
        <v>136.29073402846143</v>
      </c>
      <c r="K130" s="571">
        <f t="array" aca="1" ref="K130" ca="1">SUM(K61:K68*K111:K118)</f>
        <v>136.29073402846143</v>
      </c>
      <c r="L130" s="571">
        <f t="array" aca="1" ref="L130" ca="1">SUM(L61:L68*L111:L118)</f>
        <v>136.29073402846143</v>
      </c>
      <c r="M130" s="571">
        <f t="array" aca="1" ref="M130" ca="1">SUM(M61:M68*M111:M118)</f>
        <v>136.29073402846143</v>
      </c>
    </row>
    <row r="131" spans="1:14" x14ac:dyDescent="0.25">
      <c r="B131" s="353" t="s">
        <v>966</v>
      </c>
      <c r="C131" s="353"/>
      <c r="G131" s="571">
        <f ca="1">G121</f>
        <v>53.04942570510218</v>
      </c>
      <c r="H131" s="571">
        <f t="shared" ref="H131:M131" ca="1" si="23">H121</f>
        <v>53.04942570510218</v>
      </c>
      <c r="I131" s="571">
        <f t="shared" ca="1" si="23"/>
        <v>53.04942570510218</v>
      </c>
      <c r="J131" s="571">
        <f t="shared" ca="1" si="23"/>
        <v>53.04942570510218</v>
      </c>
      <c r="K131" s="571">
        <f t="shared" ca="1" si="23"/>
        <v>53.04942570510218</v>
      </c>
      <c r="L131" s="571">
        <f t="shared" ca="1" si="23"/>
        <v>53.04942570510218</v>
      </c>
      <c r="M131" s="571">
        <f t="shared" ca="1" si="23"/>
        <v>53.04942570510218</v>
      </c>
    </row>
    <row r="132" spans="1:14" x14ac:dyDescent="0.25">
      <c r="B132" s="353" t="s">
        <v>953</v>
      </c>
      <c r="C132" s="353"/>
      <c r="G132" s="571">
        <f t="array" ref="G132">SUM(G124:G126*G74:G76)</f>
        <v>44.604701740076145</v>
      </c>
      <c r="H132" s="571">
        <f t="array" ref="H132">SUM(H124:H126*H74:H76)</f>
        <v>44.604701740076145</v>
      </c>
      <c r="I132" s="571">
        <f t="array" ref="I132">SUM(I124:I126*I74:I76)</f>
        <v>44.604701740076145</v>
      </c>
      <c r="J132" s="571">
        <f t="array" ref="J132">SUM(J124:J126*J74:J76)</f>
        <v>44.604701740076145</v>
      </c>
      <c r="K132" s="571">
        <f t="array" ref="K132">SUM(K124:K126*K74:K76)</f>
        <v>44.604701740076145</v>
      </c>
      <c r="L132" s="571">
        <f t="array" ref="L132">SUM(L124:L126*L74:L76)</f>
        <v>44.604701740076145</v>
      </c>
      <c r="M132" s="571">
        <f t="array" ref="M132">SUM(M124:M126*M74:M76)</f>
        <v>44.604701740076145</v>
      </c>
    </row>
    <row r="133" spans="1:14" ht="13" x14ac:dyDescent="0.3">
      <c r="A133" s="353" t="s">
        <v>264</v>
      </c>
      <c r="B133" s="28" t="s">
        <v>967</v>
      </c>
      <c r="C133" s="190"/>
      <c r="D133" s="9"/>
      <c r="E133" s="9"/>
      <c r="F133" s="9"/>
      <c r="G133" s="734">
        <f ca="1">SUM(G129:G132)</f>
        <v>355.60113966998904</v>
      </c>
      <c r="H133" s="734">
        <f t="shared" ref="H133:M133" ca="1" si="24">SUM(H129:H132)</f>
        <v>355.60113966998904</v>
      </c>
      <c r="I133" s="734">
        <f t="shared" ca="1" si="24"/>
        <v>355.60113966998904</v>
      </c>
      <c r="J133" s="734">
        <f t="shared" ca="1" si="24"/>
        <v>355.60113966998904</v>
      </c>
      <c r="K133" s="734">
        <f t="shared" ca="1" si="24"/>
        <v>355.60113966998904</v>
      </c>
      <c r="L133" s="734">
        <f t="shared" ca="1" si="24"/>
        <v>355.60113966998904</v>
      </c>
      <c r="M133" s="734">
        <f t="shared" ca="1" si="24"/>
        <v>355.60113966998904</v>
      </c>
    </row>
    <row r="135" spans="1:14" ht="15.5" x14ac:dyDescent="0.35">
      <c r="B135" s="105" t="s">
        <v>968</v>
      </c>
      <c r="C135" s="105"/>
      <c r="D135" s="105"/>
      <c r="E135" s="105"/>
      <c r="F135" s="105"/>
      <c r="G135" s="105"/>
      <c r="H135" s="105"/>
      <c r="I135" s="105"/>
    </row>
    <row r="136" spans="1:14" ht="15.5" x14ac:dyDescent="0.35">
      <c r="B136" s="353" t="s">
        <v>969</v>
      </c>
      <c r="C136" s="105"/>
      <c r="D136" s="105"/>
      <c r="E136" s="105"/>
      <c r="F136" s="105"/>
      <c r="G136" s="513">
        <f>0.04</f>
        <v>0.04</v>
      </c>
      <c r="H136" s="513">
        <f t="shared" ref="H136:M136" si="25">0.04</f>
        <v>0.04</v>
      </c>
      <c r="I136" s="513">
        <f t="shared" si="25"/>
        <v>0.04</v>
      </c>
      <c r="J136" s="513">
        <f t="shared" si="25"/>
        <v>0.04</v>
      </c>
      <c r="K136" s="513">
        <f t="shared" si="25"/>
        <v>0.04</v>
      </c>
      <c r="L136" s="513">
        <f t="shared" si="25"/>
        <v>0.04</v>
      </c>
      <c r="M136" s="513">
        <f t="shared" si="25"/>
        <v>0.04</v>
      </c>
    </row>
    <row r="137" spans="1:14" ht="15.5" x14ac:dyDescent="0.35">
      <c r="B137" s="353" t="s">
        <v>970</v>
      </c>
      <c r="C137" s="105"/>
      <c r="D137" s="105"/>
      <c r="E137" s="105"/>
      <c r="F137" s="105"/>
      <c r="G137" s="513">
        <f>0.02</f>
        <v>0.02</v>
      </c>
      <c r="H137" s="513">
        <f t="shared" ref="H137:M137" si="26">0.02</f>
        <v>0.02</v>
      </c>
      <c r="I137" s="513">
        <f t="shared" si="26"/>
        <v>0.02</v>
      </c>
      <c r="J137" s="513">
        <f t="shared" si="26"/>
        <v>0.02</v>
      </c>
      <c r="K137" s="513">
        <f t="shared" si="26"/>
        <v>0.02</v>
      </c>
      <c r="L137" s="513">
        <f t="shared" si="26"/>
        <v>0.02</v>
      </c>
      <c r="M137" s="513">
        <f t="shared" si="26"/>
        <v>0.02</v>
      </c>
    </row>
    <row r="138" spans="1:14" ht="13" x14ac:dyDescent="0.3">
      <c r="B138" s="353" t="s">
        <v>971</v>
      </c>
      <c r="C138" s="353"/>
      <c r="G138" s="93">
        <f ca="1">G30*G61*G136+G137*G23</f>
        <v>0.28000000000000003</v>
      </c>
      <c r="H138" s="93">
        <f t="shared" ref="H138:M138" ca="1" si="27">H30*H61*H136+H137*H23</f>
        <v>0.28000000000000003</v>
      </c>
      <c r="I138" s="93">
        <f t="shared" ca="1" si="27"/>
        <v>0.28000000000000003</v>
      </c>
      <c r="J138" s="93">
        <f t="shared" ca="1" si="27"/>
        <v>0.28000000000000003</v>
      </c>
      <c r="K138" s="93">
        <f t="shared" ca="1" si="27"/>
        <v>0.28000000000000003</v>
      </c>
      <c r="L138" s="93">
        <f t="shared" ca="1" si="27"/>
        <v>0.28000000000000003</v>
      </c>
      <c r="M138" s="93">
        <f t="shared" ca="1" si="27"/>
        <v>0.28000000000000003</v>
      </c>
      <c r="N138" s="737"/>
    </row>
    <row r="139" spans="1:14" ht="13" x14ac:dyDescent="0.3">
      <c r="B139" s="353" t="s">
        <v>958</v>
      </c>
      <c r="C139" s="353"/>
      <c r="G139" s="93" cm="1">
        <f t="array" aca="1" ref="G139" ca="1">SUM($K$192:$K$199*G61:G68)*0.001</f>
        <v>2.444</v>
      </c>
      <c r="H139" s="93">
        <f t="array" aca="1" ref="H139" ca="1">SUM($K$192:$K$199*H61:H68)*0.001</f>
        <v>2.444</v>
      </c>
      <c r="I139" s="93">
        <f t="array" aca="1" ref="I139" ca="1">SUM($K$192:$K$199*I61:I68)*0.001</f>
        <v>2.444</v>
      </c>
      <c r="J139" s="93">
        <f t="array" aca="1" ref="J139" ca="1">SUM($K$192:$K$199*J61:J68)*0.001</f>
        <v>2.444</v>
      </c>
      <c r="K139" s="93">
        <f t="array" aca="1" ref="K139" ca="1">SUM($K$192:$K$199*K61:K68)*0.001</f>
        <v>2.444</v>
      </c>
      <c r="L139" s="93">
        <f t="array" aca="1" ref="L139" ca="1">SUM($K$192:$K$199*L61:L68)*0.001</f>
        <v>2.444</v>
      </c>
      <c r="M139" s="93">
        <f t="array" aca="1" ref="M139" ca="1">SUM($K$192:$K$199*M61:M68)*0.001</f>
        <v>2.444</v>
      </c>
      <c r="N139" s="737"/>
    </row>
    <row r="140" spans="1:14" x14ac:dyDescent="0.25">
      <c r="B140" s="353" t="s">
        <v>972</v>
      </c>
      <c r="C140" s="353"/>
      <c r="G140" s="93">
        <f ca="1">0.1*G138</f>
        <v>2.8000000000000004E-2</v>
      </c>
      <c r="H140" s="93">
        <f t="shared" ref="H140:M140" ca="1" si="28">0.1*H138</f>
        <v>2.8000000000000004E-2</v>
      </c>
      <c r="I140" s="93">
        <f t="shared" ca="1" si="28"/>
        <v>2.8000000000000004E-2</v>
      </c>
      <c r="J140" s="93">
        <f t="shared" ca="1" si="28"/>
        <v>2.8000000000000004E-2</v>
      </c>
      <c r="K140" s="93">
        <f t="shared" ca="1" si="28"/>
        <v>2.8000000000000004E-2</v>
      </c>
      <c r="L140" s="93">
        <f t="shared" ca="1" si="28"/>
        <v>2.8000000000000004E-2</v>
      </c>
      <c r="M140" s="93">
        <f t="shared" ca="1" si="28"/>
        <v>2.8000000000000004E-2</v>
      </c>
    </row>
    <row r="141" spans="1:14" x14ac:dyDescent="0.25">
      <c r="B141" s="353" t="s">
        <v>973</v>
      </c>
      <c r="C141" s="353"/>
      <c r="G141" s="93">
        <f t="shared" ref="G141:M141" ca="1" si="29">0.3*SUM(G138:G140)</f>
        <v>0.8256</v>
      </c>
      <c r="H141" s="93">
        <f t="shared" ca="1" si="29"/>
        <v>0.8256</v>
      </c>
      <c r="I141" s="93">
        <f t="shared" ca="1" si="29"/>
        <v>0.8256</v>
      </c>
      <c r="J141" s="93">
        <f t="shared" ca="1" si="29"/>
        <v>0.8256</v>
      </c>
      <c r="K141" s="93">
        <f t="shared" ca="1" si="29"/>
        <v>0.8256</v>
      </c>
      <c r="L141" s="93">
        <f t="shared" ca="1" si="29"/>
        <v>0.8256</v>
      </c>
      <c r="M141" s="93">
        <f t="shared" ca="1" si="29"/>
        <v>0.8256</v>
      </c>
    </row>
    <row r="142" spans="1:14" ht="13" x14ac:dyDescent="0.3">
      <c r="A142" s="353" t="s">
        <v>264</v>
      </c>
      <c r="B142" s="28" t="s">
        <v>968</v>
      </c>
      <c r="C142" s="9"/>
      <c r="D142" s="9"/>
      <c r="E142" s="9"/>
      <c r="F142" s="9"/>
      <c r="G142" s="16">
        <f t="shared" ref="G142:M142" ca="1" si="30">SUM(G138:G141)</f>
        <v>3.5776000000000003</v>
      </c>
      <c r="H142" s="16">
        <f t="shared" ca="1" si="30"/>
        <v>3.5776000000000003</v>
      </c>
      <c r="I142" s="16">
        <f t="shared" ca="1" si="30"/>
        <v>3.5776000000000003</v>
      </c>
      <c r="J142" s="16">
        <f t="shared" ca="1" si="30"/>
        <v>3.5776000000000003</v>
      </c>
      <c r="K142" s="16">
        <f t="shared" ca="1" si="30"/>
        <v>3.5776000000000003</v>
      </c>
      <c r="L142" s="16">
        <f t="shared" ca="1" si="30"/>
        <v>3.5776000000000003</v>
      </c>
      <c r="M142" s="16">
        <f t="shared" ca="1" si="30"/>
        <v>3.5776000000000003</v>
      </c>
    </row>
    <row r="144" spans="1:14" ht="15.5" x14ac:dyDescent="0.35">
      <c r="B144" s="105" t="s">
        <v>974</v>
      </c>
      <c r="C144" s="105"/>
      <c r="D144" s="105"/>
      <c r="E144" s="105"/>
      <c r="F144" s="105"/>
      <c r="G144" s="105"/>
      <c r="H144" s="105"/>
      <c r="I144" s="105"/>
    </row>
    <row r="145" spans="1:14" ht="15.5" x14ac:dyDescent="0.35">
      <c r="B145" s="353" t="s">
        <v>975</v>
      </c>
      <c r="C145" s="105"/>
      <c r="D145" s="105"/>
      <c r="E145" s="105"/>
      <c r="F145" s="105"/>
      <c r="G145" s="513">
        <f>0.16</f>
        <v>0.16</v>
      </c>
      <c r="H145" s="513">
        <f t="shared" ref="H145:M145" si="31">0.16</f>
        <v>0.16</v>
      </c>
      <c r="I145" s="513">
        <f t="shared" si="31"/>
        <v>0.16</v>
      </c>
      <c r="J145" s="513">
        <f t="shared" si="31"/>
        <v>0.16</v>
      </c>
      <c r="K145" s="513">
        <f t="shared" si="31"/>
        <v>0.16</v>
      </c>
      <c r="L145" s="513">
        <f t="shared" si="31"/>
        <v>0.16</v>
      </c>
      <c r="M145" s="513">
        <f t="shared" si="31"/>
        <v>0.16</v>
      </c>
    </row>
    <row r="146" spans="1:14" ht="15.5" x14ac:dyDescent="0.35">
      <c r="B146" s="353" t="s">
        <v>976</v>
      </c>
      <c r="C146" s="105"/>
      <c r="D146" s="105"/>
      <c r="E146" s="105"/>
      <c r="F146" s="105"/>
      <c r="G146" s="513">
        <f>0.08</f>
        <v>0.08</v>
      </c>
      <c r="H146" s="513">
        <f t="shared" ref="H146:M146" si="32">0.08</f>
        <v>0.08</v>
      </c>
      <c r="I146" s="513">
        <f t="shared" si="32"/>
        <v>0.08</v>
      </c>
      <c r="J146" s="513">
        <f t="shared" si="32"/>
        <v>0.08</v>
      </c>
      <c r="K146" s="513">
        <f t="shared" si="32"/>
        <v>0.08</v>
      </c>
      <c r="L146" s="513">
        <f t="shared" si="32"/>
        <v>0.08</v>
      </c>
      <c r="M146" s="513">
        <f t="shared" si="32"/>
        <v>0.08</v>
      </c>
    </row>
    <row r="147" spans="1:14" ht="13" x14ac:dyDescent="0.3">
      <c r="B147" s="353" t="s">
        <v>977</v>
      </c>
      <c r="C147" s="353"/>
      <c r="G147" s="93">
        <f ca="1">G30*G145*G61+G146*G23</f>
        <v>1.1200000000000001</v>
      </c>
      <c r="H147" s="93">
        <f t="shared" ref="H147:M147" ca="1" si="33">H30*H145*H61+H146*H23</f>
        <v>1.1200000000000001</v>
      </c>
      <c r="I147" s="93">
        <f t="shared" ca="1" si="33"/>
        <v>1.1200000000000001</v>
      </c>
      <c r="J147" s="93">
        <f t="shared" ca="1" si="33"/>
        <v>1.1200000000000001</v>
      </c>
      <c r="K147" s="93">
        <f t="shared" ca="1" si="33"/>
        <v>1.1200000000000001</v>
      </c>
      <c r="L147" s="93">
        <f t="shared" ca="1" si="33"/>
        <v>1.1200000000000001</v>
      </c>
      <c r="M147" s="93">
        <f t="shared" ca="1" si="33"/>
        <v>1.1200000000000001</v>
      </c>
      <c r="N147" s="737"/>
    </row>
    <row r="148" spans="1:14" ht="13" x14ac:dyDescent="0.3">
      <c r="B148" s="353" t="s">
        <v>958</v>
      </c>
      <c r="C148" s="353"/>
      <c r="G148" s="93" cm="1">
        <f t="array" aca="1" ref="G148" ca="1">SUM($J$192:$J$199*G61:G68)</f>
        <v>1.5485</v>
      </c>
      <c r="H148" s="93" cm="1">
        <f t="array" aca="1" ref="H148" ca="1">SUM($J$192:$J$199*H61:H68)</f>
        <v>1.5485</v>
      </c>
      <c r="I148" s="93" cm="1">
        <f t="array" aca="1" ref="I148" ca="1">SUM($J$192:$J$199*I61:I68)</f>
        <v>1.5485</v>
      </c>
      <c r="J148" s="93" cm="1">
        <f t="array" aca="1" ref="J148" ca="1">SUM($J$192:$J$199*J61:J68)</f>
        <v>1.5485</v>
      </c>
      <c r="K148" s="93" cm="1">
        <f t="array" aca="1" ref="K148" ca="1">SUM($J$192:$J$199*K61:K68)</f>
        <v>1.5485</v>
      </c>
      <c r="L148" s="93" cm="1">
        <f t="array" aca="1" ref="L148" ca="1">SUM($J$192:$J$199*L61:L68)</f>
        <v>1.5485</v>
      </c>
      <c r="M148" s="93" cm="1">
        <f t="array" aca="1" ref="M148" ca="1">SUM($J$192:$J$199*M61:M68)</f>
        <v>1.5485</v>
      </c>
      <c r="N148" s="737"/>
    </row>
    <row r="149" spans="1:14" x14ac:dyDescent="0.25">
      <c r="B149" s="353" t="s">
        <v>972</v>
      </c>
      <c r="C149" s="353"/>
      <c r="G149" s="93">
        <f ca="1">0.1*G147</f>
        <v>0.11200000000000002</v>
      </c>
      <c r="H149" s="93">
        <f t="shared" ref="H149:M149" ca="1" si="34">0.1*H147</f>
        <v>0.11200000000000002</v>
      </c>
      <c r="I149" s="93">
        <f t="shared" ca="1" si="34"/>
        <v>0.11200000000000002</v>
      </c>
      <c r="J149" s="93">
        <f t="shared" ca="1" si="34"/>
        <v>0.11200000000000002</v>
      </c>
      <c r="K149" s="93">
        <f t="shared" ca="1" si="34"/>
        <v>0.11200000000000002</v>
      </c>
      <c r="L149" s="93">
        <f t="shared" ca="1" si="34"/>
        <v>0.11200000000000002</v>
      </c>
      <c r="M149" s="93">
        <f t="shared" ca="1" si="34"/>
        <v>0.11200000000000002</v>
      </c>
    </row>
    <row r="150" spans="1:14" x14ac:dyDescent="0.25">
      <c r="B150" s="353" t="s">
        <v>973</v>
      </c>
      <c r="C150" s="353"/>
      <c r="G150" s="93">
        <f t="shared" ref="G150:M150" ca="1" si="35">0.3*SUM(G147:G149)</f>
        <v>0.83414999999999995</v>
      </c>
      <c r="H150" s="93">
        <f t="shared" ca="1" si="35"/>
        <v>0.83414999999999995</v>
      </c>
      <c r="I150" s="93">
        <f t="shared" ca="1" si="35"/>
        <v>0.83414999999999995</v>
      </c>
      <c r="J150" s="93">
        <f t="shared" ca="1" si="35"/>
        <v>0.83414999999999995</v>
      </c>
      <c r="K150" s="93">
        <f t="shared" ca="1" si="35"/>
        <v>0.83414999999999995</v>
      </c>
      <c r="L150" s="93">
        <f t="shared" ca="1" si="35"/>
        <v>0.83414999999999995</v>
      </c>
      <c r="M150" s="93">
        <f t="shared" ca="1" si="35"/>
        <v>0.83414999999999995</v>
      </c>
    </row>
    <row r="151" spans="1:14" ht="13" x14ac:dyDescent="0.3">
      <c r="A151" s="353" t="s">
        <v>264</v>
      </c>
      <c r="B151" s="36" t="s">
        <v>974</v>
      </c>
      <c r="C151" s="61"/>
      <c r="D151" s="61"/>
      <c r="E151" s="61"/>
      <c r="F151" s="61"/>
      <c r="G151" s="47">
        <f t="shared" ref="G151:M151" ca="1" si="36">SUM(G147:G150)</f>
        <v>3.6146500000000001</v>
      </c>
      <c r="H151" s="47">
        <f t="shared" ca="1" si="36"/>
        <v>3.6146500000000001</v>
      </c>
      <c r="I151" s="47">
        <f t="shared" ca="1" si="36"/>
        <v>3.6146500000000001</v>
      </c>
      <c r="J151" s="47">
        <f t="shared" ca="1" si="36"/>
        <v>3.6146500000000001</v>
      </c>
      <c r="K151" s="47">
        <f t="shared" ca="1" si="36"/>
        <v>3.6146500000000001</v>
      </c>
      <c r="L151" s="47">
        <f t="shared" ca="1" si="36"/>
        <v>3.6146500000000001</v>
      </c>
      <c r="M151" s="47">
        <f t="shared" ca="1" si="36"/>
        <v>3.6146500000000001</v>
      </c>
    </row>
    <row r="152" spans="1:14" ht="13" thickBot="1" x14ac:dyDescent="0.3">
      <c r="C152" s="353"/>
    </row>
    <row r="153" spans="1:14" ht="20.5" thickBot="1" x14ac:dyDescent="0.45">
      <c r="B153" s="1453" t="s">
        <v>978</v>
      </c>
      <c r="C153" s="1454"/>
      <c r="D153" s="1454"/>
      <c r="E153" s="1454"/>
      <c r="F153" s="1454"/>
      <c r="G153" s="1454"/>
      <c r="H153" s="1454"/>
      <c r="I153" s="1454"/>
      <c r="J153" s="1454"/>
      <c r="K153" s="1454"/>
      <c r="L153" s="1454"/>
      <c r="M153" s="1455"/>
    </row>
    <row r="156" spans="1:14" x14ac:dyDescent="0.25">
      <c r="B156" s="9" t="s">
        <v>979</v>
      </c>
      <c r="C156" s="940">
        <v>0.9</v>
      </c>
    </row>
    <row r="158" spans="1:14" ht="15.5" x14ac:dyDescent="0.35">
      <c r="C158" s="105"/>
      <c r="D158" s="1380" t="s">
        <v>980</v>
      </c>
      <c r="E158" s="105"/>
      <c r="F158" s="1380" t="s">
        <v>981</v>
      </c>
      <c r="G158" s="105"/>
      <c r="H158" s="1380" t="s">
        <v>982</v>
      </c>
      <c r="I158" s="1380" t="s">
        <v>983</v>
      </c>
    </row>
    <row r="159" spans="1:14" ht="14.5" x14ac:dyDescent="0.35">
      <c r="B159" s="733" t="s">
        <v>964</v>
      </c>
      <c r="C159" s="26" t="s">
        <v>984</v>
      </c>
      <c r="D159" s="1382" t="s">
        <v>985</v>
      </c>
      <c r="E159" s="572" t="s">
        <v>986</v>
      </c>
      <c r="F159" s="1382" t="s">
        <v>643</v>
      </c>
      <c r="G159" s="26" t="s">
        <v>987</v>
      </c>
      <c r="H159" s="1382" t="s">
        <v>988</v>
      </c>
      <c r="I159" s="1382" t="s">
        <v>989</v>
      </c>
    </row>
    <row r="160" spans="1:14" x14ac:dyDescent="0.25">
      <c r="B160" s="353" t="s">
        <v>913</v>
      </c>
      <c r="C160" s="569">
        <v>5</v>
      </c>
      <c r="D160" s="353">
        <v>1000</v>
      </c>
      <c r="E160" s="353">
        <f>$C$156</f>
        <v>0.9</v>
      </c>
      <c r="F160" s="353">
        <v>1</v>
      </c>
      <c r="G160" s="353">
        <v>0</v>
      </c>
      <c r="H160" s="353">
        <v>0</v>
      </c>
      <c r="I160" s="353">
        <v>1</v>
      </c>
    </row>
    <row r="161" spans="2:9" x14ac:dyDescent="0.25">
      <c r="B161" s="353" t="s">
        <v>914</v>
      </c>
      <c r="C161" s="569">
        <v>1.58</v>
      </c>
      <c r="D161" s="353">
        <v>5000</v>
      </c>
      <c r="E161" s="353">
        <f t="shared" ref="E161:E186" si="37">$C$156</f>
        <v>0.9</v>
      </c>
      <c r="F161" s="353">
        <v>1</v>
      </c>
      <c r="G161" s="353">
        <v>0.5</v>
      </c>
      <c r="H161" s="353">
        <v>0</v>
      </c>
      <c r="I161" s="353">
        <v>1</v>
      </c>
    </row>
    <row r="162" spans="2:9" x14ac:dyDescent="0.25">
      <c r="B162" s="353" t="s">
        <v>915</v>
      </c>
      <c r="C162" s="569">
        <v>1.3</v>
      </c>
      <c r="D162" s="353">
        <v>5000</v>
      </c>
      <c r="E162" s="353">
        <f t="shared" si="37"/>
        <v>0.9</v>
      </c>
      <c r="F162" s="353">
        <v>1</v>
      </c>
      <c r="G162" s="353">
        <v>0</v>
      </c>
      <c r="H162" s="353">
        <v>0</v>
      </c>
      <c r="I162" s="353">
        <v>1</v>
      </c>
    </row>
    <row r="163" spans="2:9" x14ac:dyDescent="0.25">
      <c r="B163" s="353" t="s">
        <v>916</v>
      </c>
      <c r="C163" s="569">
        <v>0.5</v>
      </c>
      <c r="D163" s="353">
        <v>1000</v>
      </c>
      <c r="E163" s="353">
        <f t="shared" si="37"/>
        <v>0.9</v>
      </c>
      <c r="F163" s="353">
        <v>2</v>
      </c>
      <c r="G163" s="353">
        <v>0.16666600000000001</v>
      </c>
      <c r="H163" s="353">
        <v>0</v>
      </c>
      <c r="I163" s="353">
        <v>1</v>
      </c>
    </row>
    <row r="164" spans="2:9" x14ac:dyDescent="0.25">
      <c r="B164" s="353" t="s">
        <v>917</v>
      </c>
      <c r="C164" s="569">
        <v>20.299800000000001</v>
      </c>
      <c r="D164" s="353">
        <v>500</v>
      </c>
      <c r="E164" s="353">
        <f t="shared" si="37"/>
        <v>0.9</v>
      </c>
      <c r="F164" s="353">
        <v>1</v>
      </c>
      <c r="G164" s="353">
        <v>0</v>
      </c>
      <c r="H164" s="353">
        <v>0</v>
      </c>
      <c r="I164" s="353">
        <v>1</v>
      </c>
    </row>
    <row r="165" spans="2:9" x14ac:dyDescent="0.25">
      <c r="B165" s="353" t="s">
        <v>918</v>
      </c>
      <c r="C165" s="569">
        <v>0.10639999999999999</v>
      </c>
      <c r="D165" s="353">
        <v>10000</v>
      </c>
      <c r="E165" s="353">
        <f t="shared" si="37"/>
        <v>0.9</v>
      </c>
      <c r="F165" s="353">
        <v>1</v>
      </c>
      <c r="G165" s="353">
        <v>1</v>
      </c>
      <c r="H165" s="353">
        <v>0</v>
      </c>
      <c r="I165" s="353">
        <v>1</v>
      </c>
    </row>
    <row r="166" spans="2:9" x14ac:dyDescent="0.25">
      <c r="B166" s="353" t="s">
        <v>919</v>
      </c>
      <c r="C166" s="569">
        <v>0.36854999999999999</v>
      </c>
      <c r="D166" s="353">
        <v>25000</v>
      </c>
      <c r="E166" s="353">
        <f t="shared" si="37"/>
        <v>0.9</v>
      </c>
      <c r="F166" s="353">
        <v>1</v>
      </c>
      <c r="G166" s="353">
        <v>0</v>
      </c>
      <c r="H166" s="353">
        <v>0</v>
      </c>
      <c r="I166" s="353">
        <v>1</v>
      </c>
    </row>
    <row r="167" spans="2:9" x14ac:dyDescent="0.25">
      <c r="B167" s="353" t="s">
        <v>920</v>
      </c>
      <c r="C167" s="569">
        <v>3.95</v>
      </c>
      <c r="D167" s="353">
        <v>2000</v>
      </c>
      <c r="E167" s="353">
        <f t="shared" si="37"/>
        <v>0.9</v>
      </c>
      <c r="F167" s="353">
        <v>0</v>
      </c>
      <c r="G167" s="353">
        <v>1</v>
      </c>
      <c r="H167" s="353">
        <v>0</v>
      </c>
      <c r="I167" s="353">
        <v>1</v>
      </c>
    </row>
    <row r="168" spans="2:9" x14ac:dyDescent="0.25">
      <c r="B168" s="353" t="s">
        <v>921</v>
      </c>
      <c r="C168" s="569">
        <v>2.95</v>
      </c>
      <c r="D168" s="353">
        <v>1000</v>
      </c>
      <c r="E168" s="353">
        <f t="shared" si="37"/>
        <v>0.9</v>
      </c>
      <c r="F168" s="353">
        <v>0</v>
      </c>
      <c r="G168" s="353">
        <v>1</v>
      </c>
      <c r="H168" s="353">
        <v>0</v>
      </c>
      <c r="I168" s="353">
        <v>1</v>
      </c>
    </row>
    <row r="169" spans="2:9" x14ac:dyDescent="0.25">
      <c r="B169" s="353" t="s">
        <v>922</v>
      </c>
      <c r="C169" s="569">
        <v>0.52466999999999997</v>
      </c>
      <c r="D169" s="353">
        <v>12500</v>
      </c>
      <c r="E169" s="353">
        <f t="shared" si="37"/>
        <v>0.9</v>
      </c>
      <c r="F169" s="353">
        <v>4</v>
      </c>
      <c r="G169" s="353">
        <v>0</v>
      </c>
      <c r="H169" s="353">
        <v>0</v>
      </c>
      <c r="I169" s="353">
        <v>1</v>
      </c>
    </row>
    <row r="170" spans="2:9" x14ac:dyDescent="0.25">
      <c r="B170" s="353" t="s">
        <v>923</v>
      </c>
      <c r="C170" s="569">
        <v>0.63700000000000001</v>
      </c>
      <c r="D170" s="353">
        <v>12000</v>
      </c>
      <c r="E170" s="353">
        <f t="shared" si="37"/>
        <v>0.9</v>
      </c>
      <c r="F170" s="353">
        <v>3</v>
      </c>
      <c r="G170" s="353">
        <v>0</v>
      </c>
      <c r="H170" s="353">
        <v>0</v>
      </c>
      <c r="I170" s="353">
        <v>1</v>
      </c>
    </row>
    <row r="171" spans="2:9" x14ac:dyDescent="0.25">
      <c r="B171" s="353" t="s">
        <v>990</v>
      </c>
      <c r="C171" s="569">
        <v>0.78008</v>
      </c>
      <c r="D171" s="353">
        <v>5000</v>
      </c>
      <c r="E171" s="353">
        <f t="shared" si="37"/>
        <v>0.9</v>
      </c>
      <c r="F171" s="353">
        <v>0</v>
      </c>
      <c r="G171" s="353">
        <v>1</v>
      </c>
      <c r="H171" s="353">
        <v>0</v>
      </c>
      <c r="I171" s="353">
        <v>1</v>
      </c>
    </row>
    <row r="172" spans="2:9" x14ac:dyDescent="0.25">
      <c r="B172" s="353" t="s">
        <v>925</v>
      </c>
      <c r="C172" s="569">
        <v>1.887</v>
      </c>
      <c r="D172" s="353">
        <v>500</v>
      </c>
      <c r="E172" s="353">
        <f t="shared" si="37"/>
        <v>0.9</v>
      </c>
      <c r="F172" s="353">
        <v>1</v>
      </c>
      <c r="G172" s="353">
        <v>0</v>
      </c>
      <c r="H172" s="353">
        <v>0</v>
      </c>
      <c r="I172" s="353">
        <v>1</v>
      </c>
    </row>
    <row r="173" spans="2:9" x14ac:dyDescent="0.25">
      <c r="B173" s="353" t="s">
        <v>991</v>
      </c>
      <c r="C173" s="569">
        <v>1.0900000000000001</v>
      </c>
      <c r="D173" s="353">
        <v>1000</v>
      </c>
      <c r="E173" s="353">
        <f t="shared" si="37"/>
        <v>0.9</v>
      </c>
      <c r="F173" s="353">
        <v>0</v>
      </c>
      <c r="G173" s="353">
        <v>1</v>
      </c>
      <c r="H173" s="353">
        <v>-2</v>
      </c>
      <c r="I173" s="353">
        <v>1</v>
      </c>
    </row>
    <row r="174" spans="2:9" x14ac:dyDescent="0.25">
      <c r="B174" s="353" t="s">
        <v>927</v>
      </c>
      <c r="C174" s="569">
        <v>1.581</v>
      </c>
      <c r="D174" s="353">
        <v>3000</v>
      </c>
      <c r="E174" s="353">
        <f t="shared" si="37"/>
        <v>0.9</v>
      </c>
      <c r="F174" s="353">
        <v>0</v>
      </c>
      <c r="G174" s="353">
        <v>0.5</v>
      </c>
      <c r="H174" s="353">
        <v>0</v>
      </c>
      <c r="I174" s="353">
        <v>1</v>
      </c>
    </row>
    <row r="175" spans="2:9" x14ac:dyDescent="0.25">
      <c r="B175" s="353" t="s">
        <v>928</v>
      </c>
      <c r="C175" s="569">
        <v>7.9829999999999998E-2</v>
      </c>
      <c r="D175" s="329">
        <v>125000</v>
      </c>
      <c r="E175" s="353">
        <f t="shared" si="37"/>
        <v>0.9</v>
      </c>
      <c r="F175" s="353">
        <v>0</v>
      </c>
      <c r="G175" s="353">
        <v>0.33329999999999999</v>
      </c>
      <c r="H175" s="353">
        <v>0</v>
      </c>
      <c r="I175" s="353">
        <v>1</v>
      </c>
    </row>
    <row r="176" spans="2:9" x14ac:dyDescent="0.25">
      <c r="B176" s="353" t="s">
        <v>992</v>
      </c>
      <c r="C176" s="569">
        <v>0.70223999999999998</v>
      </c>
      <c r="D176" s="353">
        <v>5000</v>
      </c>
      <c r="E176" s="353">
        <f t="shared" si="37"/>
        <v>0.9</v>
      </c>
      <c r="F176" s="353">
        <v>1</v>
      </c>
      <c r="G176" s="353">
        <v>0</v>
      </c>
      <c r="H176" s="353">
        <v>0</v>
      </c>
      <c r="I176" s="353">
        <v>1</v>
      </c>
    </row>
    <row r="177" spans="2:11" x14ac:dyDescent="0.25">
      <c r="B177" s="353" t="s">
        <v>930</v>
      </c>
      <c r="C177" s="569">
        <v>4.3889999999999998E-2</v>
      </c>
      <c r="D177" s="353">
        <v>75000</v>
      </c>
      <c r="E177" s="353">
        <f t="shared" si="37"/>
        <v>0.9</v>
      </c>
      <c r="F177" s="353">
        <v>26</v>
      </c>
      <c r="G177" s="353">
        <v>26</v>
      </c>
      <c r="H177" s="353">
        <v>0</v>
      </c>
      <c r="I177" s="353">
        <v>1</v>
      </c>
    </row>
    <row r="178" spans="2:11" x14ac:dyDescent="0.25">
      <c r="B178" s="353" t="s">
        <v>931</v>
      </c>
      <c r="C178" s="569">
        <v>1.18E-2</v>
      </c>
      <c r="D178" s="353">
        <v>50000</v>
      </c>
      <c r="E178" s="353">
        <f t="shared" si="37"/>
        <v>0.9</v>
      </c>
      <c r="F178" s="353">
        <v>51</v>
      </c>
      <c r="G178" s="353">
        <v>45</v>
      </c>
      <c r="H178" s="353">
        <v>0</v>
      </c>
      <c r="I178" s="353">
        <v>1</v>
      </c>
    </row>
    <row r="179" spans="2:11" x14ac:dyDescent="0.25">
      <c r="B179" s="353" t="s">
        <v>932</v>
      </c>
      <c r="C179" s="569">
        <v>1.18E-2</v>
      </c>
      <c r="D179" s="353">
        <v>50000</v>
      </c>
      <c r="E179" s="353">
        <f t="shared" si="37"/>
        <v>0.9</v>
      </c>
      <c r="F179" s="353">
        <v>51</v>
      </c>
      <c r="G179" s="353">
        <v>45</v>
      </c>
      <c r="H179" s="353">
        <v>0</v>
      </c>
      <c r="I179" s="353">
        <v>1</v>
      </c>
    </row>
    <row r="180" spans="2:11" x14ac:dyDescent="0.25">
      <c r="B180" s="353" t="s">
        <v>933</v>
      </c>
      <c r="C180" s="569">
        <v>0.31900000000000001</v>
      </c>
      <c r="D180" s="353">
        <v>1000</v>
      </c>
      <c r="E180" s="353">
        <f t="shared" si="37"/>
        <v>0.9</v>
      </c>
      <c r="F180" s="353">
        <v>8</v>
      </c>
      <c r="G180" s="353">
        <v>20</v>
      </c>
      <c r="H180" s="353">
        <v>0</v>
      </c>
      <c r="I180" s="353">
        <v>1</v>
      </c>
    </row>
    <row r="181" spans="2:11" x14ac:dyDescent="0.25">
      <c r="B181" s="353" t="s">
        <v>934</v>
      </c>
      <c r="C181" s="569">
        <v>3.7379999999999997E-2</v>
      </c>
      <c r="D181" s="353">
        <v>100000</v>
      </c>
      <c r="E181" s="353">
        <f t="shared" si="37"/>
        <v>0.9</v>
      </c>
      <c r="F181" s="353">
        <v>2</v>
      </c>
      <c r="G181" s="353">
        <v>1</v>
      </c>
      <c r="H181" s="353">
        <v>0</v>
      </c>
      <c r="I181" s="353">
        <v>1</v>
      </c>
    </row>
    <row r="182" spans="2:11" x14ac:dyDescent="0.25">
      <c r="B182" s="353" t="s">
        <v>935</v>
      </c>
      <c r="C182" s="569">
        <v>2.2499999999999998E-3</v>
      </c>
      <c r="D182" s="353">
        <v>15000</v>
      </c>
      <c r="E182" s="353">
        <f t="shared" si="37"/>
        <v>0.9</v>
      </c>
      <c r="F182" s="353">
        <v>26</v>
      </c>
      <c r="G182" s="353">
        <v>31</v>
      </c>
      <c r="H182" s="353">
        <v>0</v>
      </c>
      <c r="I182" s="353">
        <v>1</v>
      </c>
    </row>
    <row r="183" spans="2:11" x14ac:dyDescent="0.25">
      <c r="B183" s="353" t="s">
        <v>936</v>
      </c>
      <c r="C183" s="569">
        <v>9.75E-3</v>
      </c>
      <c r="D183" s="353">
        <v>4000</v>
      </c>
      <c r="E183" s="353">
        <f t="shared" si="37"/>
        <v>0.9</v>
      </c>
      <c r="F183" s="353">
        <v>25</v>
      </c>
      <c r="G183" s="353">
        <v>30</v>
      </c>
      <c r="H183" s="353">
        <v>0</v>
      </c>
      <c r="I183" s="353">
        <v>1</v>
      </c>
    </row>
    <row r="184" spans="2:11" x14ac:dyDescent="0.25">
      <c r="B184" s="353" t="s">
        <v>937</v>
      </c>
      <c r="C184" s="569">
        <v>4.1119999999999997E-2</v>
      </c>
      <c r="D184" s="353">
        <v>4000</v>
      </c>
      <c r="E184" s="353">
        <f t="shared" si="37"/>
        <v>0.9</v>
      </c>
      <c r="F184" s="353">
        <v>12</v>
      </c>
      <c r="G184" s="353">
        <v>2</v>
      </c>
      <c r="H184" s="353">
        <v>0</v>
      </c>
      <c r="I184" s="353">
        <v>1</v>
      </c>
    </row>
    <row r="185" spans="2:11" x14ac:dyDescent="0.25">
      <c r="B185" s="353" t="s">
        <v>938</v>
      </c>
      <c r="C185" s="569">
        <v>8.3739999999999995E-2</v>
      </c>
      <c r="D185" s="353">
        <v>30000</v>
      </c>
      <c r="E185" s="353">
        <f t="shared" si="37"/>
        <v>0.9</v>
      </c>
      <c r="F185" s="353">
        <v>14</v>
      </c>
      <c r="G185" s="353">
        <v>14</v>
      </c>
      <c r="H185" s="353">
        <v>0</v>
      </c>
      <c r="I185" s="353">
        <v>1</v>
      </c>
    </row>
    <row r="186" spans="2:11" x14ac:dyDescent="0.25">
      <c r="B186" s="353" t="s">
        <v>939</v>
      </c>
      <c r="C186" s="569">
        <v>3.8400000000000001E-3</v>
      </c>
      <c r="D186" s="353">
        <v>125000</v>
      </c>
      <c r="E186" s="353">
        <f t="shared" si="37"/>
        <v>0.9</v>
      </c>
      <c r="F186" s="353">
        <v>2</v>
      </c>
      <c r="G186" s="353">
        <v>0</v>
      </c>
      <c r="H186" s="353">
        <v>0</v>
      </c>
      <c r="I186" s="353">
        <v>1</v>
      </c>
    </row>
    <row r="187" spans="2:11" x14ac:dyDescent="0.25">
      <c r="B187" s="353" t="s">
        <v>940</v>
      </c>
      <c r="C187" s="569">
        <v>10</v>
      </c>
      <c r="D187" s="353">
        <v>1</v>
      </c>
      <c r="E187" s="353">
        <v>1</v>
      </c>
      <c r="F187" s="353">
        <v>1</v>
      </c>
      <c r="G187" s="353">
        <v>0</v>
      </c>
      <c r="H187" s="353">
        <v>0</v>
      </c>
      <c r="I187" s="353">
        <v>1</v>
      </c>
    </row>
    <row r="188" spans="2:11" x14ac:dyDescent="0.25">
      <c r="B188" s="353" t="s">
        <v>941</v>
      </c>
      <c r="C188" s="569">
        <v>3</v>
      </c>
      <c r="D188" s="353">
        <v>1</v>
      </c>
      <c r="E188" s="353">
        <v>1</v>
      </c>
      <c r="F188" s="353">
        <v>1</v>
      </c>
      <c r="G188" s="353">
        <v>0</v>
      </c>
      <c r="H188" s="353">
        <v>0</v>
      </c>
      <c r="I188" s="353">
        <v>1</v>
      </c>
    </row>
    <row r="189" spans="2:11" x14ac:dyDescent="0.25">
      <c r="C189" s="353"/>
    </row>
    <row r="190" spans="2:11" ht="15.5" x14ac:dyDescent="0.35">
      <c r="C190" s="353"/>
      <c r="D190" s="1380" t="s">
        <v>980</v>
      </c>
      <c r="E190" s="105"/>
      <c r="F190" s="1380" t="s">
        <v>981</v>
      </c>
      <c r="G190" s="105"/>
      <c r="H190" s="1380" t="s">
        <v>982</v>
      </c>
      <c r="I190" s="1380" t="s">
        <v>983</v>
      </c>
    </row>
    <row r="191" spans="2:11" ht="14.5" x14ac:dyDescent="0.35">
      <c r="B191" s="733" t="s">
        <v>958</v>
      </c>
      <c r="C191" s="26" t="s">
        <v>984</v>
      </c>
      <c r="D191" s="1382" t="s">
        <v>985</v>
      </c>
      <c r="E191" s="572" t="s">
        <v>986</v>
      </c>
      <c r="F191" s="1382" t="s">
        <v>643</v>
      </c>
      <c r="G191" s="26" t="s">
        <v>987</v>
      </c>
      <c r="H191" s="1382" t="s">
        <v>988</v>
      </c>
      <c r="I191" s="1382" t="s">
        <v>989</v>
      </c>
      <c r="J191" s="26" t="s">
        <v>993</v>
      </c>
      <c r="K191" s="26" t="s">
        <v>994</v>
      </c>
    </row>
    <row r="192" spans="2:11" x14ac:dyDescent="0.25">
      <c r="B192" s="353" t="s">
        <v>943</v>
      </c>
      <c r="C192" s="353">
        <v>77</v>
      </c>
      <c r="D192" s="353">
        <v>200000</v>
      </c>
      <c r="E192" s="353">
        <v>0.95</v>
      </c>
      <c r="F192" s="353">
        <v>2</v>
      </c>
      <c r="G192" s="353">
        <v>0</v>
      </c>
      <c r="H192" s="353">
        <v>0</v>
      </c>
      <c r="I192" s="353">
        <v>1</v>
      </c>
      <c r="J192" s="353">
        <v>0.31929999999999997</v>
      </c>
      <c r="K192" s="353">
        <v>750</v>
      </c>
    </row>
    <row r="193" spans="2:11" x14ac:dyDescent="0.25">
      <c r="B193" s="353" t="s">
        <v>995</v>
      </c>
      <c r="C193" s="353">
        <v>10</v>
      </c>
      <c r="D193" s="353">
        <v>100</v>
      </c>
      <c r="E193" s="353">
        <v>1</v>
      </c>
      <c r="F193" s="353">
        <v>2</v>
      </c>
      <c r="G193" s="353">
        <v>0</v>
      </c>
      <c r="H193" s="353">
        <v>0</v>
      </c>
      <c r="I193" s="353">
        <f>IF('Vehicle Considerations'!$B$25, 1, 0)</f>
        <v>1</v>
      </c>
      <c r="J193" s="353">
        <v>0</v>
      </c>
      <c r="K193" s="353">
        <v>180</v>
      </c>
    </row>
    <row r="194" spans="2:11" x14ac:dyDescent="0.25">
      <c r="B194" s="353" t="s">
        <v>945</v>
      </c>
      <c r="C194" s="353">
        <v>10</v>
      </c>
      <c r="D194" s="353">
        <v>10000</v>
      </c>
      <c r="E194" s="353">
        <f t="shared" ref="E194:E199" si="38">$C$156</f>
        <v>0.9</v>
      </c>
      <c r="F194" s="353">
        <v>1</v>
      </c>
      <c r="G194" s="353">
        <v>0</v>
      </c>
      <c r="H194" s="353">
        <v>0</v>
      </c>
      <c r="I194" s="353">
        <v>1</v>
      </c>
      <c r="J194" s="353">
        <v>0.125</v>
      </c>
      <c r="K194" s="353">
        <v>90</v>
      </c>
    </row>
    <row r="195" spans="2:11" x14ac:dyDescent="0.25">
      <c r="B195" s="353" t="s">
        <v>946</v>
      </c>
      <c r="C195" s="353">
        <v>4.4400000000000004</v>
      </c>
      <c r="D195" s="353">
        <v>1000</v>
      </c>
      <c r="E195" s="353">
        <f t="shared" si="38"/>
        <v>0.9</v>
      </c>
      <c r="F195" s="353">
        <v>1</v>
      </c>
      <c r="G195" s="353">
        <v>0</v>
      </c>
      <c r="H195" s="353">
        <v>0</v>
      </c>
      <c r="I195" s="353">
        <v>1</v>
      </c>
      <c r="J195" s="353">
        <v>0.08</v>
      </c>
      <c r="K195" s="353">
        <v>185</v>
      </c>
    </row>
    <row r="196" spans="2:11" x14ac:dyDescent="0.25">
      <c r="B196" s="353" t="s">
        <v>947</v>
      </c>
      <c r="C196" s="353">
        <v>1</v>
      </c>
      <c r="D196" s="353">
        <v>10000</v>
      </c>
      <c r="E196" s="353">
        <f t="shared" si="38"/>
        <v>0.9</v>
      </c>
      <c r="F196" s="353">
        <v>1</v>
      </c>
      <c r="G196" s="353">
        <v>0</v>
      </c>
      <c r="H196" s="353">
        <v>0</v>
      </c>
      <c r="I196" s="353">
        <v>1</v>
      </c>
      <c r="J196" s="353">
        <v>0.57599999999999996</v>
      </c>
      <c r="K196" s="353">
        <v>150</v>
      </c>
    </row>
    <row r="197" spans="2:11" x14ac:dyDescent="0.25">
      <c r="B197" s="353" t="s">
        <v>948</v>
      </c>
      <c r="C197" s="353">
        <v>10</v>
      </c>
      <c r="D197" s="353">
        <v>10000</v>
      </c>
      <c r="E197" s="353">
        <f t="shared" si="38"/>
        <v>0.9</v>
      </c>
      <c r="F197" s="353">
        <v>1</v>
      </c>
      <c r="G197" s="353">
        <v>0</v>
      </c>
      <c r="H197" s="353">
        <v>0</v>
      </c>
      <c r="I197" s="353">
        <v>1</v>
      </c>
      <c r="J197" s="353">
        <v>8.8400000000000006E-2</v>
      </c>
      <c r="K197" s="353">
        <v>80</v>
      </c>
    </row>
    <row r="198" spans="2:11" x14ac:dyDescent="0.25">
      <c r="B198" s="353" t="s">
        <v>949</v>
      </c>
      <c r="C198" s="353">
        <v>3</v>
      </c>
      <c r="D198" s="353">
        <v>10000</v>
      </c>
      <c r="E198" s="353">
        <f t="shared" si="38"/>
        <v>0.9</v>
      </c>
      <c r="F198" s="353">
        <v>1</v>
      </c>
      <c r="G198" s="353">
        <v>0</v>
      </c>
      <c r="H198" s="353">
        <v>0</v>
      </c>
      <c r="I198" s="353">
        <f>IF('Vehicle Considerations'!$B$24, 1, 0)</f>
        <v>1</v>
      </c>
      <c r="J198" s="353">
        <v>4.0000000000000001E-3</v>
      </c>
      <c r="K198" s="353">
        <v>24</v>
      </c>
    </row>
    <row r="199" spans="2:11" x14ac:dyDescent="0.25">
      <c r="B199" s="353" t="s">
        <v>950</v>
      </c>
      <c r="C199" s="353">
        <v>60.33</v>
      </c>
      <c r="D199" s="353">
        <v>50</v>
      </c>
      <c r="E199" s="353">
        <f t="shared" si="38"/>
        <v>0.9</v>
      </c>
      <c r="F199" s="353">
        <v>1</v>
      </c>
      <c r="G199" s="353">
        <v>0</v>
      </c>
      <c r="H199" s="353">
        <v>0</v>
      </c>
      <c r="I199" s="353">
        <v>1</v>
      </c>
      <c r="J199" s="353">
        <v>3.6499999999999998E-2</v>
      </c>
      <c r="K199" s="353">
        <v>55</v>
      </c>
    </row>
    <row r="200" spans="2:11" x14ac:dyDescent="0.25">
      <c r="C200" s="353"/>
    </row>
    <row r="201" spans="2:11" ht="15.5" x14ac:dyDescent="0.35">
      <c r="C201" s="353"/>
      <c r="D201" s="1380"/>
      <c r="E201" s="105"/>
      <c r="G201" s="105"/>
      <c r="H201" s="1380"/>
      <c r="I201" s="1380"/>
    </row>
    <row r="202" spans="2:11" ht="14" x14ac:dyDescent="0.3">
      <c r="B202" s="733" t="s">
        <v>960</v>
      </c>
      <c r="C202" s="26" t="s">
        <v>984</v>
      </c>
      <c r="D202" s="1382" t="s">
        <v>996</v>
      </c>
      <c r="E202"/>
      <c r="F202"/>
      <c r="G202"/>
      <c r="H202"/>
      <c r="I202"/>
      <c r="J202"/>
    </row>
    <row r="203" spans="2:11" x14ac:dyDescent="0.25">
      <c r="B203" s="353" t="s">
        <v>997</v>
      </c>
      <c r="C203" s="87">
        <v>20</v>
      </c>
      <c r="D203" s="87">
        <v>50</v>
      </c>
      <c r="E203"/>
      <c r="F203"/>
      <c r="G203"/>
      <c r="H203"/>
      <c r="I203"/>
      <c r="J203"/>
    </row>
    <row r="204" spans="2:11" x14ac:dyDescent="0.25">
      <c r="B204" s="353" t="s">
        <v>998</v>
      </c>
      <c r="C204" s="174">
        <v>60</v>
      </c>
      <c r="D204" s="174">
        <v>500</v>
      </c>
      <c r="E204"/>
      <c r="F204"/>
      <c r="G204"/>
      <c r="H204"/>
      <c r="I204"/>
      <c r="J204"/>
    </row>
    <row r="205" spans="2:11" x14ac:dyDescent="0.25">
      <c r="C205" s="573"/>
      <c r="D205" s="573"/>
      <c r="E205"/>
      <c r="F205"/>
      <c r="G205"/>
      <c r="H205"/>
      <c r="I205"/>
      <c r="J205"/>
    </row>
    <row r="206" spans="2:11" x14ac:dyDescent="0.25">
      <c r="C206" s="353"/>
    </row>
    <row r="207" spans="2:11" ht="15.5" x14ac:dyDescent="0.35">
      <c r="C207" s="353"/>
      <c r="D207" s="1380" t="s">
        <v>980</v>
      </c>
      <c r="E207" s="105"/>
      <c r="F207" s="1384"/>
      <c r="G207" s="736"/>
      <c r="H207" s="1384"/>
      <c r="I207" s="1384"/>
    </row>
    <row r="208" spans="2:11" ht="14" x14ac:dyDescent="0.3">
      <c r="B208" s="733" t="s">
        <v>961</v>
      </c>
      <c r="C208" s="26" t="s">
        <v>984</v>
      </c>
      <c r="D208" s="1382" t="s">
        <v>985</v>
      </c>
      <c r="E208" s="1017" t="s">
        <v>986</v>
      </c>
      <c r="F208" s="1384"/>
      <c r="G208" s="28"/>
      <c r="H208" s="1384"/>
      <c r="I208" s="1384"/>
    </row>
    <row r="209" spans="2:18" x14ac:dyDescent="0.25">
      <c r="B209" s="353" t="s">
        <v>954</v>
      </c>
      <c r="C209" s="353">
        <v>0.33072000000000001</v>
      </c>
      <c r="D209" s="353">
        <v>10500</v>
      </c>
      <c r="E209" s="353">
        <f>$C$156</f>
        <v>0.9</v>
      </c>
    </row>
    <row r="210" spans="2:18" x14ac:dyDescent="0.25">
      <c r="B210" s="353" t="s">
        <v>999</v>
      </c>
      <c r="C210" s="353">
        <v>0.2261</v>
      </c>
      <c r="D210" s="353">
        <v>1000</v>
      </c>
      <c r="E210" s="353">
        <v>0.95</v>
      </c>
    </row>
    <row r="211" spans="2:18" x14ac:dyDescent="0.25">
      <c r="B211" s="353" t="s">
        <v>956</v>
      </c>
      <c r="C211" s="353">
        <v>0.5</v>
      </c>
      <c r="D211" s="353">
        <v>1</v>
      </c>
      <c r="E211" s="353">
        <v>1</v>
      </c>
    </row>
    <row r="212" spans="2:18" ht="14" x14ac:dyDescent="0.3">
      <c r="B212" s="96"/>
      <c r="C212" s="353"/>
      <c r="K212" s="616"/>
      <c r="L212" s="735"/>
      <c r="M212" s="735"/>
      <c r="N212" s="735"/>
      <c r="O212" s="735"/>
      <c r="P212" s="735"/>
      <c r="Q212" s="735"/>
      <c r="R212" s="735"/>
    </row>
    <row r="213" spans="2:18" ht="15.5" x14ac:dyDescent="0.35">
      <c r="B213" s="96"/>
      <c r="C213" s="353"/>
      <c r="D213" s="1380" t="s">
        <v>980</v>
      </c>
      <c r="E213" s="105"/>
      <c r="F213" s="1380" t="s">
        <v>981</v>
      </c>
      <c r="G213" s="736"/>
      <c r="H213" s="1384"/>
      <c r="I213" s="1384"/>
      <c r="K213" s="616"/>
      <c r="L213" s="735"/>
      <c r="M213" s="735"/>
      <c r="N213" s="735"/>
      <c r="O213" s="735"/>
      <c r="P213" s="735"/>
      <c r="Q213" s="735"/>
      <c r="R213" s="735"/>
    </row>
    <row r="214" spans="2:18" ht="14" x14ac:dyDescent="0.3">
      <c r="B214" s="733" t="s">
        <v>1000</v>
      </c>
      <c r="C214" s="26" t="s">
        <v>984</v>
      </c>
      <c r="D214" s="1382" t="s">
        <v>985</v>
      </c>
      <c r="E214" s="1017" t="s">
        <v>986</v>
      </c>
      <c r="F214" s="1382" t="s">
        <v>643</v>
      </c>
      <c r="G214" s="28"/>
      <c r="H214" s="1384"/>
      <c r="I214" s="1384"/>
      <c r="K214" s="617"/>
      <c r="L214" s="570"/>
      <c r="M214" s="570"/>
      <c r="N214" s="570"/>
      <c r="O214" s="570"/>
      <c r="P214" s="570"/>
      <c r="Q214" s="570"/>
      <c r="R214" s="570"/>
    </row>
    <row r="215" spans="2:18" ht="13" x14ac:dyDescent="0.3">
      <c r="B215" s="353" t="s">
        <v>1001</v>
      </c>
      <c r="C215" s="353">
        <v>10</v>
      </c>
      <c r="D215" s="353">
        <v>200000</v>
      </c>
      <c r="E215" s="353">
        <v>0.95</v>
      </c>
      <c r="F215" s="353">
        <v>10</v>
      </c>
      <c r="K215" s="617"/>
      <c r="L215" s="570"/>
      <c r="M215" s="570"/>
      <c r="N215" s="570"/>
      <c r="O215" s="570"/>
      <c r="P215" s="570"/>
      <c r="Q215" s="570"/>
      <c r="R215" s="570"/>
    </row>
    <row r="216" spans="2:18" ht="13" x14ac:dyDescent="0.3">
      <c r="B216" s="353" t="s">
        <v>1002</v>
      </c>
      <c r="C216" s="353">
        <v>52.86</v>
      </c>
      <c r="D216" s="353">
        <v>200000</v>
      </c>
      <c r="E216" s="353">
        <v>0.95</v>
      </c>
      <c r="F216" s="353">
        <v>600</v>
      </c>
      <c r="K216" s="617"/>
      <c r="L216" s="570"/>
      <c r="M216" s="570"/>
      <c r="N216" s="570"/>
      <c r="O216" s="570"/>
      <c r="P216" s="570"/>
      <c r="Q216" s="570"/>
      <c r="R216" s="570"/>
    </row>
    <row r="217" spans="2:18" x14ac:dyDescent="0.25">
      <c r="C217" s="353"/>
    </row>
    <row r="218" spans="2:18" ht="14.5" x14ac:dyDescent="0.35">
      <c r="B218" s="574"/>
      <c r="C218" s="353"/>
      <c r="G218" s="87"/>
      <c r="H218" s="87"/>
      <c r="I218" s="87"/>
    </row>
    <row r="219" spans="2:18" ht="13" x14ac:dyDescent="0.3">
      <c r="B219" s="1380"/>
      <c r="C219" s="353"/>
    </row>
    <row r="221" spans="2:18" ht="13" x14ac:dyDescent="0.3">
      <c r="B221" s="9"/>
      <c r="C221" s="1020"/>
      <c r="D221" s="1020"/>
      <c r="E221" s="1020"/>
      <c r="F221" s="1020"/>
      <c r="G221" s="1020"/>
      <c r="H221" s="1020"/>
      <c r="I221" s="1020"/>
      <c r="J221" s="737"/>
    </row>
    <row r="222" spans="2:18" x14ac:dyDescent="0.25">
      <c r="B222" s="9"/>
      <c r="C222" s="205"/>
      <c r="D222" s="205"/>
      <c r="E222" s="1021"/>
      <c r="F222" s="1022"/>
      <c r="G222" s="1023"/>
      <c r="H222" s="9"/>
      <c r="I222" s="477"/>
    </row>
    <row r="223" spans="2:18" x14ac:dyDescent="0.25">
      <c r="B223" s="9"/>
      <c r="C223" s="205"/>
      <c r="D223" s="205"/>
      <c r="E223" s="1021"/>
      <c r="F223" s="1022"/>
      <c r="G223" s="1023"/>
      <c r="H223" s="1024"/>
      <c r="I223" s="477"/>
    </row>
    <row r="224" spans="2:18" x14ac:dyDescent="0.25">
      <c r="B224" s="9"/>
      <c r="C224" s="205"/>
      <c r="D224" s="205"/>
      <c r="E224" s="205"/>
      <c r="F224" s="1022"/>
      <c r="G224" s="1023"/>
      <c r="H224" s="9"/>
      <c r="I224" s="477"/>
    </row>
    <row r="225" spans="2:10" x14ac:dyDescent="0.25">
      <c r="B225" s="9"/>
      <c r="C225" s="205"/>
      <c r="D225" s="205"/>
      <c r="E225" s="205"/>
      <c r="F225" s="1022"/>
      <c r="G225" s="1023"/>
      <c r="H225" s="9"/>
      <c r="I225" s="477"/>
    </row>
    <row r="226" spans="2:10" x14ac:dyDescent="0.25">
      <c r="B226" s="9"/>
      <c r="C226" s="205"/>
      <c r="D226" s="205"/>
      <c r="E226" s="205"/>
      <c r="F226" s="1022"/>
      <c r="G226" s="1023"/>
      <c r="H226" s="9"/>
      <c r="I226" s="477"/>
    </row>
    <row r="227" spans="2:10" x14ac:dyDescent="0.25">
      <c r="B227" s="9"/>
      <c r="C227" s="205"/>
      <c r="D227" s="205"/>
      <c r="E227" s="205"/>
      <c r="F227" s="1022"/>
      <c r="G227" s="1023"/>
      <c r="H227" s="9"/>
      <c r="I227" s="477"/>
    </row>
    <row r="228" spans="2:10" x14ac:dyDescent="0.25">
      <c r="B228" s="9"/>
      <c r="C228" s="205"/>
      <c r="D228" s="205"/>
      <c r="E228" s="205"/>
      <c r="F228" s="1022"/>
      <c r="G228" s="1023"/>
      <c r="H228" s="9"/>
      <c r="I228" s="477"/>
    </row>
    <row r="229" spans="2:10" x14ac:dyDescent="0.25">
      <c r="B229" s="9"/>
      <c r="C229" s="205"/>
      <c r="D229" s="205"/>
      <c r="E229" s="205"/>
      <c r="F229" s="1022"/>
      <c r="G229" s="1023"/>
      <c r="H229" s="9"/>
      <c r="I229" s="477"/>
    </row>
    <row r="230" spans="2:10" x14ac:dyDescent="0.25">
      <c r="B230" s="9"/>
      <c r="C230" s="205"/>
      <c r="D230" s="205"/>
      <c r="E230" s="205"/>
      <c r="F230" s="1022"/>
      <c r="G230" s="1023"/>
      <c r="H230" s="205"/>
      <c r="I230" s="477"/>
    </row>
    <row r="231" spans="2:10" x14ac:dyDescent="0.25">
      <c r="B231" s="9"/>
      <c r="C231" s="205"/>
      <c r="D231" s="205"/>
      <c r="E231" s="205"/>
      <c r="F231" s="1022"/>
      <c r="G231" s="1023"/>
      <c r="H231" s="205"/>
      <c r="I231" s="477"/>
    </row>
    <row r="232" spans="2:10" x14ac:dyDescent="0.25">
      <c r="B232" s="9"/>
      <c r="C232" s="205"/>
      <c r="D232" s="205"/>
      <c r="E232" s="205"/>
      <c r="F232" s="1022"/>
      <c r="G232" s="1023"/>
      <c r="H232" s="9"/>
      <c r="I232" s="9"/>
    </row>
    <row r="233" spans="2:10" x14ac:dyDescent="0.25">
      <c r="B233" s="9"/>
      <c r="C233" s="205"/>
      <c r="D233" s="205"/>
      <c r="E233" s="205"/>
      <c r="F233" s="1022"/>
      <c r="G233" s="1023"/>
      <c r="H233" s="9"/>
      <c r="I233" s="9"/>
    </row>
    <row r="234" spans="2:10" ht="15.5" x14ac:dyDescent="0.35">
      <c r="B234" s="27"/>
      <c r="C234" s="205"/>
      <c r="D234" s="205"/>
      <c r="E234" s="205"/>
      <c r="F234" s="1022"/>
      <c r="G234" s="1023"/>
      <c r="H234" s="9"/>
      <c r="I234" s="9"/>
    </row>
    <row r="235" spans="2:10" x14ac:dyDescent="0.25">
      <c r="B235" s="9"/>
      <c r="C235" s="205"/>
      <c r="D235" s="205"/>
      <c r="E235" s="205"/>
      <c r="F235" s="1022"/>
      <c r="G235" s="1023"/>
      <c r="H235" s="9"/>
      <c r="I235" s="9"/>
    </row>
    <row r="236" spans="2:10" ht="13" x14ac:dyDescent="0.3">
      <c r="B236" s="9"/>
      <c r="C236" s="205"/>
      <c r="D236" s="205"/>
      <c r="E236" s="205"/>
      <c r="F236" s="1022"/>
      <c r="G236" s="1025"/>
      <c r="H236" s="1020"/>
      <c r="I236" s="1020"/>
      <c r="J236" s="737"/>
    </row>
    <row r="237" spans="2:10" x14ac:dyDescent="0.25">
      <c r="B237" s="9"/>
      <c r="C237" s="205"/>
      <c r="D237" s="205"/>
      <c r="E237" s="205"/>
      <c r="F237" s="1022"/>
      <c r="G237" s="1026"/>
      <c r="H237" s="9"/>
      <c r="I237" s="9"/>
    </row>
    <row r="238" spans="2:10" x14ac:dyDescent="0.25">
      <c r="B238" s="9"/>
      <c r="C238" s="205"/>
      <c r="D238" s="205"/>
      <c r="E238" s="205"/>
      <c r="F238" s="1022"/>
      <c r="G238" s="1026"/>
      <c r="H238" s="9"/>
      <c r="I238" s="9"/>
    </row>
    <row r="239" spans="2:10" x14ac:dyDescent="0.25">
      <c r="B239" s="9"/>
      <c r="C239" s="205"/>
      <c r="D239" s="205"/>
      <c r="E239" s="205"/>
      <c r="F239" s="1022"/>
      <c r="G239" s="9"/>
      <c r="H239" s="9"/>
      <c r="I239" s="1027"/>
    </row>
    <row r="240" spans="2:10" x14ac:dyDescent="0.25">
      <c r="B240" s="9"/>
      <c r="C240" s="205"/>
      <c r="D240" s="205"/>
      <c r="E240" s="205"/>
      <c r="F240" s="1022"/>
      <c r="G240" s="9"/>
      <c r="H240" s="9"/>
      <c r="I240" s="1027"/>
    </row>
    <row r="241" spans="2:9" x14ac:dyDescent="0.25">
      <c r="B241" s="9"/>
      <c r="C241" s="205"/>
      <c r="D241" s="205"/>
      <c r="E241" s="205"/>
      <c r="F241" s="1022"/>
      <c r="G241" s="9"/>
      <c r="H241" s="9"/>
      <c r="I241" s="1027"/>
    </row>
    <row r="242" spans="2:9" x14ac:dyDescent="0.25">
      <c r="B242" s="9"/>
      <c r="C242" s="205"/>
      <c r="D242" s="205"/>
      <c r="E242" s="205"/>
      <c r="F242" s="1022"/>
      <c r="G242" s="9"/>
      <c r="H242" s="9"/>
      <c r="I242" s="1027"/>
    </row>
    <row r="243" spans="2:9" x14ac:dyDescent="0.25">
      <c r="B243" s="9"/>
      <c r="C243" s="205"/>
      <c r="D243" s="205"/>
      <c r="E243" s="205"/>
      <c r="F243" s="1022"/>
      <c r="G243" s="9"/>
      <c r="H243" s="9"/>
      <c r="I243" s="1027"/>
    </row>
    <row r="244" spans="2:9" x14ac:dyDescent="0.25">
      <c r="B244" s="9"/>
      <c r="C244" s="205"/>
      <c r="D244" s="205"/>
      <c r="E244" s="205"/>
      <c r="F244" s="1022"/>
      <c r="G244" s="9"/>
      <c r="H244" s="9"/>
      <c r="I244" s="1027"/>
    </row>
    <row r="245" spans="2:9" x14ac:dyDescent="0.25">
      <c r="B245" s="9"/>
      <c r="C245" s="205"/>
      <c r="D245" s="205"/>
      <c r="E245" s="205"/>
      <c r="F245" s="1022"/>
      <c r="G245" s="9"/>
      <c r="H245" s="9"/>
      <c r="I245" s="1027"/>
    </row>
    <row r="246" spans="2:9" x14ac:dyDescent="0.25">
      <c r="B246" s="9"/>
      <c r="C246" s="205"/>
      <c r="D246" s="205"/>
      <c r="E246" s="205"/>
      <c r="F246" s="1022"/>
      <c r="G246" s="9"/>
      <c r="H246" s="9"/>
      <c r="I246" s="1027"/>
    </row>
    <row r="247" spans="2:9" x14ac:dyDescent="0.25">
      <c r="B247" s="9"/>
      <c r="C247" s="205"/>
      <c r="D247" s="205"/>
      <c r="E247" s="205"/>
      <c r="F247" s="1022"/>
      <c r="G247" s="1023"/>
      <c r="H247" s="9"/>
      <c r="I247" s="1027"/>
    </row>
    <row r="248" spans="2:9" x14ac:dyDescent="0.25">
      <c r="B248" s="9"/>
      <c r="C248" s="205"/>
      <c r="D248" s="205"/>
      <c r="E248" s="205"/>
      <c r="F248" s="1022"/>
      <c r="G248" s="1023"/>
      <c r="H248" s="9"/>
      <c r="I248" s="9"/>
    </row>
    <row r="249" spans="2:9" x14ac:dyDescent="0.25">
      <c r="B249" s="9"/>
      <c r="C249" s="205"/>
      <c r="D249" s="205"/>
      <c r="E249" s="205"/>
      <c r="F249" s="1022"/>
      <c r="G249" s="1023"/>
      <c r="H249" s="9"/>
      <c r="I249" s="9"/>
    </row>
    <row r="250" spans="2:9" ht="15.5" x14ac:dyDescent="0.35">
      <c r="B250" s="27"/>
      <c r="C250" s="205"/>
      <c r="D250" s="205"/>
      <c r="E250" s="205"/>
      <c r="F250" s="1022"/>
      <c r="G250" s="1023"/>
      <c r="H250" s="9"/>
      <c r="I250" s="9"/>
    </row>
    <row r="251" spans="2:9" x14ac:dyDescent="0.25">
      <c r="E251" s="123"/>
      <c r="F251" s="329"/>
      <c r="G251" s="1019"/>
    </row>
  </sheetData>
  <mergeCells count="10">
    <mergeCell ref="N1:O1"/>
    <mergeCell ref="B5:E5"/>
    <mergeCell ref="G5:M5"/>
    <mergeCell ref="B26:M26"/>
    <mergeCell ref="B153:M153"/>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368"/>
  <sheetViews>
    <sheetView workbookViewId="0">
      <pane ySplit="6" topLeftCell="A7" activePane="bottomLeft" state="frozen"/>
      <selection pane="bottomLeft" activeCell="A7" sqref="A7"/>
    </sheetView>
  </sheetViews>
  <sheetFormatPr defaultColWidth="8.54296875" defaultRowHeight="12.5" outlineLevelRow="1" x14ac:dyDescent="0.25"/>
  <cols>
    <col min="1" max="1" width="4.54296875" customWidth="1"/>
    <col min="2" max="2" width="29.453125" customWidth="1"/>
    <col min="3" max="3" width="10.453125" customWidth="1"/>
    <col min="4" max="4" width="10" customWidth="1"/>
    <col min="5" max="5" width="29.453125" customWidth="1"/>
    <col min="6" max="6" width="13.54296875" customWidth="1"/>
    <col min="7" max="7" width="17.453125" customWidth="1"/>
    <col min="8" max="8" width="12.54296875" customWidth="1"/>
    <col min="9" max="10" width="12.54296875" bestFit="1" customWidth="1"/>
    <col min="11" max="11" width="15.453125" customWidth="1"/>
    <col min="12" max="13" width="12.54296875" bestFit="1" customWidth="1"/>
    <col min="14" max="14" width="17.453125" bestFit="1" customWidth="1"/>
    <col min="15" max="15" width="18.453125" bestFit="1" customWidth="1"/>
    <col min="16" max="16" width="24.54296875" bestFit="1" customWidth="1"/>
    <col min="17" max="17" width="14.54296875" customWidth="1"/>
    <col min="18" max="18" width="11.54296875" customWidth="1"/>
    <col min="19" max="19" width="14" customWidth="1"/>
    <col min="20" max="20" width="14.453125" customWidth="1"/>
    <col min="21" max="21" width="13.54296875" customWidth="1"/>
    <col min="22" max="22" width="9.54296875" bestFit="1" customWidth="1"/>
  </cols>
  <sheetData>
    <row r="1" spans="2:16" ht="18.5" thickBot="1" x14ac:dyDescent="0.45">
      <c r="B1" s="1490" t="s">
        <v>13</v>
      </c>
      <c r="C1" s="1491"/>
      <c r="D1" s="1491"/>
      <c r="E1" s="1491"/>
      <c r="F1" s="1491"/>
      <c r="G1" s="1491"/>
      <c r="H1" s="1491"/>
      <c r="I1" s="1491"/>
      <c r="J1" s="1491"/>
      <c r="K1" s="1491"/>
      <c r="L1" s="1491"/>
      <c r="M1" s="1494"/>
      <c r="N1" s="1419" t="s">
        <v>6</v>
      </c>
      <c r="O1" s="1420"/>
    </row>
    <row r="2" spans="2:16"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2:16" ht="15.5" x14ac:dyDescent="0.35">
      <c r="B3" s="1445" t="s">
        <v>122</v>
      </c>
      <c r="C3" s="1466"/>
      <c r="D3" s="1466"/>
      <c r="E3" s="1466"/>
      <c r="F3" s="1466"/>
      <c r="G3" s="1466"/>
      <c r="H3" s="1466"/>
      <c r="I3" s="1466"/>
      <c r="J3" s="1466"/>
      <c r="K3" s="1466"/>
      <c r="L3" s="1466"/>
      <c r="M3" s="1467"/>
      <c r="N3" s="1243" t="s">
        <v>12</v>
      </c>
      <c r="O3" s="1242" t="s">
        <v>13</v>
      </c>
    </row>
    <row r="4" spans="2:16" s="96" customFormat="1" ht="14" x14ac:dyDescent="0.3">
      <c r="B4" s="1447" t="s">
        <v>282</v>
      </c>
      <c r="C4" s="1468"/>
      <c r="D4" s="1468"/>
      <c r="E4" s="1469"/>
      <c r="F4" s="245"/>
      <c r="G4" s="1448" t="s">
        <v>9</v>
      </c>
      <c r="H4" s="1473"/>
      <c r="I4" s="1473"/>
      <c r="J4" s="1473"/>
      <c r="K4" s="1473"/>
      <c r="L4" s="1473"/>
      <c r="M4" s="1474"/>
      <c r="N4" s="1240" t="s">
        <v>14</v>
      </c>
      <c r="O4" s="1242" t="s">
        <v>15</v>
      </c>
      <c r="P4"/>
    </row>
    <row r="5" spans="2:16" s="96" customFormat="1" ht="14.5" thickBot="1" x14ac:dyDescent="0.35">
      <c r="B5" s="1450" t="s">
        <v>10</v>
      </c>
      <c r="C5" s="1488"/>
      <c r="D5" s="1488"/>
      <c r="E5" s="1489"/>
      <c r="F5" s="254"/>
      <c r="G5" s="1451" t="s">
        <v>11</v>
      </c>
      <c r="H5" s="1475"/>
      <c r="I5" s="1475"/>
      <c r="J5" s="1475"/>
      <c r="K5" s="1475"/>
      <c r="L5" s="1475"/>
      <c r="M5" s="1476"/>
      <c r="N5" s="1240" t="s">
        <v>17</v>
      </c>
      <c r="O5" s="1246" t="s">
        <v>18</v>
      </c>
      <c r="P5"/>
    </row>
    <row r="6" spans="2:16" s="96" customFormat="1" ht="14.5" thickBot="1" x14ac:dyDescent="0.35">
      <c r="B6" s="36"/>
      <c r="C6" s="9"/>
      <c r="D6" s="9"/>
      <c r="E6" s="9"/>
      <c r="F6" s="9"/>
      <c r="G6"/>
      <c r="H6"/>
      <c r="I6"/>
      <c r="J6"/>
      <c r="K6"/>
      <c r="L6"/>
      <c r="N6" s="1244" t="s">
        <v>22</v>
      </c>
      <c r="O6" s="1245" t="s">
        <v>23</v>
      </c>
    </row>
    <row r="7" spans="2:16" ht="20.5" thickBot="1" x14ac:dyDescent="0.45">
      <c r="B7" s="1453" t="s">
        <v>1003</v>
      </c>
      <c r="C7" s="1454"/>
      <c r="D7" s="1454"/>
      <c r="E7" s="1454"/>
      <c r="F7" s="1454"/>
      <c r="G7" s="1454"/>
      <c r="H7" s="1454"/>
      <c r="I7" s="1454"/>
      <c r="J7" s="1454"/>
      <c r="K7" s="1454"/>
      <c r="L7" s="1454"/>
      <c r="M7" s="1455"/>
    </row>
    <row r="8" spans="2:16" ht="18" x14ac:dyDescent="0.4">
      <c r="B8" s="728"/>
      <c r="C8" s="728"/>
      <c r="D8" s="728"/>
      <c r="E8" s="728"/>
      <c r="F8" s="728"/>
      <c r="G8" s="728"/>
      <c r="H8" s="728"/>
      <c r="I8" s="728"/>
      <c r="J8" s="728"/>
      <c r="K8" s="728"/>
      <c r="L8" s="728"/>
    </row>
    <row r="9" spans="2:16" ht="13" outlineLevel="1" x14ac:dyDescent="0.3">
      <c r="B9" s="9" t="s">
        <v>1004</v>
      </c>
      <c r="C9" s="620">
        <f>Dashboard!D112</f>
        <v>95</v>
      </c>
      <c r="D9" s="327" t="s">
        <v>1005</v>
      </c>
      <c r="H9" s="1380"/>
      <c r="I9" s="1380"/>
    </row>
    <row r="10" spans="2:16" ht="13" outlineLevel="1" x14ac:dyDescent="0.3">
      <c r="B10" s="9"/>
      <c r="C10" s="56"/>
      <c r="D10" s="327"/>
      <c r="G10" s="1380" t="s">
        <v>1006</v>
      </c>
      <c r="H10" s="1380"/>
      <c r="I10" s="1380"/>
      <c r="J10" s="1380" t="s">
        <v>1007</v>
      </c>
      <c r="K10" s="1380" t="s">
        <v>250</v>
      </c>
      <c r="L10" s="1380" t="s">
        <v>781</v>
      </c>
    </row>
    <row r="11" spans="2:16" ht="16" outlineLevel="1" thickBot="1" x14ac:dyDescent="0.4">
      <c r="B11" s="6" t="s">
        <v>1008</v>
      </c>
      <c r="G11" s="1380" t="s">
        <v>1009</v>
      </c>
      <c r="H11" s="1380" t="s">
        <v>1010</v>
      </c>
      <c r="I11" s="1387" t="s">
        <v>1011</v>
      </c>
      <c r="J11" s="1387" t="s">
        <v>1012</v>
      </c>
      <c r="K11" s="1387" t="s">
        <v>1013</v>
      </c>
      <c r="L11" s="1384" t="s">
        <v>1014</v>
      </c>
    </row>
    <row r="12" spans="2:16" ht="13" outlineLevel="1" x14ac:dyDescent="0.3">
      <c r="B12" s="353" t="s">
        <v>1015</v>
      </c>
      <c r="C12" s="353"/>
      <c r="D12" s="353"/>
      <c r="E12" s="353"/>
      <c r="G12" s="1271">
        <f>ROUND(H12*I12*J12*K12/1000000,1)</f>
        <v>92.2</v>
      </c>
      <c r="H12" s="621">
        <v>99</v>
      </c>
      <c r="I12" s="940">
        <v>95</v>
      </c>
      <c r="J12" s="940">
        <v>99</v>
      </c>
      <c r="K12" s="940">
        <v>99</v>
      </c>
      <c r="L12" s="1383"/>
    </row>
    <row r="13" spans="2:16" ht="13" outlineLevel="1" x14ac:dyDescent="0.3">
      <c r="B13" s="353" t="s">
        <v>1016</v>
      </c>
      <c r="C13" s="353"/>
      <c r="D13" s="353"/>
      <c r="E13" s="353"/>
      <c r="G13" s="1272">
        <f>ROUND(H13*I13*J13*K13/1000000,1)</f>
        <v>92.2</v>
      </c>
      <c r="H13" s="621">
        <v>99</v>
      </c>
      <c r="I13" s="940">
        <v>95</v>
      </c>
      <c r="J13" s="940">
        <v>99</v>
      </c>
      <c r="K13" s="940">
        <v>99</v>
      </c>
      <c r="L13" s="1383"/>
    </row>
    <row r="14" spans="2:16" ht="13" outlineLevel="1" x14ac:dyDescent="0.3">
      <c r="B14" s="353" t="s">
        <v>1017</v>
      </c>
      <c r="C14" s="353"/>
      <c r="D14" s="353"/>
      <c r="E14" s="353"/>
      <c r="G14" s="1272">
        <f>ROUND(I14*J14*K14/10000,1)</f>
        <v>86.5</v>
      </c>
      <c r="H14" s="622"/>
      <c r="I14" s="1363">
        <v>95</v>
      </c>
      <c r="J14" s="940">
        <v>92</v>
      </c>
      <c r="K14" s="940">
        <v>99</v>
      </c>
      <c r="L14" s="1383"/>
    </row>
    <row r="15" spans="2:16" ht="13" outlineLevel="1" x14ac:dyDescent="0.3">
      <c r="B15" s="353" t="s">
        <v>1018</v>
      </c>
      <c r="C15" s="353"/>
      <c r="D15" s="353"/>
      <c r="E15" s="353"/>
      <c r="G15" s="1272">
        <f>ROUND(I15*J15*K15/10000,1)</f>
        <v>86.5</v>
      </c>
      <c r="H15" s="622"/>
      <c r="I15" s="1364">
        <v>95</v>
      </c>
      <c r="J15" s="940">
        <v>92</v>
      </c>
      <c r="K15" s="940">
        <v>99</v>
      </c>
      <c r="L15" s="1383"/>
    </row>
    <row r="16" spans="2:16" ht="13" outlineLevel="1" x14ac:dyDescent="0.3">
      <c r="B16" s="353" t="s">
        <v>1019</v>
      </c>
      <c r="C16" s="353"/>
      <c r="D16" s="353"/>
      <c r="E16" s="353"/>
      <c r="G16" s="1272">
        <f>K16</f>
        <v>98</v>
      </c>
      <c r="H16" s="622"/>
      <c r="I16" s="269"/>
      <c r="J16" s="941"/>
      <c r="K16" s="940">
        <v>98</v>
      </c>
      <c r="L16" s="1383"/>
    </row>
    <row r="17" spans="2:19" outlineLevel="1" x14ac:dyDescent="0.25">
      <c r="B17" s="353" t="s">
        <v>1020</v>
      </c>
      <c r="C17" s="353"/>
      <c r="D17" s="353"/>
      <c r="E17" s="353"/>
      <c r="G17" s="1272">
        <f>L17</f>
        <v>99</v>
      </c>
      <c r="H17" s="623"/>
      <c r="I17" s="941"/>
      <c r="J17" s="941"/>
      <c r="K17" s="941"/>
      <c r="L17" s="940">
        <v>99</v>
      </c>
    </row>
    <row r="18" spans="2:19" ht="13.5" outlineLevel="1" thickBot="1" x14ac:dyDescent="0.35">
      <c r="B18" s="353" t="s">
        <v>1021</v>
      </c>
      <c r="C18" s="145"/>
      <c r="D18" s="145"/>
      <c r="E18" s="145"/>
      <c r="F18" s="145"/>
      <c r="G18" s="942">
        <v>99.5</v>
      </c>
      <c r="H18" s="624"/>
      <c r="I18" s="264"/>
      <c r="J18" s="264"/>
      <c r="K18" s="264"/>
      <c r="L18" s="245"/>
    </row>
    <row r="19" spans="2:19" ht="13" outlineLevel="1" x14ac:dyDescent="0.3">
      <c r="B19" s="353"/>
      <c r="C19" s="145"/>
      <c r="D19" s="145"/>
      <c r="E19" s="145"/>
      <c r="F19" s="145"/>
      <c r="H19" s="626"/>
      <c r="I19" s="61"/>
      <c r="J19" s="61"/>
      <c r="K19" s="61"/>
      <c r="L19" s="5"/>
    </row>
    <row r="20" spans="2:19" ht="13.5" outlineLevel="1" thickBot="1" x14ac:dyDescent="0.35">
      <c r="B20" s="353"/>
      <c r="C20" s="145"/>
      <c r="D20" s="145"/>
      <c r="E20" s="145"/>
      <c r="F20" s="145"/>
      <c r="H20" s="626"/>
      <c r="I20" s="61"/>
      <c r="J20" s="61"/>
      <c r="K20" s="61"/>
      <c r="L20" s="5"/>
    </row>
    <row r="21" spans="2:19" ht="20.5" thickBot="1" x14ac:dyDescent="0.45">
      <c r="B21" s="1453" t="s">
        <v>1022</v>
      </c>
      <c r="C21" s="1454"/>
      <c r="D21" s="1454"/>
      <c r="E21" s="1454"/>
      <c r="F21" s="1454"/>
      <c r="G21" s="1454"/>
      <c r="H21" s="1454"/>
      <c r="I21" s="1454"/>
      <c r="J21" s="1454"/>
      <c r="K21" s="1454"/>
      <c r="L21" s="1454"/>
      <c r="M21" s="1455"/>
    </row>
    <row r="22" spans="2:19" ht="20" x14ac:dyDescent="0.4">
      <c r="B22" s="729"/>
      <c r="C22" s="729"/>
      <c r="D22" s="729"/>
      <c r="E22" s="729"/>
      <c r="F22" s="729"/>
      <c r="G22" s="729"/>
      <c r="H22" s="729"/>
      <c r="I22" s="729"/>
      <c r="J22" s="729"/>
      <c r="K22" s="729"/>
      <c r="L22" s="729"/>
    </row>
    <row r="23" spans="2:19" ht="15.5" outlineLevel="1" x14ac:dyDescent="0.35">
      <c r="B23" s="6" t="s">
        <v>80</v>
      </c>
      <c r="C23" s="353"/>
      <c r="D23" s="353"/>
      <c r="E23" s="353"/>
      <c r="F23" s="1380" t="s">
        <v>1023</v>
      </c>
      <c r="G23" s="1387" t="s">
        <v>1024</v>
      </c>
    </row>
    <row r="24" spans="2:19" outlineLevel="1" x14ac:dyDescent="0.25">
      <c r="B24" s="353" t="s">
        <v>81</v>
      </c>
      <c r="C24" s="353"/>
      <c r="D24" s="353"/>
      <c r="E24" s="353"/>
      <c r="F24" s="618">
        <f>Chem!C147</f>
        <v>26</v>
      </c>
      <c r="G24" s="95">
        <v>1</v>
      </c>
    </row>
    <row r="25" spans="2:19" outlineLevel="1" x14ac:dyDescent="0.25">
      <c r="B25" s="353" t="s">
        <v>1025</v>
      </c>
      <c r="C25" s="353"/>
      <c r="D25" s="353"/>
      <c r="E25" s="353"/>
      <c r="F25" s="618">
        <f>Chem!C148</f>
        <v>7</v>
      </c>
      <c r="G25" s="95">
        <v>1</v>
      </c>
      <c r="M25" s="563"/>
      <c r="Q25" s="151"/>
      <c r="S25" s="21"/>
    </row>
    <row r="26" spans="2:19" ht="13" outlineLevel="1" x14ac:dyDescent="0.3">
      <c r="B26" s="353" t="s">
        <v>83</v>
      </c>
      <c r="C26" s="353"/>
      <c r="D26" s="353"/>
      <c r="E26" s="353"/>
      <c r="F26" s="618">
        <f>Chem!C149</f>
        <v>15</v>
      </c>
      <c r="G26" s="95">
        <v>1</v>
      </c>
      <c r="M26" s="563"/>
      <c r="N26" s="61"/>
      <c r="O26" s="28"/>
      <c r="P26" s="28"/>
      <c r="Q26" s="151"/>
    </row>
    <row r="27" spans="2:19" ht="13" outlineLevel="1" x14ac:dyDescent="0.3">
      <c r="B27" s="353" t="s">
        <v>1026</v>
      </c>
      <c r="C27" s="353"/>
      <c r="D27" s="353"/>
      <c r="E27" s="353"/>
      <c r="F27" s="618">
        <f>Chem!C150</f>
        <v>2.7</v>
      </c>
      <c r="G27" s="95">
        <v>1</v>
      </c>
      <c r="M27" s="9"/>
      <c r="N27" s="9"/>
      <c r="O27" s="28"/>
      <c r="P27" s="28"/>
      <c r="Q27" s="151"/>
    </row>
    <row r="28" spans="2:19" ht="13" outlineLevel="1" x14ac:dyDescent="0.3">
      <c r="B28" s="353"/>
      <c r="C28" s="353"/>
      <c r="D28" s="353"/>
      <c r="E28" s="353"/>
      <c r="F28" s="619"/>
      <c r="G28" s="52"/>
      <c r="M28" s="9"/>
      <c r="N28" s="9"/>
      <c r="O28" s="28"/>
      <c r="P28" s="28"/>
      <c r="Q28" s="151"/>
    </row>
    <row r="29" spans="2:19" ht="15.5" outlineLevel="1" x14ac:dyDescent="0.35">
      <c r="B29" s="6" t="s">
        <v>887</v>
      </c>
      <c r="C29" s="353"/>
      <c r="D29" s="353"/>
      <c r="E29" s="353"/>
      <c r="F29" s="619"/>
      <c r="G29" s="85"/>
      <c r="M29" s="61"/>
      <c r="N29" s="61"/>
      <c r="O29" s="28"/>
      <c r="P29" s="28"/>
      <c r="Q29" s="151"/>
    </row>
    <row r="30" spans="2:19" ht="13" outlineLevel="1" x14ac:dyDescent="0.3">
      <c r="B30" s="353" t="s">
        <v>81</v>
      </c>
      <c r="C30" s="353"/>
      <c r="D30" s="353"/>
      <c r="E30" s="353"/>
      <c r="F30" s="618">
        <f>Chem!C153</f>
        <v>10</v>
      </c>
      <c r="G30" s="95">
        <v>1</v>
      </c>
      <c r="M30" s="61"/>
      <c r="N30" s="61"/>
      <c r="O30" s="28"/>
      <c r="P30" s="28"/>
      <c r="Q30" s="151"/>
    </row>
    <row r="31" spans="2:19" ht="13" outlineLevel="1" x14ac:dyDescent="0.3">
      <c r="B31" s="353" t="s">
        <v>1025</v>
      </c>
      <c r="C31" s="353"/>
      <c r="D31" s="353"/>
      <c r="E31" s="353"/>
      <c r="F31" s="618">
        <f>Chem!C154</f>
        <v>7</v>
      </c>
      <c r="G31" s="95">
        <v>1</v>
      </c>
      <c r="M31" s="61"/>
      <c r="N31" s="61"/>
      <c r="O31" s="28"/>
      <c r="P31" s="28"/>
      <c r="Q31" s="151"/>
    </row>
    <row r="32" spans="2:19" ht="13" outlineLevel="1" x14ac:dyDescent="0.3">
      <c r="B32" s="353" t="s">
        <v>83</v>
      </c>
      <c r="C32" s="353"/>
      <c r="D32" s="353"/>
      <c r="E32" s="353"/>
      <c r="F32" s="618">
        <f>Chem!C155</f>
        <v>10</v>
      </c>
      <c r="G32" s="95">
        <v>1</v>
      </c>
      <c r="M32" s="61"/>
      <c r="N32" s="61"/>
      <c r="O32" s="28"/>
      <c r="P32" s="28"/>
      <c r="Q32" s="151"/>
    </row>
    <row r="33" spans="2:17" ht="13" outlineLevel="1" x14ac:dyDescent="0.3">
      <c r="B33" s="353" t="s">
        <v>1026</v>
      </c>
      <c r="C33" s="353"/>
      <c r="D33" s="353"/>
      <c r="E33" s="353"/>
      <c r="F33" s="618">
        <f>Chem!C156</f>
        <v>0</v>
      </c>
      <c r="G33" s="95">
        <v>1</v>
      </c>
      <c r="M33" s="61"/>
      <c r="N33" s="61"/>
      <c r="O33" s="28"/>
      <c r="P33" s="28"/>
      <c r="Q33" s="151"/>
    </row>
    <row r="34" spans="2:17" ht="13" outlineLevel="1" x14ac:dyDescent="0.3">
      <c r="B34" s="353"/>
      <c r="C34" s="353"/>
      <c r="D34" s="353"/>
      <c r="E34" s="353"/>
      <c r="F34" s="619"/>
      <c r="G34" s="52"/>
      <c r="M34" s="61"/>
      <c r="N34" s="61"/>
      <c r="O34" s="28"/>
      <c r="P34" s="28"/>
      <c r="Q34" s="151"/>
    </row>
    <row r="35" spans="2:17" ht="15.5" outlineLevel="1" x14ac:dyDescent="0.35">
      <c r="B35" s="6" t="s">
        <v>892</v>
      </c>
      <c r="C35" s="353"/>
      <c r="D35" s="353"/>
      <c r="E35" s="353"/>
      <c r="F35" s="619"/>
      <c r="G35" s="52"/>
      <c r="M35" s="61"/>
      <c r="N35" s="61"/>
      <c r="O35" s="28"/>
      <c r="P35" s="28"/>
      <c r="Q35" s="151"/>
    </row>
    <row r="36" spans="2:17" ht="13" outlineLevel="1" x14ac:dyDescent="0.3">
      <c r="B36" s="353" t="s">
        <v>1027</v>
      </c>
      <c r="C36" s="353"/>
      <c r="D36" s="353"/>
      <c r="E36" s="353"/>
      <c r="F36" s="618">
        <f>Chem!C159</f>
        <v>0.2</v>
      </c>
      <c r="G36" s="95">
        <v>1</v>
      </c>
      <c r="M36" s="61"/>
      <c r="N36" s="61"/>
      <c r="O36" s="28"/>
      <c r="P36" s="28"/>
      <c r="Q36" s="151"/>
    </row>
    <row r="37" spans="2:17" ht="13" outlineLevel="1" x14ac:dyDescent="0.3">
      <c r="B37" s="353" t="s">
        <v>1028</v>
      </c>
      <c r="C37" s="353"/>
      <c r="D37" s="353"/>
      <c r="E37" s="353"/>
      <c r="F37" s="618">
        <f>Chem!C160</f>
        <v>1.2</v>
      </c>
      <c r="G37" s="95">
        <v>1</v>
      </c>
      <c r="M37" s="61"/>
      <c r="N37" s="61"/>
      <c r="O37" s="28"/>
      <c r="P37" s="28"/>
      <c r="Q37" s="151"/>
    </row>
    <row r="38" spans="2:17" ht="13" outlineLevel="1" x14ac:dyDescent="0.3">
      <c r="B38" s="353" t="s">
        <v>1029</v>
      </c>
      <c r="C38" s="353"/>
      <c r="D38" s="353"/>
      <c r="E38" s="353"/>
      <c r="F38" s="618">
        <f>Chem!C161</f>
        <v>0.9</v>
      </c>
      <c r="G38" s="95">
        <v>1</v>
      </c>
    </row>
    <row r="39" spans="2:17" outlineLevel="1" x14ac:dyDescent="0.25">
      <c r="B39" s="353" t="s">
        <v>86</v>
      </c>
      <c r="C39" s="353"/>
      <c r="D39" s="353"/>
      <c r="E39" s="353"/>
      <c r="F39" s="618">
        <f>Chem!C162</f>
        <v>10</v>
      </c>
      <c r="G39" s="95">
        <v>1</v>
      </c>
    </row>
    <row r="40" spans="2:17" ht="13" outlineLevel="1" thickBot="1" x14ac:dyDescent="0.3">
      <c r="B40" s="353"/>
      <c r="C40" s="353"/>
      <c r="D40" s="353"/>
      <c r="E40" s="353"/>
      <c r="F40" s="44"/>
      <c r="G40" s="44"/>
    </row>
    <row r="41" spans="2:17" ht="20.5" thickBot="1" x14ac:dyDescent="0.45">
      <c r="B41" s="1453" t="s">
        <v>1030</v>
      </c>
      <c r="C41" s="1454"/>
      <c r="D41" s="1454"/>
      <c r="E41" s="1454"/>
      <c r="F41" s="1454"/>
      <c r="G41" s="1454"/>
      <c r="H41" s="1454"/>
      <c r="I41" s="1454"/>
      <c r="J41" s="1454"/>
      <c r="K41" s="1454"/>
      <c r="L41" s="1454"/>
      <c r="M41" s="1455"/>
    </row>
    <row r="42" spans="2:17" ht="15.5" x14ac:dyDescent="0.35">
      <c r="F42" s="1495" t="s">
        <v>1031</v>
      </c>
      <c r="G42" s="1495"/>
      <c r="I42" s="443"/>
      <c r="J42" s="443"/>
      <c r="K42" s="443"/>
      <c r="L42" s="100"/>
    </row>
    <row r="43" spans="2:17" ht="13" x14ac:dyDescent="0.3">
      <c r="F43" s="1380" t="s">
        <v>1032</v>
      </c>
      <c r="G43" s="1380" t="s">
        <v>1033</v>
      </c>
    </row>
    <row r="44" spans="2:17" ht="15.5" x14ac:dyDescent="0.35">
      <c r="B44" s="6" t="s">
        <v>250</v>
      </c>
      <c r="E44" s="1384" t="s">
        <v>743</v>
      </c>
      <c r="F44" s="1380" t="s">
        <v>1034</v>
      </c>
      <c r="G44" s="1380" t="s">
        <v>1035</v>
      </c>
    </row>
    <row r="45" spans="2:17" x14ac:dyDescent="0.25">
      <c r="B45" s="353" t="s">
        <v>1036</v>
      </c>
      <c r="E45" s="174" t="s">
        <v>1037</v>
      </c>
      <c r="F45" s="42">
        <f>Lists!AV83*Lists!AW83</f>
        <v>2.4050000000000002</v>
      </c>
      <c r="G45" s="565">
        <f>Lists!AX83</f>
        <v>0.08</v>
      </c>
    </row>
    <row r="46" spans="2:17" x14ac:dyDescent="0.25">
      <c r="B46" s="353" t="s">
        <v>1038</v>
      </c>
      <c r="E46" s="174" t="s">
        <v>1039</v>
      </c>
      <c r="F46" s="42">
        <f>Lists!AV84*Lists!AW84</f>
        <v>8.64</v>
      </c>
      <c r="G46" s="42">
        <f>Lists!AX84</f>
        <v>0.08</v>
      </c>
    </row>
    <row r="47" spans="2:17" x14ac:dyDescent="0.25">
      <c r="B47" s="353" t="s">
        <v>1040</v>
      </c>
      <c r="E47" s="174" t="s">
        <v>1041</v>
      </c>
      <c r="F47" s="42">
        <f>Lists!AV85*Lists!AW85</f>
        <v>3</v>
      </c>
      <c r="G47" s="42">
        <f>Lists!AX85</f>
        <v>0.2</v>
      </c>
    </row>
    <row r="48" spans="2:17" x14ac:dyDescent="0.25">
      <c r="B48" s="353" t="s">
        <v>1042</v>
      </c>
      <c r="E48" s="174" t="s">
        <v>1037</v>
      </c>
      <c r="F48" s="42">
        <f>Lists!AV86*Lists!AW86</f>
        <v>2.4050000000000002</v>
      </c>
      <c r="G48" s="42">
        <f>Lists!AX86</f>
        <v>0.15</v>
      </c>
    </row>
    <row r="49" spans="2:7" x14ac:dyDescent="0.25">
      <c r="B49" s="353" t="s">
        <v>1043</v>
      </c>
      <c r="E49" s="8"/>
      <c r="F49" s="44"/>
      <c r="G49" s="150">
        <f>Lists!AU87</f>
        <v>0.85</v>
      </c>
    </row>
    <row r="50" spans="2:7" x14ac:dyDescent="0.25">
      <c r="B50" s="353"/>
      <c r="E50" s="8"/>
      <c r="F50" s="44"/>
      <c r="G50" s="44"/>
    </row>
    <row r="51" spans="2:7" ht="13" x14ac:dyDescent="0.3">
      <c r="F51" s="1380" t="s">
        <v>1032</v>
      </c>
      <c r="G51" s="1380" t="s">
        <v>1044</v>
      </c>
    </row>
    <row r="52" spans="2:7" ht="15.5" x14ac:dyDescent="0.35">
      <c r="B52" s="6" t="s">
        <v>245</v>
      </c>
      <c r="F52" s="1380" t="s">
        <v>1045</v>
      </c>
      <c r="G52" s="1380" t="s">
        <v>1046</v>
      </c>
    </row>
    <row r="53" spans="2:7" x14ac:dyDescent="0.25">
      <c r="B53" s="353" t="s">
        <v>1047</v>
      </c>
      <c r="F53" s="42">
        <f>Lists!AT90</f>
        <v>2</v>
      </c>
      <c r="G53" s="42">
        <f>Lists!AU90</f>
        <v>0.03</v>
      </c>
    </row>
    <row r="54" spans="2:7" x14ac:dyDescent="0.25">
      <c r="B54" s="353"/>
      <c r="F54" s="44"/>
      <c r="G54" s="44"/>
    </row>
    <row r="55" spans="2:7" ht="13" x14ac:dyDescent="0.3">
      <c r="B55" s="130"/>
      <c r="F55" s="1380" t="s">
        <v>1032</v>
      </c>
      <c r="G55" s="1380" t="s">
        <v>1033</v>
      </c>
    </row>
    <row r="56" spans="2:7" ht="13" x14ac:dyDescent="0.3">
      <c r="B56" s="130"/>
      <c r="E56" s="1380" t="s">
        <v>743</v>
      </c>
      <c r="F56" s="1380" t="s">
        <v>1034</v>
      </c>
      <c r="G56" s="1380" t="s">
        <v>1048</v>
      </c>
    </row>
    <row r="57" spans="2:7" x14ac:dyDescent="0.25">
      <c r="B57" s="353" t="s">
        <v>1049</v>
      </c>
      <c r="E57" s="174" t="s">
        <v>1039</v>
      </c>
      <c r="F57" s="42">
        <f>Lists!AV93*Lists!AW93+Lists!AX93</f>
        <v>8.7200000000000006</v>
      </c>
      <c r="G57" s="42">
        <f>Lists!AY93</f>
        <v>0.04</v>
      </c>
    </row>
    <row r="58" spans="2:7" x14ac:dyDescent="0.25">
      <c r="B58" s="1051" t="s">
        <v>1050</v>
      </c>
      <c r="E58" s="174" t="s">
        <v>1051</v>
      </c>
      <c r="F58" s="42">
        <f>Lists!AV94*Lists!AW94+Lists!AX94</f>
        <v>2.2999999999999998</v>
      </c>
      <c r="G58" s="42">
        <f>Lists!AY94</f>
        <v>0.2</v>
      </c>
    </row>
    <row r="59" spans="2:7" x14ac:dyDescent="0.25">
      <c r="B59" s="1051" t="s">
        <v>1052</v>
      </c>
      <c r="E59" s="93" t="s">
        <v>1039</v>
      </c>
      <c r="F59" s="42">
        <f>Lists!AV95*Lists!AW95+Lists!AX95</f>
        <v>8.64</v>
      </c>
      <c r="G59" s="42">
        <f>Lists!AY95</f>
        <v>0.18</v>
      </c>
    </row>
    <row r="60" spans="2:7" x14ac:dyDescent="0.25">
      <c r="B60" s="1051" t="s">
        <v>1053</v>
      </c>
      <c r="E60" s="93" t="s">
        <v>1054</v>
      </c>
      <c r="F60" s="42">
        <f>Lists!AV96*Lists!AW96+Lists!AX96</f>
        <v>2.4</v>
      </c>
      <c r="G60" s="42">
        <v>0.5</v>
      </c>
    </row>
    <row r="61" spans="2:7" x14ac:dyDescent="0.25">
      <c r="B61" s="1051" t="s">
        <v>1055</v>
      </c>
      <c r="E61" s="8"/>
      <c r="F61" s="42">
        <f>Lists!AV97*Lists!AW97+Lists!AX97</f>
        <v>0</v>
      </c>
      <c r="G61" s="42">
        <f>Lists!AY97</f>
        <v>0.5</v>
      </c>
    </row>
    <row r="62" spans="2:7" x14ac:dyDescent="0.25">
      <c r="B62" s="1051"/>
      <c r="E62" s="8"/>
      <c r="F62" s="44"/>
      <c r="G62" s="44"/>
    </row>
    <row r="63" spans="2:7" ht="15.5" x14ac:dyDescent="0.35">
      <c r="B63" s="614" t="s">
        <v>241</v>
      </c>
      <c r="E63" s="85"/>
      <c r="F63" s="44"/>
      <c r="G63" s="44"/>
    </row>
    <row r="64" spans="2:7" x14ac:dyDescent="0.25">
      <c r="B64" s="1051" t="s">
        <v>1056</v>
      </c>
      <c r="E64" s="93" t="s">
        <v>1037</v>
      </c>
      <c r="F64" s="42">
        <f>Lists!AV99*Lists!AW99+Lists!AX99</f>
        <v>1.325</v>
      </c>
      <c r="G64" s="42">
        <f>Lists!AY99</f>
        <v>1</v>
      </c>
    </row>
    <row r="65" spans="2:13" x14ac:dyDescent="0.25">
      <c r="B65" s="353" t="s">
        <v>1057</v>
      </c>
      <c r="E65" s="93" t="s">
        <v>1058</v>
      </c>
      <c r="F65" s="150">
        <v>1</v>
      </c>
      <c r="G65" s="150">
        <f>Lists!AY100</f>
        <v>0.2</v>
      </c>
    </row>
    <row r="66" spans="2:13" x14ac:dyDescent="0.25">
      <c r="B66" s="353" t="s">
        <v>1059</v>
      </c>
      <c r="E66" s="175" t="s">
        <v>1039</v>
      </c>
      <c r="F66" s="42">
        <f>Lists!AV101*Lists!AW101+Lists!AX101</f>
        <v>8.84</v>
      </c>
      <c r="G66" s="42">
        <f>Lists!AY101</f>
        <v>0.4</v>
      </c>
    </row>
    <row r="67" spans="2:13" x14ac:dyDescent="0.25">
      <c r="B67" s="1051" t="s">
        <v>1060</v>
      </c>
      <c r="E67" s="175" t="s">
        <v>1039</v>
      </c>
      <c r="F67" s="42">
        <f>Lists!AV102*Lists!AW102+Lists!AX102</f>
        <v>8.68</v>
      </c>
      <c r="G67" s="42">
        <f>Lists!AY102</f>
        <v>0.6</v>
      </c>
    </row>
    <row r="68" spans="2:13" x14ac:dyDescent="0.25">
      <c r="B68" s="1050" t="s">
        <v>1061</v>
      </c>
      <c r="E68" s="175" t="s">
        <v>1054</v>
      </c>
      <c r="F68" s="42">
        <f>Lists!AV103*Lists!AW103+Lists!AX103</f>
        <v>2.8000000000000003</v>
      </c>
      <c r="G68" s="42">
        <f>Lists!AY103</f>
        <v>0.5</v>
      </c>
    </row>
    <row r="69" spans="2:13" x14ac:dyDescent="0.25">
      <c r="B69" s="1050" t="s">
        <v>1062</v>
      </c>
      <c r="E69" s="175" t="s">
        <v>1063</v>
      </c>
      <c r="F69" s="42">
        <f>Lists!AV104*Lists!AW104+Lists!AX104</f>
        <v>8</v>
      </c>
      <c r="G69" s="42">
        <f>Lists!AY104</f>
        <v>1</v>
      </c>
    </row>
    <row r="70" spans="2:13" x14ac:dyDescent="0.25">
      <c r="B70" s="1050" t="s">
        <v>1064</v>
      </c>
      <c r="E70" s="175" t="s">
        <v>1039</v>
      </c>
      <c r="F70" s="42">
        <f>Lists!AV105*Lists!AW105+Lists!AX105</f>
        <v>8.8800000000000008</v>
      </c>
      <c r="G70" s="42">
        <f>Lists!AY105</f>
        <v>0.75</v>
      </c>
    </row>
    <row r="71" spans="2:13" x14ac:dyDescent="0.25">
      <c r="B71" s="353" t="s">
        <v>1065</v>
      </c>
      <c r="E71" s="175" t="s">
        <v>1054</v>
      </c>
      <c r="F71" s="42">
        <f>Lists!AV106*Lists!AW106+Lists!AX106</f>
        <v>1.4000000000000001</v>
      </c>
      <c r="G71" s="42">
        <f>Lists!AY106</f>
        <v>3</v>
      </c>
    </row>
    <row r="72" spans="2:13" x14ac:dyDescent="0.25">
      <c r="B72" s="353" t="s">
        <v>1066</v>
      </c>
      <c r="E72" s="175" t="s">
        <v>1037</v>
      </c>
      <c r="F72" s="42">
        <f>Lists!AV107*Lists!AW107+Lists!AX107</f>
        <v>2.8050000000000002</v>
      </c>
      <c r="G72" s="42">
        <f>Lists!AY107</f>
        <v>3</v>
      </c>
    </row>
    <row r="73" spans="2:13" ht="13" x14ac:dyDescent="0.3">
      <c r="B73" s="353" t="s">
        <v>1067</v>
      </c>
      <c r="E73" s="150">
        <v>3</v>
      </c>
      <c r="F73" s="44"/>
      <c r="G73" s="446"/>
    </row>
    <row r="74" spans="2:13" x14ac:dyDescent="0.25">
      <c r="B74" s="90" t="s">
        <v>1068</v>
      </c>
      <c r="C74" s="45"/>
      <c r="D74" s="45"/>
      <c r="E74" s="44"/>
      <c r="F74" s="44"/>
      <c r="G74" s="150">
        <v>0.85</v>
      </c>
    </row>
    <row r="75" spans="2:13" x14ac:dyDescent="0.25">
      <c r="B75" s="90"/>
      <c r="C75" s="45"/>
      <c r="D75" s="45"/>
      <c r="E75" s="44"/>
      <c r="F75" s="44"/>
      <c r="G75" s="44"/>
    </row>
    <row r="76" spans="2:13" ht="16" thickBot="1" x14ac:dyDescent="0.4">
      <c r="B76" s="78"/>
      <c r="H76" s="35"/>
      <c r="L76" s="52"/>
    </row>
    <row r="77" spans="2:13" ht="20.5" thickBot="1" x14ac:dyDescent="0.45">
      <c r="B77" s="1453" t="s">
        <v>1069</v>
      </c>
      <c r="C77" s="1454"/>
      <c r="D77" s="1454"/>
      <c r="E77" s="1454"/>
      <c r="F77" s="1454"/>
      <c r="G77" s="1454"/>
      <c r="H77" s="1454"/>
      <c r="I77" s="1454"/>
      <c r="J77" s="1454"/>
      <c r="K77" s="1454"/>
      <c r="L77" s="1454"/>
      <c r="M77" s="1455"/>
    </row>
    <row r="78" spans="2:13" ht="15" customHeight="1" x14ac:dyDescent="0.25">
      <c r="F78" s="85"/>
      <c r="G78" s="85"/>
      <c r="H78" s="85"/>
      <c r="L78" s="52"/>
    </row>
    <row r="79" spans="2:13" ht="15" customHeight="1" x14ac:dyDescent="0.35">
      <c r="B79" s="614" t="s">
        <v>1070</v>
      </c>
      <c r="C79" s="443"/>
      <c r="D79" s="443"/>
      <c r="E79" s="443"/>
      <c r="F79" s="100"/>
      <c r="G79" s="85"/>
      <c r="H79" s="85"/>
      <c r="L79" s="52"/>
    </row>
    <row r="80" spans="2:13" ht="15" customHeight="1" x14ac:dyDescent="0.35">
      <c r="B80" s="353" t="s">
        <v>1071</v>
      </c>
      <c r="C80" s="443"/>
      <c r="D80" s="443"/>
      <c r="E80" s="443"/>
      <c r="F80" s="43">
        <v>320</v>
      </c>
      <c r="G80" s="85"/>
      <c r="H80" s="85"/>
      <c r="L80" s="52"/>
    </row>
    <row r="81" spans="2:12" ht="15" customHeight="1" x14ac:dyDescent="0.35">
      <c r="B81" s="353"/>
      <c r="C81" s="443"/>
      <c r="D81" s="443"/>
      <c r="E81" s="443"/>
      <c r="F81" s="52"/>
      <c r="G81" s="85"/>
      <c r="H81" s="85"/>
      <c r="L81" s="52"/>
    </row>
    <row r="82" spans="2:12" ht="15" customHeight="1" x14ac:dyDescent="0.35">
      <c r="B82" s="665" t="s">
        <v>1072</v>
      </c>
      <c r="C82" s="443"/>
      <c r="D82" s="443"/>
      <c r="E82" s="443"/>
      <c r="F82" s="100"/>
      <c r="G82" s="85"/>
      <c r="H82" s="85"/>
      <c r="L82" s="52"/>
    </row>
    <row r="83" spans="2:12" ht="15" customHeight="1" x14ac:dyDescent="0.3">
      <c r="B83" s="353" t="s">
        <v>1073</v>
      </c>
      <c r="F83" s="43">
        <v>3000</v>
      </c>
      <c r="G83" s="174"/>
      <c r="H83" s="174"/>
      <c r="L83" s="52"/>
    </row>
    <row r="84" spans="2:12" ht="15" customHeight="1" x14ac:dyDescent="0.25">
      <c r="B84" s="353" t="s">
        <v>1074</v>
      </c>
      <c r="F84" s="85"/>
      <c r="G84" s="85"/>
      <c r="H84" s="85"/>
      <c r="L84" s="52"/>
    </row>
    <row r="85" spans="2:12" ht="15" customHeight="1" x14ac:dyDescent="0.25">
      <c r="B85" s="353" t="s">
        <v>1075</v>
      </c>
      <c r="F85" s="43">
        <v>5</v>
      </c>
      <c r="G85" s="85"/>
      <c r="H85" s="85"/>
      <c r="L85" s="52"/>
    </row>
    <row r="86" spans="2:12" ht="15" customHeight="1" x14ac:dyDescent="0.25">
      <c r="B86" s="353" t="s">
        <v>1076</v>
      </c>
      <c r="F86" s="43">
        <v>10</v>
      </c>
      <c r="G86" s="85"/>
      <c r="H86" s="85"/>
      <c r="L86" s="52"/>
    </row>
    <row r="87" spans="2:12" ht="15" customHeight="1" x14ac:dyDescent="0.25">
      <c r="B87" s="353" t="s">
        <v>1077</v>
      </c>
      <c r="F87" s="43">
        <v>15</v>
      </c>
      <c r="G87" s="85"/>
      <c r="H87" s="85"/>
      <c r="L87" s="52"/>
    </row>
    <row r="88" spans="2:12" ht="15" customHeight="1" x14ac:dyDescent="0.25">
      <c r="F88" s="52"/>
      <c r="G88" s="85"/>
      <c r="H88" s="85"/>
      <c r="L88" s="52"/>
    </row>
    <row r="89" spans="2:12" ht="15" customHeight="1" x14ac:dyDescent="0.35">
      <c r="B89" s="6" t="s">
        <v>1078</v>
      </c>
      <c r="F89" s="85"/>
      <c r="G89" s="85"/>
      <c r="H89" s="85"/>
      <c r="L89" s="52"/>
    </row>
    <row r="90" spans="2:12" ht="15" customHeight="1" x14ac:dyDescent="0.3">
      <c r="B90" s="665" t="s">
        <v>1079</v>
      </c>
      <c r="F90" s="85"/>
      <c r="G90" s="85"/>
      <c r="H90" s="85"/>
      <c r="L90" s="52"/>
    </row>
    <row r="91" spans="2:12" ht="15" customHeight="1" x14ac:dyDescent="0.25">
      <c r="B91" s="353" t="s">
        <v>1080</v>
      </c>
      <c r="F91" s="43">
        <v>25</v>
      </c>
      <c r="G91" s="85"/>
      <c r="H91" s="85"/>
      <c r="L91" s="52"/>
    </row>
    <row r="92" spans="2:12" ht="15" customHeight="1" x14ac:dyDescent="0.25">
      <c r="B92" t="s">
        <v>1081</v>
      </c>
      <c r="F92" s="52"/>
      <c r="G92" s="85"/>
      <c r="H92" s="85"/>
      <c r="L92" s="52"/>
    </row>
    <row r="93" spans="2:12" ht="15" customHeight="1" x14ac:dyDescent="0.25">
      <c r="B93" s="353" t="s">
        <v>1082</v>
      </c>
      <c r="F93" s="43">
        <v>40</v>
      </c>
      <c r="G93" s="85"/>
      <c r="H93" s="85"/>
      <c r="L93" s="52"/>
    </row>
    <row r="94" spans="2:12" ht="15" customHeight="1" x14ac:dyDescent="0.25">
      <c r="B94" s="353" t="s">
        <v>1083</v>
      </c>
      <c r="F94" s="43">
        <v>20</v>
      </c>
      <c r="G94" s="85"/>
      <c r="H94" s="85"/>
      <c r="L94" s="52"/>
    </row>
    <row r="95" spans="2:12" ht="15" customHeight="1" x14ac:dyDescent="0.25">
      <c r="B95" s="353"/>
      <c r="F95" s="52"/>
      <c r="G95" s="85"/>
      <c r="H95" s="85"/>
      <c r="L95" s="52"/>
    </row>
    <row r="96" spans="2:12" ht="15" customHeight="1" x14ac:dyDescent="0.3">
      <c r="B96" s="665" t="s">
        <v>1084</v>
      </c>
      <c r="F96" s="85"/>
      <c r="G96" s="85"/>
      <c r="H96" s="85"/>
      <c r="L96" s="52"/>
    </row>
    <row r="97" spans="2:12" ht="15" customHeight="1" x14ac:dyDescent="0.25">
      <c r="B97" s="353" t="s">
        <v>1085</v>
      </c>
      <c r="F97" s="85"/>
      <c r="G97" s="85"/>
      <c r="H97" s="85"/>
      <c r="L97" s="52"/>
    </row>
    <row r="98" spans="2:12" ht="15" customHeight="1" x14ac:dyDescent="0.25">
      <c r="B98" s="353" t="s">
        <v>1086</v>
      </c>
      <c r="F98" s="43">
        <v>25</v>
      </c>
      <c r="G98" s="85"/>
      <c r="H98" s="85"/>
      <c r="L98" s="52"/>
    </row>
    <row r="99" spans="2:12" ht="15" customHeight="1" x14ac:dyDescent="0.25">
      <c r="B99" s="353" t="s">
        <v>1087</v>
      </c>
      <c r="F99" s="43">
        <v>25</v>
      </c>
      <c r="G99" s="85"/>
      <c r="H99" s="85"/>
      <c r="L99" s="52"/>
    </row>
    <row r="100" spans="2:12" ht="15" customHeight="1" x14ac:dyDescent="0.25">
      <c r="B100" s="353" t="s">
        <v>1088</v>
      </c>
      <c r="F100" s="43">
        <v>40</v>
      </c>
      <c r="G100" s="85"/>
      <c r="H100" s="85"/>
      <c r="L100" s="52"/>
    </row>
    <row r="101" spans="2:12" ht="15" customHeight="1" x14ac:dyDescent="0.25">
      <c r="B101" s="353" t="s">
        <v>1089</v>
      </c>
      <c r="F101" s="85"/>
      <c r="G101" s="85"/>
      <c r="H101" s="85"/>
      <c r="L101" s="52"/>
    </row>
    <row r="102" spans="2:12" ht="15" customHeight="1" x14ac:dyDescent="0.25">
      <c r="B102" s="353" t="s">
        <v>1090</v>
      </c>
      <c r="F102" s="95">
        <v>10</v>
      </c>
      <c r="G102" s="85"/>
      <c r="H102" s="85"/>
      <c r="L102" s="52"/>
    </row>
    <row r="103" spans="2:12" ht="15" customHeight="1" x14ac:dyDescent="0.25">
      <c r="B103" s="353" t="s">
        <v>1091</v>
      </c>
      <c r="F103" s="1235">
        <f>100/F102</f>
        <v>10</v>
      </c>
      <c r="G103" s="85"/>
      <c r="H103" s="85"/>
      <c r="L103" s="52"/>
    </row>
    <row r="104" spans="2:12" ht="15" customHeight="1" x14ac:dyDescent="0.25">
      <c r="B104" s="353" t="s">
        <v>1092</v>
      </c>
      <c r="F104" s="43">
        <f>100/(F102*2)</f>
        <v>5</v>
      </c>
      <c r="G104" s="85"/>
      <c r="H104" s="85"/>
      <c r="L104" s="52"/>
    </row>
    <row r="105" spans="2:12" ht="15" customHeight="1" x14ac:dyDescent="0.25">
      <c r="B105" s="353" t="s">
        <v>1093</v>
      </c>
      <c r="F105" s="43">
        <v>5</v>
      </c>
      <c r="G105" s="85"/>
      <c r="H105" s="85"/>
      <c r="L105" s="52"/>
    </row>
    <row r="106" spans="2:12" ht="15" customHeight="1" x14ac:dyDescent="0.25">
      <c r="B106" s="353" t="s">
        <v>1094</v>
      </c>
      <c r="F106" s="43">
        <v>5.6</v>
      </c>
      <c r="G106" s="85"/>
      <c r="H106" s="85"/>
      <c r="L106" s="52"/>
    </row>
    <row r="107" spans="2:12" ht="15" customHeight="1" x14ac:dyDescent="0.25">
      <c r="B107" s="353" t="s">
        <v>1095</v>
      </c>
      <c r="F107" s="43">
        <v>5</v>
      </c>
      <c r="G107" s="85"/>
      <c r="H107" s="85"/>
      <c r="L107" s="52"/>
    </row>
    <row r="108" spans="2:12" ht="15" customHeight="1" x14ac:dyDescent="0.25">
      <c r="B108" s="353" t="s">
        <v>1096</v>
      </c>
      <c r="F108" s="43">
        <v>5.6</v>
      </c>
      <c r="G108" s="85"/>
      <c r="H108" s="85"/>
      <c r="L108" s="52"/>
    </row>
    <row r="109" spans="2:12" ht="15" customHeight="1" x14ac:dyDescent="0.25">
      <c r="B109" s="353" t="s">
        <v>1097</v>
      </c>
      <c r="F109" s="43">
        <v>5</v>
      </c>
      <c r="G109" s="85"/>
      <c r="H109" s="85"/>
      <c r="L109" s="52"/>
    </row>
    <row r="110" spans="2:12" ht="15" customHeight="1" x14ac:dyDescent="0.25">
      <c r="B110" s="353" t="s">
        <v>1098</v>
      </c>
      <c r="F110" s="43">
        <v>5.6</v>
      </c>
      <c r="G110" s="85"/>
      <c r="H110" s="85"/>
      <c r="L110" s="52"/>
    </row>
    <row r="111" spans="2:12" ht="15" customHeight="1" x14ac:dyDescent="0.25">
      <c r="B111" s="35"/>
      <c r="F111" s="52"/>
      <c r="G111" s="85"/>
      <c r="H111" s="85"/>
      <c r="L111" s="52"/>
    </row>
    <row r="112" spans="2:12" ht="15" customHeight="1" x14ac:dyDescent="0.35">
      <c r="B112" s="116" t="s">
        <v>1099</v>
      </c>
      <c r="C112" s="116"/>
      <c r="D112" s="116"/>
      <c r="E112" s="115"/>
      <c r="F112" s="1380" t="s">
        <v>1100</v>
      </c>
      <c r="G112" s="85"/>
      <c r="H112" s="85"/>
      <c r="L112" s="52"/>
    </row>
    <row r="113" spans="1:18" ht="13" x14ac:dyDescent="0.3">
      <c r="B113" s="132" t="s">
        <v>1101</v>
      </c>
      <c r="C113" s="537"/>
      <c r="D113" s="537"/>
      <c r="E113" s="1380"/>
      <c r="F113" s="97">
        <f>(1+F109/100*Lists!$C$162*(F85/100+F87/100))*(1+F110/100*Lists!$D$162)</f>
        <v>1.06656</v>
      </c>
      <c r="P113" s="159"/>
      <c r="Q113" s="149"/>
      <c r="R113" s="39"/>
    </row>
    <row r="114" spans="1:18" x14ac:dyDescent="0.25">
      <c r="B114" s="132" t="s">
        <v>1102</v>
      </c>
      <c r="E114" s="76"/>
      <c r="F114" s="97">
        <f>(1+F93/100+F98/100*(1+F93/100)+F109/100*Lists!$C$162*(F86/100*(1+F93/100)+F87/100*(1+F93/100)))*(1+F110/100*Lists!$D$162)</f>
        <v>1.8664800000000001</v>
      </c>
      <c r="P114" s="159"/>
      <c r="Q114" s="149"/>
      <c r="R114" s="39"/>
    </row>
    <row r="115" spans="1:18" x14ac:dyDescent="0.25">
      <c r="B115" s="132" t="s">
        <v>1103</v>
      </c>
      <c r="E115" s="76"/>
      <c r="F115" s="97">
        <f>((F94/100+F99/100+F98/100*F94/100+F100/100+1)*F103/100+(1+F94/100*(F86/100+F87/100)*F103/100)*F109/100*Lists!$C$162)*(1+F110/100*Lists!$D$162)</f>
        <v>0.25370399999999999</v>
      </c>
      <c r="P115" s="159"/>
      <c r="Q115" s="149"/>
      <c r="R115" s="39"/>
    </row>
    <row r="116" spans="1:18" x14ac:dyDescent="0.25">
      <c r="B116" s="132" t="s">
        <v>1104</v>
      </c>
      <c r="E116" s="76"/>
      <c r="F116" s="1236">
        <f>((F94/100+F99/100+F98/100*F94/100+F100/100+1)*F104/100+(1+F94/100*(F86/100+F87/100)*F104/100)*F109/100*Lists!$C$162)*(1+F110/100*Lists!$D$162)</f>
        <v>0.153252</v>
      </c>
      <c r="P116" s="159"/>
      <c r="Q116" s="149"/>
      <c r="R116" s="39"/>
    </row>
    <row r="117" spans="1:18" x14ac:dyDescent="0.25">
      <c r="E117" s="76"/>
      <c r="P117" s="159"/>
      <c r="Q117" s="149"/>
      <c r="R117" s="39"/>
    </row>
    <row r="118" spans="1:18" ht="13" thickBot="1" x14ac:dyDescent="0.3">
      <c r="P118" s="159"/>
      <c r="Q118" s="149"/>
      <c r="R118" s="39"/>
    </row>
    <row r="119" spans="1:18" ht="20.5" thickBot="1" x14ac:dyDescent="0.45">
      <c r="B119" s="1453" t="s">
        <v>1105</v>
      </c>
      <c r="C119" s="1454"/>
      <c r="D119" s="1454"/>
      <c r="E119" s="1454"/>
      <c r="F119" s="1454"/>
      <c r="G119" s="1454"/>
      <c r="H119" s="1454"/>
      <c r="I119" s="1454"/>
      <c r="J119" s="1454"/>
      <c r="K119" s="1454"/>
      <c r="L119" s="1454"/>
      <c r="M119" s="1455"/>
    </row>
    <row r="120" spans="1:18" ht="13" x14ac:dyDescent="0.3">
      <c r="B120" s="1051"/>
      <c r="C120" s="1051"/>
      <c r="D120" s="1051"/>
      <c r="E120" s="1051"/>
      <c r="F120" s="31" t="s">
        <v>1031</v>
      </c>
      <c r="G120" s="32"/>
    </row>
    <row r="121" spans="1:18" ht="13" x14ac:dyDescent="0.3">
      <c r="B121" s="33" t="s">
        <v>1106</v>
      </c>
      <c r="C121" s="1382"/>
      <c r="D121" s="1382"/>
      <c r="E121" s="1382"/>
      <c r="F121" s="34" t="s">
        <v>1107</v>
      </c>
      <c r="G121" s="1382" t="s">
        <v>1108</v>
      </c>
    </row>
    <row r="122" spans="1:18" ht="15.5" x14ac:dyDescent="0.35">
      <c r="B122" s="6" t="s">
        <v>1109</v>
      </c>
      <c r="C122" s="130"/>
      <c r="D122" s="130"/>
      <c r="E122" s="130"/>
      <c r="F122" s="154"/>
      <c r="G122" s="148"/>
      <c r="M122" s="353"/>
      <c r="N122" s="538"/>
    </row>
    <row r="123" spans="1:18" ht="14" x14ac:dyDescent="0.3">
      <c r="B123" s="665" t="s">
        <v>1110</v>
      </c>
      <c r="C123" s="353"/>
      <c r="D123" s="353"/>
      <c r="E123" s="353"/>
      <c r="F123" s="154"/>
      <c r="G123" s="148"/>
      <c r="N123" s="538"/>
    </row>
    <row r="124" spans="1:18" ht="13" x14ac:dyDescent="0.3">
      <c r="B124" s="327" t="s">
        <v>1111</v>
      </c>
      <c r="C124" s="353"/>
      <c r="D124" s="353"/>
      <c r="E124" s="353"/>
      <c r="F124" s="154"/>
      <c r="G124" s="148"/>
      <c r="N124" s="9"/>
    </row>
    <row r="125" spans="1:18" x14ac:dyDescent="0.25">
      <c r="B125" s="353" t="s">
        <v>1112</v>
      </c>
      <c r="C125" s="353"/>
      <c r="D125" s="353"/>
      <c r="E125" s="353"/>
      <c r="F125" s="154"/>
      <c r="G125" s="148"/>
      <c r="H125" s="353"/>
      <c r="I125" s="353"/>
      <c r="J125" s="353"/>
      <c r="K125" s="353"/>
      <c r="L125" s="122"/>
      <c r="M125" s="353"/>
      <c r="N125" s="353"/>
      <c r="O125" s="353"/>
      <c r="P125" s="90"/>
      <c r="Q125" s="45"/>
    </row>
    <row r="126" spans="1:18" x14ac:dyDescent="0.25">
      <c r="A126" s="353"/>
      <c r="B126" s="353" t="s">
        <v>1113</v>
      </c>
      <c r="C126" s="353"/>
      <c r="D126" s="353"/>
      <c r="E126" s="1065"/>
      <c r="F126" s="201">
        <v>200000</v>
      </c>
      <c r="G126" s="42">
        <v>0.9</v>
      </c>
      <c r="H126" s="48"/>
      <c r="J126" s="65"/>
      <c r="K126" s="65"/>
      <c r="L126" s="1321"/>
      <c r="M126" s="65"/>
      <c r="N126" s="65"/>
      <c r="O126" s="65"/>
      <c r="P126" s="1324"/>
      <c r="Q126" s="45"/>
    </row>
    <row r="127" spans="1:18" ht="13" x14ac:dyDescent="0.3">
      <c r="B127" s="353" t="s">
        <v>1114</v>
      </c>
      <c r="C127" s="353"/>
      <c r="D127" s="353"/>
      <c r="E127" s="1065"/>
      <c r="F127" s="548">
        <v>200</v>
      </c>
      <c r="G127" s="42">
        <v>0.9</v>
      </c>
      <c r="H127" s="737"/>
      <c r="J127" s="65"/>
      <c r="K127" s="65"/>
      <c r="L127" s="1321"/>
      <c r="M127" s="65"/>
      <c r="N127" s="65"/>
      <c r="O127" s="65"/>
      <c r="P127" s="1324"/>
      <c r="Q127" s="45"/>
    </row>
    <row r="128" spans="1:18" ht="13" x14ac:dyDescent="0.3">
      <c r="B128" s="353" t="s">
        <v>1115</v>
      </c>
      <c r="C128" s="353"/>
      <c r="D128" s="353"/>
      <c r="E128" s="1065"/>
      <c r="F128" s="201">
        <v>8000</v>
      </c>
      <c r="G128" s="42">
        <v>0.95</v>
      </c>
      <c r="J128" s="65"/>
      <c r="K128" s="65"/>
      <c r="L128" s="1321"/>
      <c r="M128" s="65"/>
      <c r="N128" s="65"/>
      <c r="O128" s="65"/>
      <c r="P128" s="1324"/>
      <c r="Q128" s="45"/>
    </row>
    <row r="129" spans="1:17" x14ac:dyDescent="0.25">
      <c r="B129" s="353"/>
      <c r="C129" s="353"/>
      <c r="D129" s="353"/>
      <c r="E129" s="1065"/>
      <c r="F129" s="731"/>
      <c r="G129" s="8"/>
      <c r="K129" s="65"/>
      <c r="L129" s="1321"/>
      <c r="M129" s="65"/>
      <c r="N129" s="65"/>
      <c r="O129" s="65"/>
      <c r="P129" s="1324"/>
      <c r="Q129" s="45"/>
    </row>
    <row r="130" spans="1:17" ht="13" x14ac:dyDescent="0.3">
      <c r="A130" s="353"/>
      <c r="B130" s="327" t="s">
        <v>1116</v>
      </c>
      <c r="C130" s="353"/>
      <c r="D130" s="353"/>
      <c r="E130" s="1065"/>
      <c r="F130" s="154"/>
      <c r="G130" s="148"/>
      <c r="I130" s="65"/>
      <c r="J130" s="65"/>
      <c r="K130" s="65"/>
      <c r="L130" s="1321"/>
      <c r="M130" s="65"/>
      <c r="N130" s="65"/>
      <c r="O130" s="65"/>
      <c r="P130" s="1324"/>
      <c r="Q130" s="45"/>
    </row>
    <row r="131" spans="1:17" x14ac:dyDescent="0.25">
      <c r="B131" s="353" t="s">
        <v>1117</v>
      </c>
      <c r="C131" s="353"/>
      <c r="D131" s="353"/>
      <c r="E131" s="1065"/>
      <c r="F131" s="154"/>
      <c r="G131" s="148"/>
      <c r="I131" s="65"/>
      <c r="J131" s="65"/>
      <c r="K131" s="65"/>
      <c r="L131" s="1321"/>
      <c r="M131" s="65"/>
      <c r="N131" s="65"/>
      <c r="O131" s="65"/>
      <c r="P131" s="1324"/>
      <c r="Q131" s="45"/>
    </row>
    <row r="132" spans="1:17" x14ac:dyDescent="0.25">
      <c r="B132" s="353" t="s">
        <v>1113</v>
      </c>
      <c r="C132" s="353"/>
      <c r="D132" s="353"/>
      <c r="E132" s="1065"/>
      <c r="F132" s="201">
        <v>270000</v>
      </c>
      <c r="G132" s="42">
        <v>0.9</v>
      </c>
      <c r="H132" s="48"/>
      <c r="I132" s="65"/>
      <c r="J132" s="65"/>
      <c r="K132" s="65"/>
      <c r="L132" s="1321"/>
      <c r="M132" s="65"/>
      <c r="N132" s="65"/>
      <c r="O132" s="65"/>
      <c r="P132" s="1324"/>
      <c r="Q132" s="45"/>
    </row>
    <row r="133" spans="1:17" ht="13" x14ac:dyDescent="0.3">
      <c r="B133" s="353" t="s">
        <v>1114</v>
      </c>
      <c r="C133" s="353"/>
      <c r="D133" s="353"/>
      <c r="E133" s="1065"/>
      <c r="F133" s="548">
        <v>280</v>
      </c>
      <c r="G133" s="42">
        <v>0.9</v>
      </c>
      <c r="H133" s="737"/>
      <c r="I133" s="65"/>
      <c r="J133" s="65"/>
      <c r="K133" s="55"/>
      <c r="L133" s="1322"/>
      <c r="M133" s="55"/>
      <c r="N133" s="55"/>
      <c r="O133" s="55"/>
      <c r="P133" s="1324"/>
      <c r="Q133" s="45"/>
    </row>
    <row r="134" spans="1:17" ht="13" x14ac:dyDescent="0.3">
      <c r="B134" s="353" t="s">
        <v>1115</v>
      </c>
      <c r="C134" s="353"/>
      <c r="D134" s="353"/>
      <c r="E134" s="1065"/>
      <c r="F134" s="201">
        <v>8800</v>
      </c>
      <c r="G134" s="42">
        <v>0.95</v>
      </c>
      <c r="I134" s="65"/>
      <c r="J134" s="65"/>
      <c r="K134" s="65"/>
      <c r="L134" s="1321"/>
      <c r="M134" s="65"/>
      <c r="N134" s="65"/>
      <c r="O134" s="65"/>
      <c r="P134" s="1324"/>
      <c r="Q134" s="45"/>
    </row>
    <row r="135" spans="1:17" x14ac:dyDescent="0.25">
      <c r="B135" s="353"/>
      <c r="C135" s="353"/>
      <c r="D135" s="353"/>
      <c r="E135" s="1065"/>
      <c r="F135" s="731"/>
      <c r="G135" s="8"/>
      <c r="I135" s="65"/>
      <c r="J135" s="65"/>
      <c r="K135" s="65"/>
      <c r="L135" s="1321"/>
      <c r="M135" s="65"/>
      <c r="N135" s="65"/>
      <c r="O135" s="65"/>
      <c r="P135" s="1324"/>
      <c r="Q135" s="45"/>
    </row>
    <row r="136" spans="1:17" ht="14" x14ac:dyDescent="0.3">
      <c r="B136" s="665" t="s">
        <v>1118</v>
      </c>
      <c r="C136" s="353"/>
      <c r="D136" s="353"/>
      <c r="E136" s="1065"/>
      <c r="F136" s="154"/>
      <c r="G136" s="148"/>
      <c r="I136" s="65"/>
      <c r="J136" s="65"/>
      <c r="K136" s="65"/>
      <c r="L136" s="1321"/>
      <c r="M136" s="65"/>
      <c r="N136" s="65"/>
      <c r="O136" s="65"/>
      <c r="P136" s="1324"/>
      <c r="Q136" s="45"/>
    </row>
    <row r="137" spans="1:17" ht="13" x14ac:dyDescent="0.3">
      <c r="B137" s="327" t="s">
        <v>1111</v>
      </c>
      <c r="C137" s="353"/>
      <c r="D137" s="353"/>
      <c r="E137" s="1065"/>
      <c r="F137" s="154"/>
      <c r="G137" s="148"/>
      <c r="I137" s="65"/>
      <c r="J137" s="65"/>
      <c r="K137" s="65"/>
      <c r="L137" s="1321"/>
      <c r="M137" s="65"/>
      <c r="N137" s="65"/>
      <c r="O137" s="65"/>
      <c r="P137" s="1324"/>
      <c r="Q137" s="45"/>
    </row>
    <row r="138" spans="1:17" x14ac:dyDescent="0.25">
      <c r="B138" s="353" t="s">
        <v>1119</v>
      </c>
      <c r="C138" s="353"/>
      <c r="D138" s="353"/>
      <c r="E138" s="1065"/>
      <c r="F138" s="154"/>
      <c r="G138" s="148"/>
      <c r="I138" s="65"/>
      <c r="J138" s="65"/>
      <c r="K138" s="65"/>
      <c r="L138" s="1321"/>
      <c r="M138" s="65"/>
      <c r="N138" s="65"/>
      <c r="O138" s="65"/>
      <c r="P138" s="1324"/>
      <c r="Q138" s="45"/>
    </row>
    <row r="139" spans="1:17" ht="13" x14ac:dyDescent="0.3">
      <c r="B139" s="353" t="s">
        <v>1120</v>
      </c>
      <c r="C139" s="353"/>
      <c r="D139" s="353"/>
      <c r="E139" s="1328"/>
      <c r="F139" s="549">
        <v>0.11950458192929046</v>
      </c>
      <c r="G139" s="42">
        <v>0.2</v>
      </c>
      <c r="H139" s="130"/>
      <c r="I139" s="65"/>
      <c r="J139" s="65"/>
      <c r="K139" s="65"/>
      <c r="L139" s="1327"/>
      <c r="M139" s="65"/>
      <c r="N139" s="65"/>
      <c r="O139" s="65"/>
      <c r="P139" s="1324"/>
      <c r="Q139" s="45"/>
    </row>
    <row r="140" spans="1:17" x14ac:dyDescent="0.25">
      <c r="B140" s="353" t="s">
        <v>1113</v>
      </c>
      <c r="C140" s="353"/>
      <c r="D140" s="353"/>
      <c r="E140" s="1065"/>
      <c r="F140" s="201">
        <v>59000</v>
      </c>
      <c r="G140" s="42">
        <v>0.7</v>
      </c>
      <c r="H140" s="48"/>
      <c r="I140" s="65"/>
      <c r="J140" s="65"/>
      <c r="K140" s="65"/>
      <c r="L140" s="1321"/>
      <c r="M140" s="65"/>
      <c r="N140" s="65"/>
      <c r="O140" s="65"/>
      <c r="P140" s="1324"/>
      <c r="Q140" s="45"/>
    </row>
    <row r="141" spans="1:17" x14ac:dyDescent="0.25">
      <c r="A141" s="353"/>
      <c r="B141" s="353" t="s">
        <v>1114</v>
      </c>
      <c r="C141" s="353"/>
      <c r="D141" s="353"/>
      <c r="E141" s="1065"/>
      <c r="F141" s="548">
        <v>90</v>
      </c>
      <c r="G141" s="42">
        <v>0.9</v>
      </c>
      <c r="I141" s="55"/>
      <c r="J141" s="55"/>
      <c r="K141" s="55"/>
      <c r="L141" s="1322"/>
      <c r="M141" s="55"/>
      <c r="N141" s="55"/>
      <c r="O141" s="55"/>
      <c r="P141" s="1324"/>
      <c r="Q141" s="45"/>
    </row>
    <row r="142" spans="1:17" ht="13" x14ac:dyDescent="0.3">
      <c r="B142" s="353" t="s">
        <v>1115</v>
      </c>
      <c r="C142" s="353"/>
      <c r="D142" s="353"/>
      <c r="E142" s="1065"/>
      <c r="F142" s="201">
        <v>16000</v>
      </c>
      <c r="G142" s="42">
        <v>0.95</v>
      </c>
      <c r="I142" s="65"/>
      <c r="J142" s="65"/>
      <c r="K142" s="65"/>
      <c r="L142" s="1321"/>
      <c r="M142" s="65"/>
      <c r="N142" s="65"/>
      <c r="O142" s="65"/>
      <c r="P142" s="1324"/>
      <c r="Q142" s="45"/>
    </row>
    <row r="143" spans="1:17" x14ac:dyDescent="0.25">
      <c r="B143" s="353"/>
      <c r="C143" s="353"/>
      <c r="D143" s="353"/>
      <c r="E143" s="1065"/>
      <c r="F143" s="731"/>
      <c r="G143" s="8"/>
      <c r="I143" s="65"/>
      <c r="J143" s="65"/>
      <c r="K143" s="65"/>
      <c r="L143" s="1321"/>
      <c r="M143" s="65"/>
      <c r="N143" s="65"/>
      <c r="O143" s="65"/>
      <c r="P143" s="1324"/>
      <c r="Q143" s="45"/>
    </row>
    <row r="144" spans="1:17" ht="13" x14ac:dyDescent="0.3">
      <c r="B144" s="327" t="s">
        <v>1116</v>
      </c>
      <c r="C144" s="353"/>
      <c r="D144" s="353"/>
      <c r="E144" s="1065"/>
      <c r="F144" s="154"/>
      <c r="G144" s="70"/>
      <c r="I144" s="65"/>
      <c r="J144" s="65"/>
      <c r="K144" s="65"/>
      <c r="L144" s="1321"/>
      <c r="M144" s="65"/>
      <c r="N144" s="65"/>
      <c r="O144" s="65"/>
      <c r="P144" s="1324"/>
      <c r="Q144" s="45"/>
    </row>
    <row r="145" spans="2:17" x14ac:dyDescent="0.25">
      <c r="B145" s="353" t="s">
        <v>1121</v>
      </c>
      <c r="C145" s="353"/>
      <c r="D145" s="353"/>
      <c r="E145" s="1065"/>
      <c r="F145" s="154"/>
      <c r="G145" s="148"/>
      <c r="I145" s="65"/>
      <c r="J145" s="65"/>
      <c r="K145" s="65"/>
      <c r="L145" s="1321"/>
      <c r="M145" s="65"/>
      <c r="N145" s="65"/>
      <c r="O145" s="65"/>
      <c r="P145" s="1324"/>
      <c r="Q145" s="45"/>
    </row>
    <row r="146" spans="2:17" ht="13" x14ac:dyDescent="0.3">
      <c r="B146" s="353" t="s">
        <v>1120</v>
      </c>
      <c r="C146" s="353"/>
      <c r="D146" s="353"/>
      <c r="E146" s="1329"/>
      <c r="F146" s="549">
        <v>7.9307577715231503E-2</v>
      </c>
      <c r="G146" s="42">
        <v>0.2</v>
      </c>
      <c r="H146" s="130"/>
      <c r="I146" s="65"/>
      <c r="J146" s="65"/>
      <c r="K146" s="65"/>
      <c r="L146" s="1327"/>
      <c r="M146" s="65"/>
      <c r="N146" s="65"/>
      <c r="O146" s="65"/>
      <c r="P146" s="1324"/>
      <c r="Q146" s="45"/>
    </row>
    <row r="147" spans="2:17" ht="13" x14ac:dyDescent="0.3">
      <c r="B147" s="353" t="s">
        <v>1113</v>
      </c>
      <c r="C147" s="353"/>
      <c r="D147" s="353"/>
      <c r="E147" s="1065"/>
      <c r="F147" s="201">
        <v>59000</v>
      </c>
      <c r="G147" s="42">
        <v>0.7</v>
      </c>
      <c r="H147" s="1354"/>
      <c r="I147" s="65"/>
      <c r="J147" s="65"/>
      <c r="K147" s="65"/>
      <c r="L147" s="1321"/>
      <c r="M147" s="65"/>
      <c r="N147" s="65"/>
      <c r="O147" s="65"/>
      <c r="P147" s="1324"/>
      <c r="Q147" s="45"/>
    </row>
    <row r="148" spans="2:17" x14ac:dyDescent="0.25">
      <c r="B148" s="353" t="s">
        <v>1114</v>
      </c>
      <c r="C148" s="353"/>
      <c r="D148" s="353"/>
      <c r="E148" s="1065"/>
      <c r="F148" s="548">
        <v>78</v>
      </c>
      <c r="G148" s="42">
        <v>0.9</v>
      </c>
      <c r="I148" s="55"/>
      <c r="J148" s="55"/>
      <c r="K148" s="55"/>
      <c r="L148" s="1322"/>
      <c r="M148" s="55"/>
      <c r="N148" s="55"/>
      <c r="O148" s="55"/>
      <c r="P148" s="1324"/>
      <c r="Q148" s="45"/>
    </row>
    <row r="149" spans="2:17" ht="13" x14ac:dyDescent="0.3">
      <c r="B149" s="353" t="s">
        <v>1115</v>
      </c>
      <c r="C149" s="353"/>
      <c r="D149" s="353"/>
      <c r="E149" s="1065"/>
      <c r="F149" s="201">
        <v>16000</v>
      </c>
      <c r="G149" s="42">
        <v>0.95</v>
      </c>
      <c r="I149" s="65"/>
      <c r="J149" s="65"/>
      <c r="K149" s="65"/>
      <c r="L149" s="1321"/>
      <c r="M149" s="65"/>
      <c r="N149" s="65"/>
      <c r="O149" s="65"/>
      <c r="P149" s="1324"/>
      <c r="Q149" s="45"/>
    </row>
    <row r="150" spans="2:17" x14ac:dyDescent="0.25">
      <c r="B150" s="353"/>
      <c r="C150" s="353"/>
      <c r="D150" s="353"/>
      <c r="E150" s="1065"/>
      <c r="F150" s="731"/>
      <c r="G150" s="8"/>
      <c r="I150" s="65"/>
      <c r="J150" s="65"/>
      <c r="K150" s="65"/>
      <c r="L150" s="1321"/>
      <c r="M150" s="65"/>
      <c r="N150" s="65"/>
      <c r="O150" s="65"/>
      <c r="P150" s="1324"/>
      <c r="Q150" s="45"/>
    </row>
    <row r="151" spans="2:17" ht="14" x14ac:dyDescent="0.3">
      <c r="B151" s="665" t="s">
        <v>1122</v>
      </c>
      <c r="C151" s="353"/>
      <c r="D151" s="353"/>
      <c r="E151" s="1065"/>
      <c r="F151" s="731"/>
      <c r="G151" s="171"/>
      <c r="I151" s="65"/>
      <c r="J151" s="65"/>
      <c r="K151" s="65"/>
      <c r="L151" s="1321"/>
      <c r="M151" s="65"/>
      <c r="N151" s="65"/>
      <c r="O151" s="65"/>
      <c r="P151" s="1324"/>
      <c r="Q151" s="45"/>
    </row>
    <row r="152" spans="2:17" ht="13" x14ac:dyDescent="0.3">
      <c r="B152" s="327" t="s">
        <v>1111</v>
      </c>
      <c r="C152" s="353"/>
      <c r="D152" s="353"/>
      <c r="E152" s="1065"/>
      <c r="F152" s="154"/>
      <c r="G152" s="148"/>
      <c r="I152" s="65"/>
      <c r="J152" s="65"/>
      <c r="K152" s="65"/>
      <c r="L152" s="1321"/>
      <c r="M152" s="65"/>
      <c r="N152" s="65"/>
      <c r="O152" s="65"/>
      <c r="P152" s="1324"/>
      <c r="Q152" s="45"/>
    </row>
    <row r="153" spans="2:17" x14ac:dyDescent="0.25">
      <c r="B153" s="353" t="s">
        <v>1119</v>
      </c>
      <c r="C153" s="353"/>
      <c r="D153" s="353"/>
      <c r="E153" s="1065"/>
      <c r="F153" s="154"/>
      <c r="G153" s="148"/>
      <c r="I153" s="65"/>
      <c r="J153" s="65"/>
      <c r="K153" s="65"/>
      <c r="L153" s="1321"/>
      <c r="M153" s="65"/>
      <c r="N153" s="65"/>
      <c r="O153" s="65"/>
      <c r="P153" s="1324"/>
      <c r="Q153" s="45"/>
    </row>
    <row r="154" spans="2:17" ht="13" x14ac:dyDescent="0.3">
      <c r="B154" s="353" t="s">
        <v>1113</v>
      </c>
      <c r="C154" s="353"/>
      <c r="D154" s="353"/>
      <c r="E154" s="1065"/>
      <c r="F154" s="199">
        <v>61000</v>
      </c>
      <c r="G154" s="42">
        <v>0.7</v>
      </c>
      <c r="H154" s="1354"/>
      <c r="I154" s="65"/>
      <c r="J154" s="65"/>
      <c r="K154" s="65"/>
      <c r="L154" s="1321"/>
      <c r="M154" s="65"/>
      <c r="N154" s="65"/>
      <c r="O154" s="65"/>
      <c r="P154" s="1324"/>
      <c r="Q154" s="45"/>
    </row>
    <row r="155" spans="2:17" x14ac:dyDescent="0.25">
      <c r="B155" s="353" t="s">
        <v>1114</v>
      </c>
      <c r="C155" s="353"/>
      <c r="D155" s="353"/>
      <c r="E155" s="1065"/>
      <c r="F155" s="550">
        <v>25</v>
      </c>
      <c r="G155" s="42">
        <v>0.9</v>
      </c>
      <c r="I155" s="55"/>
      <c r="J155" s="55"/>
      <c r="K155" s="55"/>
      <c r="L155" s="1322"/>
      <c r="M155" s="55"/>
      <c r="N155" s="55"/>
      <c r="O155" s="55"/>
      <c r="P155" s="1325"/>
      <c r="Q155" s="45"/>
    </row>
    <row r="156" spans="2:17" ht="13" x14ac:dyDescent="0.3">
      <c r="B156" s="353" t="s">
        <v>1115</v>
      </c>
      <c r="C156" s="353"/>
      <c r="D156" s="353"/>
      <c r="E156" s="1065"/>
      <c r="F156" s="199">
        <v>2100</v>
      </c>
      <c r="G156" s="42">
        <v>0.95</v>
      </c>
      <c r="I156" s="65"/>
      <c r="J156" s="65"/>
      <c r="K156" s="65"/>
      <c r="L156" s="1321"/>
      <c r="M156" s="65"/>
      <c r="N156" s="65"/>
      <c r="O156" s="65"/>
      <c r="P156" s="1324"/>
      <c r="Q156" s="45"/>
    </row>
    <row r="157" spans="2:17" x14ac:dyDescent="0.25">
      <c r="B157" s="353"/>
      <c r="C157" s="353"/>
      <c r="D157" s="353"/>
      <c r="E157" s="1065"/>
      <c r="F157" s="199"/>
      <c r="G157" s="42"/>
      <c r="I157" s="65"/>
      <c r="J157" s="65"/>
      <c r="K157" s="65"/>
      <c r="L157" s="1321"/>
      <c r="M157" s="65"/>
      <c r="N157" s="65"/>
      <c r="O157" s="65"/>
      <c r="P157" s="1324"/>
      <c r="Q157" s="45"/>
    </row>
    <row r="158" spans="2:17" ht="13" x14ac:dyDescent="0.3">
      <c r="B158" s="327" t="s">
        <v>1116</v>
      </c>
      <c r="C158" s="353"/>
      <c r="D158" s="353"/>
      <c r="E158" s="1065"/>
      <c r="F158" s="154"/>
      <c r="G158" s="8"/>
      <c r="I158" s="65"/>
      <c r="J158" s="65"/>
      <c r="K158" s="65"/>
      <c r="L158" s="1321"/>
      <c r="M158" s="65"/>
      <c r="N158" s="65"/>
      <c r="O158" s="65"/>
      <c r="P158" s="1324"/>
      <c r="Q158" s="45"/>
    </row>
    <row r="159" spans="2:17" x14ac:dyDescent="0.25">
      <c r="B159" s="353" t="s">
        <v>1121</v>
      </c>
      <c r="C159" s="353"/>
      <c r="D159" s="353"/>
      <c r="E159" s="1065"/>
      <c r="F159" s="154"/>
      <c r="G159" s="8"/>
      <c r="I159" s="65"/>
      <c r="J159" s="65"/>
      <c r="K159" s="65"/>
      <c r="L159" s="1321"/>
      <c r="M159" s="65"/>
      <c r="N159" s="65"/>
      <c r="O159" s="65"/>
      <c r="P159" s="1324"/>
      <c r="Q159" s="45"/>
    </row>
    <row r="160" spans="2:17" ht="13" x14ac:dyDescent="0.3">
      <c r="B160" s="353" t="s">
        <v>1113</v>
      </c>
      <c r="C160" s="353"/>
      <c r="D160" s="353"/>
      <c r="E160" s="1065"/>
      <c r="F160" s="201">
        <v>69000</v>
      </c>
      <c r="G160" s="42">
        <v>0.7</v>
      </c>
      <c r="H160" s="1354"/>
      <c r="I160" s="65"/>
      <c r="J160" s="65"/>
      <c r="K160" s="65"/>
      <c r="L160" s="1321"/>
      <c r="M160" s="65"/>
      <c r="N160" s="65"/>
      <c r="O160" s="65"/>
      <c r="P160" s="1324"/>
      <c r="Q160" s="45"/>
    </row>
    <row r="161" spans="2:17" x14ac:dyDescent="0.25">
      <c r="B161" s="353" t="s">
        <v>1114</v>
      </c>
      <c r="C161" s="353"/>
      <c r="D161" s="353"/>
      <c r="E161" s="1065"/>
      <c r="F161" s="548">
        <v>25</v>
      </c>
      <c r="G161" s="42">
        <v>0.9</v>
      </c>
      <c r="I161" s="55"/>
      <c r="J161" s="55"/>
      <c r="K161" s="55"/>
      <c r="L161" s="1322"/>
      <c r="M161" s="55"/>
      <c r="N161" s="55"/>
      <c r="O161" s="55"/>
      <c r="P161" s="1325"/>
      <c r="Q161" s="45"/>
    </row>
    <row r="162" spans="2:17" ht="13" x14ac:dyDescent="0.3">
      <c r="B162" s="353" t="s">
        <v>1115</v>
      </c>
      <c r="C162" s="353"/>
      <c r="D162" s="353"/>
      <c r="E162" s="1065"/>
      <c r="F162" s="201">
        <v>2100</v>
      </c>
      <c r="G162" s="42">
        <v>0.95</v>
      </c>
      <c r="I162" s="65"/>
      <c r="J162" s="65"/>
      <c r="K162" s="65"/>
      <c r="L162" s="1321"/>
      <c r="M162" s="65"/>
      <c r="N162" s="65"/>
      <c r="O162" s="65"/>
      <c r="P162" s="1324"/>
      <c r="Q162" s="45"/>
    </row>
    <row r="163" spans="2:17" x14ac:dyDescent="0.25">
      <c r="E163" s="1065"/>
      <c r="I163" s="65"/>
      <c r="J163" s="65"/>
      <c r="K163" s="65"/>
      <c r="L163" s="1321"/>
      <c r="M163" s="65"/>
      <c r="N163" s="65"/>
      <c r="O163" s="65"/>
      <c r="P163" s="1324"/>
      <c r="Q163" s="45"/>
    </row>
    <row r="164" spans="2:17" ht="14" x14ac:dyDescent="0.3">
      <c r="B164" s="665" t="s">
        <v>1123</v>
      </c>
      <c r="E164" s="1065"/>
      <c r="I164" s="65"/>
      <c r="J164" s="65"/>
      <c r="K164" s="65"/>
      <c r="L164" s="1321"/>
      <c r="M164" s="65"/>
      <c r="N164" s="65"/>
      <c r="O164" s="65"/>
      <c r="P164" s="1324"/>
      <c r="Q164" s="45"/>
    </row>
    <row r="165" spans="2:17" ht="13" x14ac:dyDescent="0.3">
      <c r="B165" s="327" t="s">
        <v>1111</v>
      </c>
      <c r="E165" s="1065"/>
      <c r="I165" s="65"/>
      <c r="J165" s="65"/>
      <c r="K165" s="65"/>
      <c r="L165" s="1321"/>
      <c r="M165" s="65"/>
      <c r="N165" s="65"/>
      <c r="O165" s="65"/>
      <c r="P165" s="1324"/>
      <c r="Q165" s="45"/>
    </row>
    <row r="166" spans="2:17" x14ac:dyDescent="0.25">
      <c r="B166" s="353" t="s">
        <v>1119</v>
      </c>
      <c r="E166" s="1065"/>
      <c r="I166" s="65"/>
      <c r="J166" s="65"/>
      <c r="K166" s="65"/>
      <c r="L166" s="1321"/>
      <c r="M166" s="65"/>
      <c r="N166" s="65"/>
      <c r="O166" s="65"/>
      <c r="P166" s="1324"/>
      <c r="Q166" s="45"/>
    </row>
    <row r="167" spans="2:17" x14ac:dyDescent="0.25">
      <c r="B167" t="s">
        <v>1113</v>
      </c>
      <c r="E167" s="1065"/>
      <c r="F167" s="1009">
        <v>250000</v>
      </c>
      <c r="G167" s="42">
        <v>0.7</v>
      </c>
      <c r="H167" s="48"/>
      <c r="I167" s="65"/>
      <c r="J167" s="65"/>
      <c r="K167" s="65"/>
      <c r="L167" s="1321"/>
      <c r="M167" s="65"/>
      <c r="N167" s="65"/>
      <c r="O167" s="65"/>
      <c r="P167" s="1324"/>
      <c r="Q167" s="45"/>
    </row>
    <row r="168" spans="2:17" x14ac:dyDescent="0.25">
      <c r="B168" t="s">
        <v>1114</v>
      </c>
      <c r="E168" s="1065"/>
      <c r="F168" s="1010">
        <v>29</v>
      </c>
      <c r="G168" s="42">
        <v>0.9</v>
      </c>
      <c r="I168" s="55"/>
      <c r="J168" s="55"/>
      <c r="K168" s="55"/>
      <c r="L168" s="1322"/>
      <c r="M168" s="55"/>
      <c r="N168" s="55"/>
      <c r="O168" s="55"/>
      <c r="P168" s="1324"/>
      <c r="Q168" s="45"/>
    </row>
    <row r="169" spans="2:17" ht="13" x14ac:dyDescent="0.3">
      <c r="B169" s="353" t="s">
        <v>1115</v>
      </c>
      <c r="C169" s="353"/>
      <c r="D169" s="353"/>
      <c r="E169" s="1065"/>
      <c r="F169" s="1009">
        <v>3200</v>
      </c>
      <c r="G169" s="42">
        <v>0.95</v>
      </c>
      <c r="I169" s="65"/>
      <c r="J169" s="65"/>
      <c r="K169" s="65"/>
      <c r="L169" s="1321"/>
      <c r="M169" s="65"/>
      <c r="N169" s="65"/>
      <c r="O169" s="65"/>
      <c r="P169" s="1324"/>
      <c r="Q169" s="45"/>
    </row>
    <row r="170" spans="2:17" x14ac:dyDescent="0.25">
      <c r="B170" s="353"/>
      <c r="C170" s="353"/>
      <c r="D170" s="353"/>
      <c r="E170" s="1065"/>
      <c r="F170" s="731"/>
      <c r="G170" s="8"/>
      <c r="I170" s="65"/>
      <c r="J170" s="65"/>
      <c r="K170" s="65"/>
      <c r="L170" s="1321"/>
      <c r="M170" s="65"/>
      <c r="N170" s="65"/>
      <c r="O170" s="65"/>
      <c r="P170" s="1324"/>
      <c r="Q170" s="45"/>
    </row>
    <row r="171" spans="2:17" ht="13" x14ac:dyDescent="0.3">
      <c r="B171" s="327" t="s">
        <v>1116</v>
      </c>
      <c r="C171" s="130"/>
      <c r="D171" s="130"/>
      <c r="E171" s="1065"/>
      <c r="F171" s="1051"/>
      <c r="G171" s="166"/>
      <c r="I171" s="65"/>
      <c r="J171" s="65"/>
      <c r="K171" s="65"/>
      <c r="L171" s="1321"/>
      <c r="M171" s="65"/>
      <c r="N171" s="65"/>
      <c r="O171" s="65"/>
      <c r="P171" s="1324"/>
      <c r="Q171" s="45"/>
    </row>
    <row r="172" spans="2:17" x14ac:dyDescent="0.25">
      <c r="B172" s="353" t="s">
        <v>1121</v>
      </c>
      <c r="C172" s="353"/>
      <c r="D172" s="353"/>
      <c r="E172" s="1065"/>
      <c r="F172" s="1051"/>
      <c r="G172" s="166"/>
      <c r="I172" s="65"/>
      <c r="J172" s="65"/>
      <c r="K172" s="65"/>
      <c r="L172" s="1321"/>
      <c r="M172" s="65"/>
      <c r="N172" s="65"/>
      <c r="O172" s="65"/>
      <c r="P172" s="1324"/>
      <c r="Q172" s="45"/>
    </row>
    <row r="173" spans="2:17" x14ac:dyDescent="0.25">
      <c r="B173" s="353" t="s">
        <v>1113</v>
      </c>
      <c r="C173" s="353"/>
      <c r="D173" s="353"/>
      <c r="E173" s="1065"/>
      <c r="F173" s="195">
        <v>250000</v>
      </c>
      <c r="G173" s="42">
        <v>0.7</v>
      </c>
      <c r="H173" s="48"/>
      <c r="I173" s="65"/>
      <c r="J173" s="65"/>
      <c r="K173" s="65"/>
      <c r="L173" s="1321"/>
      <c r="M173" s="65"/>
      <c r="N173" s="65"/>
      <c r="O173" s="65"/>
      <c r="P173" s="1324"/>
      <c r="Q173" s="45"/>
    </row>
    <row r="174" spans="2:17" x14ac:dyDescent="0.25">
      <c r="B174" s="353" t="s">
        <v>1114</v>
      </c>
      <c r="C174" s="353"/>
      <c r="D174" s="353"/>
      <c r="E174" s="1065"/>
      <c r="F174" s="551">
        <v>29</v>
      </c>
      <c r="G174" s="42">
        <v>0.9</v>
      </c>
      <c r="I174" s="55"/>
      <c r="J174" s="55"/>
      <c r="K174" s="55"/>
      <c r="L174" s="1322"/>
      <c r="M174" s="55"/>
      <c r="N174" s="55"/>
      <c r="O174" s="55"/>
      <c r="P174" s="1324"/>
      <c r="Q174" s="45"/>
    </row>
    <row r="175" spans="2:17" ht="13" x14ac:dyDescent="0.3">
      <c r="B175" s="353" t="s">
        <v>1115</v>
      </c>
      <c r="C175" s="353"/>
      <c r="D175" s="353"/>
      <c r="E175" s="1065"/>
      <c r="F175" s="195">
        <v>3200</v>
      </c>
      <c r="G175" s="42">
        <v>0.95</v>
      </c>
      <c r="I175" s="65"/>
      <c r="J175" s="65"/>
      <c r="K175" s="65"/>
      <c r="L175" s="1321"/>
      <c r="M175" s="65"/>
      <c r="N175" s="65"/>
      <c r="O175" s="65"/>
      <c r="P175" s="1324"/>
      <c r="Q175" s="45"/>
    </row>
    <row r="176" spans="2:17" x14ac:dyDescent="0.25">
      <c r="B176" s="353"/>
      <c r="C176" s="353"/>
      <c r="D176" s="353"/>
      <c r="E176" s="1065"/>
      <c r="F176" s="171"/>
      <c r="G176" s="8"/>
      <c r="I176" s="65"/>
      <c r="J176" s="65"/>
      <c r="K176" s="65"/>
      <c r="L176" s="1321"/>
      <c r="M176" s="65"/>
      <c r="N176" s="65"/>
      <c r="O176" s="65"/>
      <c r="P176" s="1324"/>
      <c r="Q176" s="45"/>
    </row>
    <row r="177" spans="2:17" ht="14" x14ac:dyDescent="0.3">
      <c r="B177" s="665" t="s">
        <v>1124</v>
      </c>
      <c r="E177" s="1065"/>
      <c r="F177" s="148"/>
      <c r="I177" s="65"/>
      <c r="J177" s="65"/>
      <c r="K177" s="65"/>
      <c r="L177" s="1321"/>
      <c r="M177" s="65"/>
      <c r="N177" s="65"/>
      <c r="O177" s="65"/>
      <c r="P177" s="1324"/>
      <c r="Q177" s="45"/>
    </row>
    <row r="178" spans="2:17" ht="13" x14ac:dyDescent="0.3">
      <c r="B178" s="327" t="s">
        <v>1111</v>
      </c>
      <c r="E178" s="1065"/>
      <c r="F178" s="148"/>
      <c r="I178" s="65"/>
      <c r="J178" s="65"/>
      <c r="K178" s="65"/>
      <c r="L178" s="1321"/>
      <c r="M178" s="65"/>
      <c r="N178" s="65"/>
      <c r="O178" s="65"/>
      <c r="P178" s="1324"/>
      <c r="Q178" s="45"/>
    </row>
    <row r="179" spans="2:17" x14ac:dyDescent="0.25">
      <c r="B179" s="353" t="s">
        <v>1119</v>
      </c>
      <c r="C179" s="353"/>
      <c r="D179" s="353"/>
      <c r="E179" s="1065"/>
      <c r="F179" s="148"/>
      <c r="I179" s="65"/>
      <c r="J179" s="65"/>
      <c r="K179" s="65"/>
      <c r="L179" s="1321"/>
      <c r="M179" s="65"/>
      <c r="N179" s="65"/>
      <c r="O179" s="65"/>
      <c r="P179" s="1324"/>
      <c r="Q179" s="45"/>
    </row>
    <row r="180" spans="2:17" x14ac:dyDescent="0.25">
      <c r="B180" s="353" t="s">
        <v>1113</v>
      </c>
      <c r="C180" s="353"/>
      <c r="D180" s="353"/>
      <c r="E180" s="1065"/>
      <c r="F180" s="201">
        <v>41000</v>
      </c>
      <c r="G180" s="42">
        <v>0.7</v>
      </c>
      <c r="H180" s="48"/>
      <c r="I180" s="65"/>
      <c r="J180" s="65"/>
      <c r="K180" s="65"/>
      <c r="L180" s="1321"/>
      <c r="M180" s="65"/>
      <c r="N180" s="65"/>
      <c r="O180" s="65"/>
      <c r="P180" s="1324"/>
      <c r="Q180" s="45"/>
    </row>
    <row r="181" spans="2:17" x14ac:dyDescent="0.25">
      <c r="B181" s="353" t="s">
        <v>1114</v>
      </c>
      <c r="C181" s="353"/>
      <c r="D181" s="353"/>
      <c r="E181" s="1065"/>
      <c r="F181" s="548">
        <v>14</v>
      </c>
      <c r="G181" s="42">
        <v>0.9</v>
      </c>
      <c r="I181" s="55"/>
      <c r="J181" s="55"/>
      <c r="K181" s="55"/>
      <c r="L181" s="1322"/>
      <c r="M181" s="55"/>
      <c r="N181" s="55"/>
      <c r="O181" s="55"/>
      <c r="P181" s="1325"/>
      <c r="Q181" s="45"/>
    </row>
    <row r="182" spans="2:17" ht="13" x14ac:dyDescent="0.3">
      <c r="B182" s="353" t="s">
        <v>1115</v>
      </c>
      <c r="C182" s="353"/>
      <c r="D182" s="353"/>
      <c r="E182" s="1065"/>
      <c r="F182" s="201">
        <v>2000</v>
      </c>
      <c r="G182" s="42">
        <v>0.95</v>
      </c>
      <c r="H182" s="1354"/>
      <c r="I182" s="65"/>
      <c r="J182" s="65"/>
      <c r="K182" s="65"/>
      <c r="L182" s="1321"/>
      <c r="M182" s="65"/>
      <c r="N182" s="65"/>
      <c r="O182" s="65"/>
      <c r="P182" s="1324"/>
      <c r="Q182" s="45"/>
    </row>
    <row r="183" spans="2:17" x14ac:dyDescent="0.25">
      <c r="B183" s="353"/>
      <c r="C183" s="353"/>
      <c r="D183" s="353"/>
      <c r="E183" s="1065"/>
      <c r="F183" s="171"/>
      <c r="G183" s="8"/>
      <c r="I183" s="65"/>
      <c r="J183" s="65"/>
      <c r="K183" s="65"/>
      <c r="L183" s="1321"/>
      <c r="M183" s="65"/>
      <c r="N183" s="65"/>
      <c r="O183" s="65"/>
      <c r="P183" s="1324"/>
      <c r="Q183" s="45"/>
    </row>
    <row r="184" spans="2:17" ht="13" x14ac:dyDescent="0.3">
      <c r="B184" s="327" t="s">
        <v>1116</v>
      </c>
      <c r="C184" s="353"/>
      <c r="D184" s="353"/>
      <c r="E184" s="1065"/>
      <c r="F184" s="171"/>
      <c r="G184" s="8"/>
      <c r="I184" s="65"/>
      <c r="J184" s="65"/>
      <c r="K184" s="65"/>
      <c r="L184" s="1321"/>
      <c r="M184" s="65"/>
      <c r="N184" s="65"/>
      <c r="O184" s="65"/>
      <c r="P184" s="1324"/>
      <c r="Q184" s="45"/>
    </row>
    <row r="185" spans="2:17" x14ac:dyDescent="0.25">
      <c r="B185" s="353" t="s">
        <v>1121</v>
      </c>
      <c r="C185" s="353"/>
      <c r="D185" s="353"/>
      <c r="E185" s="1065"/>
      <c r="I185" s="65"/>
      <c r="J185" s="65"/>
      <c r="K185" s="65"/>
      <c r="L185" s="1321"/>
      <c r="M185" s="65"/>
      <c r="N185" s="65"/>
      <c r="O185" s="65"/>
      <c r="P185" s="1324"/>
      <c r="Q185" s="45"/>
    </row>
    <row r="186" spans="2:17" x14ac:dyDescent="0.25">
      <c r="B186" s="353" t="s">
        <v>1113</v>
      </c>
      <c r="C186" s="353"/>
      <c r="D186" s="353"/>
      <c r="E186" s="1065"/>
      <c r="F186" s="201">
        <v>35000</v>
      </c>
      <c r="G186" s="42">
        <v>0.7</v>
      </c>
      <c r="H186" s="48"/>
      <c r="I186" s="65"/>
      <c r="J186" s="65"/>
      <c r="K186" s="65"/>
      <c r="L186" s="1321"/>
      <c r="M186" s="65"/>
      <c r="N186" s="65"/>
      <c r="O186" s="65"/>
      <c r="P186" s="1324"/>
      <c r="Q186" s="45"/>
    </row>
    <row r="187" spans="2:17" x14ac:dyDescent="0.25">
      <c r="B187" s="353" t="s">
        <v>1114</v>
      </c>
      <c r="C187" s="353"/>
      <c r="D187" s="353"/>
      <c r="E187" s="1065"/>
      <c r="F187" s="548">
        <v>11</v>
      </c>
      <c r="G187" s="42">
        <v>0.9</v>
      </c>
      <c r="I187" s="55"/>
      <c r="J187" s="55"/>
      <c r="K187" s="55"/>
      <c r="L187" s="1322"/>
      <c r="M187" s="55"/>
      <c r="N187" s="55"/>
      <c r="O187" s="55"/>
      <c r="P187" s="1324"/>
      <c r="Q187" s="45"/>
    </row>
    <row r="188" spans="2:17" ht="13" x14ac:dyDescent="0.3">
      <c r="B188" s="353" t="s">
        <v>1115</v>
      </c>
      <c r="C188" s="353"/>
      <c r="D188" s="353"/>
      <c r="E188" s="1065"/>
      <c r="F188" s="201">
        <v>1600</v>
      </c>
      <c r="G188" s="42">
        <v>0.95</v>
      </c>
      <c r="H188" s="1354"/>
      <c r="I188" s="65"/>
      <c r="J188" s="65"/>
      <c r="K188" s="65"/>
      <c r="L188" s="1321"/>
      <c r="M188" s="65"/>
      <c r="N188" s="65"/>
      <c r="O188" s="65"/>
      <c r="P188" s="1324"/>
      <c r="Q188" s="45"/>
    </row>
    <row r="189" spans="2:17" x14ac:dyDescent="0.25">
      <c r="B189" s="353"/>
      <c r="C189" s="353"/>
      <c r="D189" s="353"/>
      <c r="E189" s="1065"/>
      <c r="F189" s="171"/>
      <c r="G189" s="8"/>
      <c r="I189" s="65"/>
      <c r="J189" s="65"/>
      <c r="K189" s="65"/>
      <c r="L189" s="1321"/>
      <c r="M189" s="65"/>
      <c r="N189" s="65"/>
      <c r="O189" s="65"/>
      <c r="P189" s="1324"/>
      <c r="Q189" s="45"/>
    </row>
    <row r="190" spans="2:17" ht="15.5" x14ac:dyDescent="0.35">
      <c r="B190" s="6" t="s">
        <v>1125</v>
      </c>
      <c r="E190" s="1065"/>
      <c r="I190" s="65"/>
      <c r="J190" s="65"/>
      <c r="K190" s="65"/>
      <c r="L190" s="1321"/>
      <c r="M190" s="65"/>
      <c r="N190" s="65"/>
      <c r="O190" s="65"/>
      <c r="P190" s="1324"/>
      <c r="Q190" s="45"/>
    </row>
    <row r="191" spans="2:17" ht="14" x14ac:dyDescent="0.3">
      <c r="B191" s="665" t="s">
        <v>1126</v>
      </c>
      <c r="C191" s="353"/>
      <c r="D191" s="353"/>
      <c r="E191" s="1065"/>
      <c r="F191" s="148"/>
      <c r="G191" s="148"/>
      <c r="I191" s="65"/>
      <c r="J191" s="65"/>
      <c r="K191" s="65"/>
      <c r="L191" s="1321"/>
      <c r="M191" s="65"/>
      <c r="N191" s="65"/>
      <c r="O191" s="65"/>
      <c r="P191" s="1324"/>
      <c r="Q191" s="45"/>
    </row>
    <row r="192" spans="2:17" x14ac:dyDescent="0.25">
      <c r="B192" s="353" t="s">
        <v>1127</v>
      </c>
      <c r="C192" s="353"/>
      <c r="D192" s="353"/>
      <c r="E192" s="1065"/>
      <c r="F192" s="148"/>
      <c r="G192" s="148"/>
      <c r="I192" s="65"/>
      <c r="J192" s="65"/>
      <c r="K192" s="65"/>
      <c r="L192" s="1321"/>
      <c r="M192" s="65"/>
      <c r="N192" s="65"/>
      <c r="O192" s="65"/>
      <c r="P192" s="1324"/>
      <c r="Q192" s="45"/>
    </row>
    <row r="193" spans="2:17" ht="13" x14ac:dyDescent="0.3">
      <c r="B193" s="353" t="s">
        <v>1113</v>
      </c>
      <c r="C193" s="353"/>
      <c r="D193" s="353"/>
      <c r="E193" s="1065"/>
      <c r="F193" s="195">
        <v>260000</v>
      </c>
      <c r="G193" s="42">
        <v>0.7</v>
      </c>
      <c r="H193" s="1354"/>
      <c r="I193" s="65"/>
      <c r="J193" s="65"/>
      <c r="K193" s="65"/>
      <c r="L193" s="1321"/>
      <c r="M193" s="65"/>
      <c r="N193" s="65"/>
      <c r="O193" s="65"/>
      <c r="P193" s="1324"/>
      <c r="Q193" s="45"/>
    </row>
    <row r="194" spans="2:17" ht="13" x14ac:dyDescent="0.3">
      <c r="B194" s="353" t="s">
        <v>1114</v>
      </c>
      <c r="C194" s="353"/>
      <c r="D194" s="353"/>
      <c r="E194" s="1065"/>
      <c r="F194" s="551">
        <v>30</v>
      </c>
      <c r="G194" s="42">
        <v>0.9</v>
      </c>
      <c r="H194" s="1354"/>
      <c r="I194" s="55"/>
      <c r="J194" s="55"/>
      <c r="K194" s="55"/>
      <c r="L194" s="1322"/>
      <c r="M194" s="55"/>
      <c r="N194" s="55"/>
      <c r="O194" s="55"/>
      <c r="P194" s="1325"/>
      <c r="Q194" s="45"/>
    </row>
    <row r="195" spans="2:17" ht="13" x14ac:dyDescent="0.3">
      <c r="B195" s="353" t="s">
        <v>1115</v>
      </c>
      <c r="C195" s="353"/>
      <c r="D195" s="353"/>
      <c r="E195" s="1065"/>
      <c r="F195" s="195">
        <v>0</v>
      </c>
      <c r="G195" s="42">
        <v>0.95</v>
      </c>
      <c r="I195" s="65"/>
      <c r="J195" s="65"/>
      <c r="K195" s="65"/>
      <c r="L195" s="1321"/>
      <c r="M195" s="65"/>
      <c r="N195" s="65"/>
      <c r="O195" s="65"/>
      <c r="P195" s="1324"/>
      <c r="Q195" s="45"/>
    </row>
    <row r="196" spans="2:17" ht="15.5" x14ac:dyDescent="0.35">
      <c r="B196" s="6"/>
      <c r="E196" s="1065"/>
      <c r="I196" s="65"/>
      <c r="J196" s="65"/>
      <c r="K196" s="65"/>
      <c r="L196" s="1321"/>
      <c r="M196" s="65"/>
      <c r="N196" s="65"/>
      <c r="O196" s="65"/>
      <c r="P196" s="1324"/>
      <c r="Q196" s="45"/>
    </row>
    <row r="197" spans="2:17" ht="14" x14ac:dyDescent="0.3">
      <c r="B197" s="665" t="s">
        <v>1128</v>
      </c>
      <c r="C197" s="353"/>
      <c r="D197" s="353"/>
      <c r="E197" s="1065"/>
      <c r="F197" s="148"/>
      <c r="I197" s="65"/>
      <c r="J197" s="65"/>
      <c r="K197" s="65"/>
      <c r="L197" s="1321"/>
      <c r="M197" s="65"/>
      <c r="N197" s="65"/>
      <c r="O197" s="65"/>
      <c r="P197" s="1324"/>
      <c r="Q197" s="45"/>
    </row>
    <row r="198" spans="2:17" x14ac:dyDescent="0.25">
      <c r="B198" s="353" t="s">
        <v>1129</v>
      </c>
      <c r="C198" s="353"/>
      <c r="D198" s="353"/>
      <c r="E198" s="1065"/>
      <c r="F198" s="148"/>
      <c r="I198" s="65"/>
      <c r="J198" s="65"/>
      <c r="K198" s="65"/>
      <c r="L198" s="1321"/>
      <c r="M198" s="65"/>
      <c r="N198" s="65"/>
      <c r="O198" s="65"/>
      <c r="P198" s="1324"/>
      <c r="Q198" s="45"/>
    </row>
    <row r="199" spans="2:17" x14ac:dyDescent="0.25">
      <c r="B199" s="353" t="s">
        <v>1130</v>
      </c>
      <c r="C199" s="353"/>
      <c r="D199" s="353"/>
      <c r="E199" s="1065"/>
      <c r="F199" s="554">
        <v>68</v>
      </c>
      <c r="G199" s="196">
        <v>0.95</v>
      </c>
      <c r="I199" s="65"/>
      <c r="J199" s="65"/>
      <c r="K199" s="65"/>
      <c r="L199" s="1321"/>
      <c r="M199" s="65"/>
      <c r="N199" s="65"/>
      <c r="O199" s="65"/>
      <c r="P199" s="1324"/>
      <c r="Q199" s="45"/>
    </row>
    <row r="200" spans="2:17" ht="13" x14ac:dyDescent="0.3">
      <c r="B200" s="353" t="s">
        <v>1113</v>
      </c>
      <c r="C200" s="353"/>
      <c r="D200" s="353"/>
      <c r="E200" s="1065"/>
      <c r="F200" s="555">
        <v>700000</v>
      </c>
      <c r="G200" s="42">
        <v>0.9</v>
      </c>
      <c r="H200" s="1354"/>
      <c r="I200" s="65"/>
      <c r="J200" s="65"/>
      <c r="K200" s="65"/>
      <c r="L200" s="1321"/>
      <c r="M200" s="65"/>
      <c r="N200" s="65"/>
      <c r="O200" s="65"/>
      <c r="P200" s="1324"/>
      <c r="Q200" s="45"/>
    </row>
    <row r="201" spans="2:17" ht="13" x14ac:dyDescent="0.3">
      <c r="B201" s="353" t="s">
        <v>1114</v>
      </c>
      <c r="C201" s="353"/>
      <c r="D201" s="353"/>
      <c r="E201" s="1065"/>
      <c r="F201" s="556">
        <v>170</v>
      </c>
      <c r="G201" s="42">
        <v>0.9</v>
      </c>
      <c r="H201" s="1354"/>
      <c r="I201" s="65"/>
      <c r="J201" s="65"/>
      <c r="K201" s="65"/>
      <c r="L201" s="1321"/>
      <c r="M201" s="65"/>
      <c r="N201" s="65"/>
      <c r="O201" s="65"/>
      <c r="P201" s="1324"/>
      <c r="Q201" s="45"/>
    </row>
    <row r="202" spans="2:17" ht="13" x14ac:dyDescent="0.3">
      <c r="B202" s="353" t="s">
        <v>1115</v>
      </c>
      <c r="C202" s="353"/>
      <c r="D202" s="353"/>
      <c r="E202" s="1065"/>
      <c r="F202" s="557">
        <v>0</v>
      </c>
      <c r="G202" s="42">
        <v>0.95</v>
      </c>
      <c r="I202" s="65"/>
      <c r="J202" s="65"/>
      <c r="K202" s="65"/>
      <c r="L202" s="1321"/>
      <c r="M202" s="65"/>
      <c r="N202" s="65"/>
      <c r="O202" s="65"/>
      <c r="P202" s="1324"/>
      <c r="Q202" s="45"/>
    </row>
    <row r="203" spans="2:17" x14ac:dyDescent="0.25">
      <c r="E203" s="1065"/>
      <c r="I203" s="65"/>
      <c r="J203" s="65"/>
      <c r="K203" s="65"/>
      <c r="L203" s="1321"/>
      <c r="M203" s="65"/>
      <c r="N203" s="65"/>
      <c r="O203" s="65"/>
      <c r="P203" s="1324"/>
      <c r="Q203" s="45"/>
    </row>
    <row r="204" spans="2:17" ht="12.75" customHeight="1" x14ac:dyDescent="0.3">
      <c r="B204" s="665" t="s">
        <v>1131</v>
      </c>
      <c r="C204" s="353"/>
      <c r="D204" s="353"/>
      <c r="E204" s="1065"/>
      <c r="F204" s="40"/>
      <c r="G204" s="171"/>
      <c r="I204" s="65"/>
      <c r="J204" s="65"/>
      <c r="K204" s="65"/>
      <c r="L204" s="1321"/>
      <c r="M204" s="65"/>
      <c r="N204" s="65"/>
      <c r="O204" s="65"/>
      <c r="P204" s="1324"/>
      <c r="Q204" s="45"/>
    </row>
    <row r="205" spans="2:17" ht="12.75" customHeight="1" x14ac:dyDescent="0.25">
      <c r="B205" s="353" t="s">
        <v>1129</v>
      </c>
      <c r="C205" s="353"/>
      <c r="D205" s="353"/>
      <c r="E205" s="1065"/>
      <c r="F205" s="40"/>
      <c r="G205" s="148"/>
      <c r="I205" s="65"/>
      <c r="J205" s="65"/>
      <c r="K205" s="65"/>
      <c r="L205" s="1321"/>
      <c r="M205" s="65"/>
      <c r="N205" s="65"/>
      <c r="O205" s="65"/>
      <c r="P205" s="1324"/>
      <c r="Q205" s="45"/>
    </row>
    <row r="206" spans="2:17" ht="12.75" customHeight="1" x14ac:dyDescent="0.3">
      <c r="B206" s="353" t="s">
        <v>1113</v>
      </c>
      <c r="C206" s="353"/>
      <c r="D206" s="353"/>
      <c r="E206" s="1065"/>
      <c r="F206" s="557">
        <v>190000</v>
      </c>
      <c r="G206" s="42">
        <v>0.9</v>
      </c>
      <c r="H206" s="1354"/>
      <c r="I206" s="65"/>
      <c r="J206" s="65"/>
      <c r="K206" s="65"/>
      <c r="L206" s="1321"/>
      <c r="M206" s="65"/>
      <c r="N206" s="65"/>
      <c r="O206" s="65"/>
      <c r="P206" s="1324"/>
      <c r="Q206" s="45"/>
    </row>
    <row r="207" spans="2:17" x14ac:dyDescent="0.25">
      <c r="B207" s="353" t="s">
        <v>1114</v>
      </c>
      <c r="C207" s="353"/>
      <c r="D207" s="353"/>
      <c r="E207" s="1065"/>
      <c r="F207" s="556">
        <v>190</v>
      </c>
      <c r="G207" s="42">
        <v>0.9</v>
      </c>
      <c r="I207" s="65"/>
      <c r="J207" s="65"/>
      <c r="K207" s="65"/>
      <c r="L207" s="1321"/>
      <c r="M207" s="65"/>
      <c r="N207" s="65"/>
      <c r="O207" s="65"/>
      <c r="P207" s="1324"/>
      <c r="Q207" s="45"/>
    </row>
    <row r="208" spans="2:17" ht="13" x14ac:dyDescent="0.3">
      <c r="B208" s="353" t="s">
        <v>1115</v>
      </c>
      <c r="C208" s="353"/>
      <c r="D208" s="353"/>
      <c r="E208" s="1065"/>
      <c r="F208" s="557">
        <v>0</v>
      </c>
      <c r="G208" s="42">
        <v>0.95</v>
      </c>
      <c r="I208" s="65"/>
      <c r="J208" s="65"/>
      <c r="K208" s="65"/>
      <c r="L208" s="1321"/>
      <c r="M208" s="65"/>
      <c r="N208" s="65"/>
      <c r="O208" s="65"/>
      <c r="P208" s="1324"/>
      <c r="Q208" s="45"/>
    </row>
    <row r="209" spans="2:17" x14ac:dyDescent="0.25">
      <c r="E209" s="1065"/>
      <c r="I209" s="65"/>
      <c r="J209" s="65"/>
      <c r="K209" s="65"/>
      <c r="L209" s="1321"/>
      <c r="M209" s="65"/>
      <c r="N209" s="65"/>
      <c r="O209" s="65"/>
      <c r="P209" s="1324"/>
      <c r="Q209" s="45"/>
    </row>
    <row r="210" spans="2:17" ht="14" x14ac:dyDescent="0.3">
      <c r="B210" s="665" t="s">
        <v>1132</v>
      </c>
      <c r="C210" s="353"/>
      <c r="D210" s="353"/>
      <c r="E210" s="1065"/>
      <c r="F210" s="40"/>
      <c r="G210" s="148"/>
      <c r="I210" s="65"/>
      <c r="J210" s="65"/>
      <c r="K210" s="65"/>
      <c r="L210" s="1321"/>
      <c r="M210" s="65"/>
      <c r="N210" s="65"/>
      <c r="O210" s="65"/>
      <c r="P210" s="1324"/>
      <c r="Q210" s="45"/>
    </row>
    <row r="211" spans="2:17" x14ac:dyDescent="0.25">
      <c r="B211" s="353" t="s">
        <v>1129</v>
      </c>
      <c r="C211" s="353"/>
      <c r="D211" s="353"/>
      <c r="E211" s="1065"/>
      <c r="F211" s="40"/>
      <c r="G211" s="148"/>
      <c r="I211" s="65"/>
      <c r="J211" s="65"/>
      <c r="K211" s="65"/>
      <c r="L211" s="1321"/>
      <c r="M211" s="65"/>
      <c r="N211" s="65"/>
      <c r="O211" s="65"/>
      <c r="P211" s="1324"/>
      <c r="Q211" s="45"/>
    </row>
    <row r="212" spans="2:17" ht="13" x14ac:dyDescent="0.3">
      <c r="B212" s="353" t="s">
        <v>1113</v>
      </c>
      <c r="C212" s="353"/>
      <c r="D212" s="353"/>
      <c r="E212" s="1065"/>
      <c r="F212" s="558">
        <v>190000</v>
      </c>
      <c r="G212" s="42">
        <v>0.9</v>
      </c>
      <c r="H212" s="1354"/>
      <c r="I212" s="65"/>
      <c r="J212" s="65"/>
      <c r="K212" s="65"/>
      <c r="L212" s="1321"/>
      <c r="M212" s="65"/>
      <c r="N212" s="65"/>
      <c r="O212" s="65"/>
      <c r="P212" s="1324"/>
      <c r="Q212" s="45"/>
    </row>
    <row r="213" spans="2:17" x14ac:dyDescent="0.25">
      <c r="B213" s="353" t="s">
        <v>1114</v>
      </c>
      <c r="C213" s="353"/>
      <c r="D213" s="353"/>
      <c r="E213" s="1065"/>
      <c r="F213" s="559">
        <v>14</v>
      </c>
      <c r="G213" s="42">
        <v>0.9</v>
      </c>
      <c r="I213" s="65"/>
      <c r="J213" s="65"/>
      <c r="K213" s="65"/>
      <c r="L213" s="1321"/>
      <c r="M213" s="65"/>
      <c r="N213" s="65"/>
      <c r="O213" s="65"/>
      <c r="P213" s="1324"/>
      <c r="Q213" s="45"/>
    </row>
    <row r="214" spans="2:17" ht="13" x14ac:dyDescent="0.3">
      <c r="B214" s="353" t="s">
        <v>1115</v>
      </c>
      <c r="C214" s="353"/>
      <c r="D214" s="353"/>
      <c r="E214" s="1065"/>
      <c r="F214" s="558">
        <v>0</v>
      </c>
      <c r="G214" s="42">
        <v>0.95</v>
      </c>
      <c r="I214" s="65"/>
      <c r="J214" s="65"/>
      <c r="K214" s="65"/>
      <c r="L214" s="1321"/>
      <c r="M214" s="65"/>
      <c r="N214" s="65"/>
      <c r="O214" s="65"/>
      <c r="P214" s="1324"/>
      <c r="Q214" s="45"/>
    </row>
    <row r="215" spans="2:17" x14ac:dyDescent="0.25">
      <c r="B215" s="353"/>
      <c r="C215" s="353"/>
      <c r="D215" s="353"/>
      <c r="E215" s="1065"/>
      <c r="F215" s="40"/>
      <c r="G215" s="8"/>
      <c r="I215" s="65"/>
      <c r="J215" s="65"/>
      <c r="K215" s="65"/>
      <c r="L215" s="1321"/>
      <c r="M215" s="65"/>
      <c r="N215" s="65"/>
      <c r="O215" s="65"/>
      <c r="P215" s="1324"/>
      <c r="Q215" s="45"/>
    </row>
    <row r="216" spans="2:17" ht="14" x14ac:dyDescent="0.3">
      <c r="B216" s="665" t="s">
        <v>1133</v>
      </c>
      <c r="C216" s="353"/>
      <c r="D216" s="353"/>
      <c r="E216" s="1065"/>
      <c r="F216" s="40"/>
      <c r="G216" s="148"/>
      <c r="I216" s="65"/>
      <c r="J216" s="65"/>
      <c r="K216" s="65"/>
      <c r="L216" s="1321"/>
      <c r="M216" s="65"/>
      <c r="N216" s="65"/>
      <c r="O216" s="65"/>
      <c r="P216" s="1324"/>
      <c r="Q216" s="45"/>
    </row>
    <row r="217" spans="2:17" x14ac:dyDescent="0.25">
      <c r="B217" s="353" t="s">
        <v>1129</v>
      </c>
      <c r="C217" s="353"/>
      <c r="D217" s="353"/>
      <c r="E217" s="1065"/>
      <c r="F217" s="40"/>
      <c r="G217" s="148"/>
      <c r="I217" s="65"/>
      <c r="J217" s="65"/>
      <c r="K217" s="65"/>
      <c r="L217" s="1321"/>
      <c r="M217" s="65"/>
      <c r="N217" s="65"/>
      <c r="O217" s="65"/>
      <c r="P217" s="1324"/>
      <c r="Q217" s="45"/>
    </row>
    <row r="218" spans="2:17" ht="13" x14ac:dyDescent="0.3">
      <c r="B218" s="353" t="s">
        <v>1113</v>
      </c>
      <c r="C218" s="353"/>
      <c r="D218" s="353"/>
      <c r="E218" s="1065"/>
      <c r="F218" s="558">
        <v>49000</v>
      </c>
      <c r="G218" s="42">
        <v>0.9</v>
      </c>
      <c r="H218" s="1354"/>
      <c r="I218" s="65"/>
      <c r="J218" s="65"/>
      <c r="K218" s="65"/>
      <c r="L218" s="1321"/>
      <c r="M218" s="65"/>
      <c r="N218" s="65"/>
      <c r="O218" s="65"/>
      <c r="P218" s="1324"/>
      <c r="Q218" s="45"/>
    </row>
    <row r="219" spans="2:17" x14ac:dyDescent="0.25">
      <c r="B219" s="353" t="s">
        <v>1114</v>
      </c>
      <c r="C219" s="353"/>
      <c r="D219" s="353"/>
      <c r="E219" s="1065"/>
      <c r="F219" s="559">
        <v>11</v>
      </c>
      <c r="G219" s="42">
        <v>0.9</v>
      </c>
      <c r="I219" s="55"/>
      <c r="J219" s="55"/>
      <c r="K219" s="55"/>
      <c r="L219" s="1322"/>
      <c r="M219" s="55"/>
      <c r="N219" s="55"/>
      <c r="O219" s="55"/>
      <c r="P219" s="1325"/>
      <c r="Q219" s="45"/>
    </row>
    <row r="220" spans="2:17" ht="13" x14ac:dyDescent="0.3">
      <c r="B220" s="353" t="s">
        <v>1115</v>
      </c>
      <c r="C220" s="353"/>
      <c r="D220" s="353"/>
      <c r="E220" s="1065"/>
      <c r="F220" s="558">
        <v>0</v>
      </c>
      <c r="G220" s="42">
        <v>0.95</v>
      </c>
      <c r="I220" s="65"/>
      <c r="J220" s="65"/>
      <c r="K220" s="65"/>
      <c r="L220" s="1321"/>
      <c r="M220" s="65"/>
      <c r="N220" s="65"/>
      <c r="O220" s="65"/>
      <c r="P220" s="1324"/>
      <c r="Q220" s="45"/>
    </row>
    <row r="221" spans="2:17" x14ac:dyDescent="0.25">
      <c r="B221" s="353"/>
      <c r="C221" s="353"/>
      <c r="D221" s="353"/>
      <c r="E221" s="1065"/>
      <c r="F221" s="730"/>
      <c r="G221" s="8"/>
      <c r="I221" s="65"/>
      <c r="J221" s="65"/>
      <c r="K221" s="65"/>
      <c r="L221" s="1321"/>
      <c r="M221" s="65"/>
      <c r="N221" s="65"/>
      <c r="O221" s="65"/>
      <c r="P221" s="1324"/>
      <c r="Q221" s="45"/>
    </row>
    <row r="222" spans="2:17" ht="14" x14ac:dyDescent="0.3">
      <c r="B222" s="665" t="s">
        <v>1134</v>
      </c>
      <c r="C222" s="353"/>
      <c r="D222" s="353"/>
      <c r="E222" s="1065"/>
      <c r="F222" s="552"/>
      <c r="G222" s="148"/>
      <c r="I222" s="65"/>
      <c r="J222" s="65"/>
      <c r="K222" s="65"/>
      <c r="L222" s="1321"/>
      <c r="M222" s="65"/>
      <c r="N222" s="65"/>
      <c r="O222" s="65"/>
      <c r="P222" s="1324"/>
      <c r="Q222" s="45"/>
    </row>
    <row r="223" spans="2:17" x14ac:dyDescent="0.25">
      <c r="B223" s="353" t="s">
        <v>1129</v>
      </c>
      <c r="C223" s="353"/>
      <c r="D223" s="353"/>
      <c r="E223" s="1065"/>
      <c r="F223" s="552"/>
      <c r="G223" s="148"/>
      <c r="I223" s="65"/>
      <c r="J223" s="65"/>
      <c r="K223" s="65"/>
      <c r="L223" s="1321"/>
      <c r="M223" s="65"/>
      <c r="N223" s="65"/>
      <c r="O223" s="65"/>
      <c r="P223" s="1324"/>
      <c r="Q223" s="45"/>
    </row>
    <row r="224" spans="2:17" ht="13" x14ac:dyDescent="0.3">
      <c r="B224" s="353" t="s">
        <v>1113</v>
      </c>
      <c r="C224" s="353"/>
      <c r="D224" s="353"/>
      <c r="E224" s="1065"/>
      <c r="F224" s="558">
        <v>132000</v>
      </c>
      <c r="G224" s="42">
        <v>0.9</v>
      </c>
      <c r="H224" s="1354"/>
      <c r="I224" s="65"/>
      <c r="J224" s="65"/>
      <c r="K224" s="65"/>
      <c r="L224" s="1321"/>
      <c r="M224" s="65"/>
      <c r="N224" s="65"/>
      <c r="O224" s="65"/>
      <c r="P224" s="1324"/>
      <c r="Q224" s="45"/>
    </row>
    <row r="225" spans="2:17" x14ac:dyDescent="0.25">
      <c r="B225" s="353" t="s">
        <v>1114</v>
      </c>
      <c r="C225" s="353"/>
      <c r="D225" s="353"/>
      <c r="E225" s="1065"/>
      <c r="F225" s="559">
        <v>25</v>
      </c>
      <c r="G225" s="42">
        <v>0.9</v>
      </c>
      <c r="I225" s="55"/>
      <c r="J225" s="55"/>
      <c r="K225" s="55"/>
      <c r="L225" s="1322"/>
      <c r="M225" s="55"/>
      <c r="N225" s="55"/>
      <c r="O225" s="55"/>
      <c r="P225" s="1325"/>
      <c r="Q225" s="45"/>
    </row>
    <row r="226" spans="2:17" ht="13" x14ac:dyDescent="0.3">
      <c r="B226" s="353" t="s">
        <v>1115</v>
      </c>
      <c r="C226" s="353"/>
      <c r="D226" s="353"/>
      <c r="E226" s="1065"/>
      <c r="F226" s="558">
        <v>0</v>
      </c>
      <c r="G226" s="42">
        <v>0.95</v>
      </c>
      <c r="I226" s="65"/>
      <c r="J226" s="65"/>
      <c r="K226" s="65"/>
      <c r="L226" s="1321"/>
      <c r="M226" s="65"/>
      <c r="N226" s="65"/>
      <c r="O226" s="65"/>
      <c r="P226" s="1324"/>
      <c r="Q226" s="45"/>
    </row>
    <row r="227" spans="2:17" x14ac:dyDescent="0.25">
      <c r="B227" s="353"/>
      <c r="C227" s="353"/>
      <c r="D227" s="353"/>
      <c r="E227" s="1065"/>
      <c r="F227" s="730"/>
      <c r="G227" s="8"/>
      <c r="I227" s="65"/>
      <c r="J227" s="65"/>
      <c r="K227" s="65"/>
      <c r="L227" s="1321"/>
      <c r="M227" s="65"/>
      <c r="N227" s="65"/>
      <c r="O227" s="65"/>
      <c r="P227" s="1324"/>
      <c r="Q227" s="45"/>
    </row>
    <row r="228" spans="2:17" ht="14" x14ac:dyDescent="0.3">
      <c r="B228" s="665" t="s">
        <v>1135</v>
      </c>
      <c r="E228" s="1065"/>
      <c r="F228" s="552"/>
      <c r="I228" s="65"/>
      <c r="J228" s="65"/>
      <c r="K228" s="65"/>
      <c r="L228" s="1321"/>
      <c r="M228" s="65"/>
      <c r="N228" s="65"/>
      <c r="O228" s="65"/>
      <c r="P228" s="1324"/>
      <c r="Q228" s="45"/>
    </row>
    <row r="229" spans="2:17" x14ac:dyDescent="0.25">
      <c r="B229" s="353" t="s">
        <v>1136</v>
      </c>
      <c r="E229" s="1065"/>
      <c r="F229" s="552"/>
      <c r="I229" s="65"/>
      <c r="J229" s="65"/>
      <c r="K229" s="65"/>
      <c r="L229" s="1321"/>
      <c r="M229" s="65"/>
      <c r="N229" s="65"/>
      <c r="O229" s="65"/>
      <c r="P229" s="1324"/>
      <c r="Q229" s="45"/>
    </row>
    <row r="230" spans="2:17" ht="13" x14ac:dyDescent="0.3">
      <c r="B230" s="353" t="s">
        <v>1113</v>
      </c>
      <c r="C230" s="353"/>
      <c r="D230" s="353"/>
      <c r="E230" s="1065"/>
      <c r="F230" s="558">
        <v>8000</v>
      </c>
      <c r="G230" s="42">
        <v>0</v>
      </c>
      <c r="H230" s="1354"/>
      <c r="I230" s="65"/>
      <c r="J230" s="65"/>
      <c r="K230" s="65"/>
      <c r="L230" s="1321"/>
      <c r="M230" s="65"/>
      <c r="N230" s="65"/>
      <c r="O230" s="65"/>
      <c r="P230" s="1324"/>
      <c r="Q230" s="45"/>
    </row>
    <row r="231" spans="2:17" x14ac:dyDescent="0.25">
      <c r="B231" s="353" t="s">
        <v>1114</v>
      </c>
      <c r="C231" s="353"/>
      <c r="D231" s="353"/>
      <c r="E231" s="1065"/>
      <c r="F231" s="559">
        <v>7.3</v>
      </c>
      <c r="G231" s="42">
        <v>0.9</v>
      </c>
      <c r="I231" s="55"/>
      <c r="J231" s="55"/>
      <c r="K231" s="55"/>
      <c r="L231" s="1322"/>
      <c r="M231" s="55"/>
      <c r="N231" s="55"/>
      <c r="O231" s="55"/>
      <c r="P231" s="1325"/>
      <c r="Q231" s="45"/>
    </row>
    <row r="232" spans="2:17" ht="13" x14ac:dyDescent="0.3">
      <c r="B232" s="353" t="s">
        <v>1115</v>
      </c>
      <c r="C232" s="353"/>
      <c r="D232" s="353"/>
      <c r="E232" s="1065"/>
      <c r="F232" s="558">
        <v>61000</v>
      </c>
      <c r="G232" s="42">
        <v>0.95</v>
      </c>
      <c r="I232" s="65"/>
      <c r="J232" s="65"/>
      <c r="K232" s="65"/>
      <c r="L232" s="1321"/>
      <c r="M232" s="65"/>
      <c r="N232" s="65"/>
      <c r="O232" s="65"/>
      <c r="P232" s="1324"/>
      <c r="Q232" s="45"/>
    </row>
    <row r="233" spans="2:17" x14ac:dyDescent="0.25">
      <c r="B233" s="353"/>
      <c r="C233" s="353"/>
      <c r="D233" s="353"/>
      <c r="E233" s="1065"/>
      <c r="F233" s="730"/>
      <c r="G233" s="8"/>
      <c r="I233" s="65"/>
      <c r="J233" s="65"/>
      <c r="K233" s="65"/>
      <c r="L233" s="1321"/>
      <c r="M233" s="65"/>
      <c r="N233" s="65"/>
      <c r="O233" s="65"/>
      <c r="P233" s="1324"/>
      <c r="Q233" s="45"/>
    </row>
    <row r="234" spans="2:17" ht="15.5" x14ac:dyDescent="0.35">
      <c r="B234" s="6" t="s">
        <v>1137</v>
      </c>
      <c r="C234" s="130"/>
      <c r="D234" s="130"/>
      <c r="E234" s="1065"/>
      <c r="F234" s="552"/>
      <c r="G234" s="148"/>
      <c r="I234" s="65"/>
      <c r="J234" s="65"/>
      <c r="K234" s="65"/>
      <c r="L234" s="1321"/>
      <c r="M234" s="65"/>
      <c r="N234" s="65"/>
      <c r="O234" s="65"/>
      <c r="P234" s="1324"/>
      <c r="Q234" s="45"/>
    </row>
    <row r="235" spans="2:17" ht="14" x14ac:dyDescent="0.3">
      <c r="B235" s="665" t="s">
        <v>1138</v>
      </c>
      <c r="C235" s="130"/>
      <c r="D235" s="130"/>
      <c r="E235" s="1065"/>
      <c r="F235" s="552"/>
      <c r="G235" s="148"/>
      <c r="I235" s="65"/>
      <c r="J235" s="65"/>
      <c r="K235" s="65"/>
      <c r="L235" s="1321"/>
      <c r="M235" s="65"/>
      <c r="N235" s="65"/>
      <c r="O235" s="65"/>
      <c r="P235" s="1324"/>
      <c r="Q235" s="45"/>
    </row>
    <row r="236" spans="2:17" x14ac:dyDescent="0.25">
      <c r="B236" s="353" t="s">
        <v>1129</v>
      </c>
      <c r="C236" s="353"/>
      <c r="D236" s="353"/>
      <c r="E236" s="1065"/>
      <c r="F236" s="552"/>
      <c r="G236" s="148"/>
      <c r="I236" s="65"/>
      <c r="J236" s="65"/>
      <c r="K236" s="65"/>
      <c r="L236" s="1321"/>
      <c r="M236" s="65"/>
      <c r="N236" s="65"/>
      <c r="O236" s="65"/>
      <c r="P236" s="1324"/>
      <c r="Q236" s="45"/>
    </row>
    <row r="237" spans="2:17" x14ac:dyDescent="0.25">
      <c r="B237" s="353" t="s">
        <v>1130</v>
      </c>
      <c r="C237" s="353"/>
      <c r="D237" s="353"/>
      <c r="E237" s="1065"/>
      <c r="F237" s="559">
        <v>68</v>
      </c>
      <c r="G237" s="1268">
        <v>0.3</v>
      </c>
      <c r="I237" s="65"/>
      <c r="J237" s="65"/>
      <c r="K237" s="65"/>
      <c r="L237" s="1321"/>
      <c r="M237" s="65"/>
      <c r="N237" s="65"/>
      <c r="O237" s="65"/>
      <c r="P237" s="1324"/>
      <c r="Q237" s="45"/>
    </row>
    <row r="238" spans="2:17" x14ac:dyDescent="0.25">
      <c r="B238" s="353" t="s">
        <v>1113</v>
      </c>
      <c r="C238" s="353"/>
      <c r="D238" s="353"/>
      <c r="E238" s="1065"/>
      <c r="F238" s="558">
        <v>560000</v>
      </c>
      <c r="G238" s="42">
        <v>0.7</v>
      </c>
      <c r="H238" s="48"/>
      <c r="I238" s="65"/>
      <c r="J238" s="65"/>
      <c r="K238" s="65"/>
      <c r="L238" s="1321"/>
      <c r="M238" s="65"/>
      <c r="N238" s="65"/>
      <c r="O238" s="65"/>
      <c r="P238" s="1324"/>
      <c r="Q238" s="45"/>
    </row>
    <row r="239" spans="2:17" x14ac:dyDescent="0.25">
      <c r="B239" s="353" t="s">
        <v>1114</v>
      </c>
      <c r="C239" s="353"/>
      <c r="D239" s="353"/>
      <c r="E239" s="1065"/>
      <c r="F239" s="559">
        <v>830</v>
      </c>
      <c r="G239" s="42">
        <v>0.95</v>
      </c>
      <c r="I239" s="65"/>
      <c r="J239" s="65"/>
      <c r="K239" s="65"/>
      <c r="L239" s="1321"/>
      <c r="M239" s="65"/>
      <c r="N239" s="65"/>
      <c r="O239" s="65"/>
      <c r="P239" s="1324"/>
      <c r="Q239" s="45"/>
    </row>
    <row r="240" spans="2:17" ht="13" x14ac:dyDescent="0.3">
      <c r="B240" s="353" t="s">
        <v>1115</v>
      </c>
      <c r="C240" s="353"/>
      <c r="D240" s="353"/>
      <c r="E240" s="1065"/>
      <c r="F240" s="558">
        <v>110000</v>
      </c>
      <c r="G240" s="42">
        <v>0.95</v>
      </c>
      <c r="I240" s="65"/>
      <c r="J240" s="65"/>
      <c r="K240" s="65"/>
      <c r="L240" s="1321"/>
      <c r="M240" s="65"/>
      <c r="N240" s="65"/>
      <c r="O240" s="65"/>
      <c r="P240" s="1324"/>
      <c r="Q240" s="45"/>
    </row>
    <row r="241" spans="2:17" x14ac:dyDescent="0.25">
      <c r="B241" s="353"/>
      <c r="C241" s="353"/>
      <c r="D241" s="353"/>
      <c r="E241" s="1065"/>
      <c r="F241" s="730"/>
      <c r="G241" s="8"/>
      <c r="I241" s="65"/>
      <c r="J241" s="65"/>
      <c r="K241" s="65"/>
      <c r="L241" s="1321"/>
      <c r="M241" s="65"/>
      <c r="N241" s="65"/>
      <c r="O241" s="65"/>
      <c r="P241" s="1324"/>
      <c r="Q241" s="45"/>
    </row>
    <row r="242" spans="2:17" ht="15.5" x14ac:dyDescent="0.35">
      <c r="B242" s="6" t="s">
        <v>1139</v>
      </c>
      <c r="C242" s="130"/>
      <c r="D242" s="130"/>
      <c r="E242" s="1065"/>
      <c r="F242" s="552"/>
      <c r="G242" s="166"/>
      <c r="I242" s="65"/>
      <c r="J242" s="65"/>
      <c r="K242" s="65"/>
      <c r="L242" s="1321"/>
      <c r="M242" s="65"/>
      <c r="N242" s="65"/>
      <c r="O242" s="65"/>
      <c r="P242" s="1324"/>
      <c r="Q242" s="45"/>
    </row>
    <row r="243" spans="2:17" ht="14" x14ac:dyDescent="0.3">
      <c r="B243" s="665" t="s">
        <v>1140</v>
      </c>
      <c r="C243" s="130"/>
      <c r="D243" s="130"/>
      <c r="E243" s="1065"/>
      <c r="F243" s="552"/>
      <c r="G243" s="166"/>
      <c r="I243" s="65"/>
      <c r="J243" s="65"/>
      <c r="K243" s="65"/>
      <c r="L243" s="1321"/>
      <c r="M243" s="65"/>
      <c r="N243" s="65"/>
      <c r="O243" s="65"/>
      <c r="P243" s="1324"/>
      <c r="Q243" s="45"/>
    </row>
    <row r="244" spans="2:17" x14ac:dyDescent="0.25">
      <c r="B244" s="353" t="s">
        <v>1141</v>
      </c>
      <c r="C244" s="353"/>
      <c r="D244" s="353"/>
      <c r="E244" s="1065"/>
      <c r="F244" s="552"/>
      <c r="G244" s="166"/>
      <c r="I244" s="65"/>
      <c r="J244" s="65"/>
      <c r="K244" s="65"/>
      <c r="L244" s="1321"/>
      <c r="M244" s="65"/>
      <c r="N244" s="65"/>
      <c r="O244" s="65"/>
      <c r="P244" s="1324"/>
      <c r="Q244" s="45"/>
    </row>
    <row r="245" spans="2:17" x14ac:dyDescent="0.25">
      <c r="B245" s="353" t="s">
        <v>1113</v>
      </c>
      <c r="C245" s="353"/>
      <c r="D245" s="353"/>
      <c r="E245" s="1065"/>
      <c r="F245" s="1049">
        <v>170000</v>
      </c>
      <c r="G245" s="42">
        <v>0.7</v>
      </c>
      <c r="H245" s="48"/>
      <c r="I245" s="65"/>
      <c r="J245" s="65"/>
      <c r="K245" s="65"/>
      <c r="L245" s="1321"/>
      <c r="M245" s="65"/>
      <c r="N245" s="65"/>
      <c r="O245" s="65"/>
      <c r="P245" s="1324"/>
      <c r="Q245" s="45"/>
    </row>
    <row r="246" spans="2:17" x14ac:dyDescent="0.25">
      <c r="B246" s="353" t="s">
        <v>1114</v>
      </c>
      <c r="C246" s="353"/>
      <c r="D246" s="353"/>
      <c r="E246" s="1065"/>
      <c r="F246" s="1048">
        <v>94</v>
      </c>
      <c r="G246" s="42">
        <v>0.95</v>
      </c>
      <c r="I246" s="55"/>
      <c r="J246" s="55"/>
      <c r="K246" s="55"/>
      <c r="L246" s="1322"/>
      <c r="M246" s="55"/>
      <c r="N246" s="55"/>
      <c r="O246" s="55"/>
      <c r="P246" s="1325"/>
      <c r="Q246" s="45"/>
    </row>
    <row r="247" spans="2:17" ht="13" x14ac:dyDescent="0.3">
      <c r="B247" s="353" t="s">
        <v>1115</v>
      </c>
      <c r="C247" s="353"/>
      <c r="D247" s="353"/>
      <c r="E247" s="1065"/>
      <c r="F247" s="1049">
        <v>27000</v>
      </c>
      <c r="G247" s="42">
        <v>0.95</v>
      </c>
      <c r="I247" s="65"/>
      <c r="J247" s="65"/>
      <c r="K247" s="65"/>
      <c r="L247" s="1321"/>
      <c r="M247" s="65"/>
      <c r="N247" s="65"/>
      <c r="O247" s="65"/>
      <c r="P247" s="1324"/>
      <c r="Q247" s="45"/>
    </row>
    <row r="248" spans="2:17" x14ac:dyDescent="0.25">
      <c r="B248" s="353"/>
      <c r="C248" s="353"/>
      <c r="D248" s="353"/>
      <c r="E248" s="1065"/>
      <c r="F248" s="730"/>
      <c r="G248" s="8"/>
      <c r="I248" s="65"/>
      <c r="J248" s="65"/>
      <c r="K248" s="65"/>
      <c r="L248" s="1321"/>
      <c r="M248" s="65"/>
      <c r="N248" s="65"/>
      <c r="O248" s="65"/>
      <c r="P248" s="1324"/>
      <c r="Q248" s="45"/>
    </row>
    <row r="249" spans="2:17" ht="14" x14ac:dyDescent="0.3">
      <c r="B249" s="665" t="s">
        <v>1142</v>
      </c>
      <c r="C249" s="130"/>
      <c r="D249" s="130"/>
      <c r="E249" s="1065"/>
      <c r="F249" s="148"/>
      <c r="G249" s="166"/>
      <c r="I249" s="65"/>
      <c r="J249" s="65"/>
      <c r="K249" s="65"/>
      <c r="L249" s="1321"/>
      <c r="M249" s="65"/>
      <c r="N249" s="65"/>
      <c r="O249" s="65"/>
      <c r="P249" s="1324"/>
      <c r="Q249" s="45"/>
    </row>
    <row r="250" spans="2:17" x14ac:dyDescent="0.25">
      <c r="B250" s="353" t="s">
        <v>1143</v>
      </c>
      <c r="C250" s="353"/>
      <c r="D250" s="353"/>
      <c r="E250" s="1065"/>
      <c r="F250" s="148"/>
      <c r="G250" s="166"/>
      <c r="I250" s="65"/>
      <c r="J250" s="65"/>
      <c r="K250" s="65"/>
      <c r="L250" s="1321"/>
      <c r="M250" s="65"/>
      <c r="N250" s="65"/>
      <c r="O250" s="65"/>
      <c r="P250" s="1324"/>
      <c r="Q250" s="45"/>
    </row>
    <row r="251" spans="2:17" x14ac:dyDescent="0.25">
      <c r="B251" s="353" t="s">
        <v>154</v>
      </c>
      <c r="C251" s="353"/>
      <c r="D251" s="353"/>
      <c r="E251" s="1065"/>
      <c r="F251" s="195">
        <v>20</v>
      </c>
      <c r="G251" s="42">
        <v>0.3</v>
      </c>
      <c r="I251" s="65"/>
      <c r="J251" s="65"/>
      <c r="K251" s="65"/>
      <c r="L251" s="1321"/>
      <c r="M251" s="65"/>
      <c r="N251" s="65"/>
      <c r="O251" s="65"/>
      <c r="P251" s="1324"/>
      <c r="Q251" s="45"/>
    </row>
    <row r="252" spans="2:17" ht="13" x14ac:dyDescent="0.3">
      <c r="B252" s="353" t="s">
        <v>1113</v>
      </c>
      <c r="C252" s="353"/>
      <c r="D252" s="353"/>
      <c r="E252" s="1065"/>
      <c r="F252" s="195">
        <v>150000</v>
      </c>
      <c r="G252" s="42">
        <v>0.7</v>
      </c>
      <c r="H252" s="1354"/>
      <c r="I252" s="65"/>
      <c r="J252" s="65"/>
      <c r="K252" s="65"/>
      <c r="L252" s="1321"/>
      <c r="M252" s="65"/>
      <c r="N252" s="65"/>
      <c r="O252" s="65"/>
      <c r="P252" s="1324"/>
      <c r="Q252" s="45"/>
    </row>
    <row r="253" spans="2:17" x14ac:dyDescent="0.25">
      <c r="B253" s="353" t="s">
        <v>1114</v>
      </c>
      <c r="C253" s="353"/>
      <c r="D253" s="353"/>
      <c r="E253" s="1065"/>
      <c r="F253" s="551">
        <v>94</v>
      </c>
      <c r="G253" s="42">
        <v>0.95</v>
      </c>
      <c r="I253" s="55"/>
      <c r="J253" s="55"/>
      <c r="K253" s="55"/>
      <c r="L253" s="1322"/>
      <c r="M253" s="55"/>
      <c r="N253" s="55"/>
      <c r="O253" s="55"/>
      <c r="P253" s="1325"/>
      <c r="Q253" s="45"/>
    </row>
    <row r="254" spans="2:17" ht="15" customHeight="1" x14ac:dyDescent="0.3">
      <c r="B254" s="353" t="s">
        <v>1115</v>
      </c>
      <c r="C254" s="353"/>
      <c r="D254" s="353"/>
      <c r="E254" s="1065"/>
      <c r="F254" s="195">
        <v>27000</v>
      </c>
      <c r="G254" s="42">
        <v>0.95</v>
      </c>
      <c r="I254" s="65"/>
      <c r="J254" s="65"/>
      <c r="K254" s="65"/>
      <c r="L254" s="1321"/>
      <c r="M254" s="65"/>
      <c r="N254" s="65"/>
      <c r="O254" s="65"/>
      <c r="P254" s="1324"/>
      <c r="Q254" s="45"/>
    </row>
    <row r="255" spans="2:17" ht="15" customHeight="1" x14ac:dyDescent="0.25">
      <c r="B255" s="353"/>
      <c r="C255" s="353"/>
      <c r="D255" s="353"/>
      <c r="E255" s="1065"/>
      <c r="I255" s="65"/>
      <c r="J255" s="65"/>
      <c r="K255" s="65"/>
      <c r="L255" s="1321"/>
      <c r="M255" s="65"/>
      <c r="N255" s="65"/>
      <c r="O255" s="65"/>
      <c r="P255" s="1324"/>
      <c r="Q255" s="45"/>
    </row>
    <row r="256" spans="2:17" ht="15" customHeight="1" x14ac:dyDescent="0.35">
      <c r="B256" s="6" t="s">
        <v>1144</v>
      </c>
      <c r="C256" s="130"/>
      <c r="D256" s="130"/>
      <c r="E256" s="1065"/>
      <c r="G256" s="148"/>
      <c r="I256" s="65"/>
      <c r="J256" s="65"/>
      <c r="K256" s="65"/>
      <c r="L256" s="1321"/>
      <c r="M256" s="65"/>
      <c r="N256" s="65"/>
      <c r="O256" s="65"/>
      <c r="P256" s="1324"/>
      <c r="Q256" s="45"/>
    </row>
    <row r="257" spans="2:17" ht="15" customHeight="1" x14ac:dyDescent="0.25">
      <c r="B257" s="353" t="s">
        <v>1145</v>
      </c>
      <c r="D257" s="353"/>
      <c r="E257" s="1065"/>
      <c r="F257" s="101"/>
      <c r="G257" s="148"/>
      <c r="I257" s="65"/>
      <c r="J257" s="65"/>
      <c r="K257" s="65"/>
      <c r="L257" s="1321"/>
      <c r="M257" s="65"/>
      <c r="N257" s="65"/>
      <c r="O257" s="65"/>
      <c r="P257" s="1324"/>
      <c r="Q257" s="45"/>
    </row>
    <row r="258" spans="2:17" ht="15" customHeight="1" x14ac:dyDescent="0.3">
      <c r="B258" s="353" t="s">
        <v>1113</v>
      </c>
      <c r="D258" s="353"/>
      <c r="E258" s="1065"/>
      <c r="F258" s="1054">
        <v>31000</v>
      </c>
      <c r="G258" s="42">
        <v>0.5</v>
      </c>
      <c r="H258" s="1354"/>
      <c r="I258" s="65"/>
      <c r="J258" s="65"/>
      <c r="K258" s="65"/>
      <c r="L258" s="1321"/>
      <c r="M258" s="65"/>
      <c r="N258" s="65"/>
      <c r="O258" s="65"/>
      <c r="P258" s="1324"/>
      <c r="Q258" s="45"/>
    </row>
    <row r="259" spans="2:17" ht="15" customHeight="1" x14ac:dyDescent="0.25">
      <c r="B259" s="353" t="s">
        <v>1114</v>
      </c>
      <c r="D259" s="353"/>
      <c r="E259" s="1065"/>
      <c r="F259" s="1053">
        <v>200</v>
      </c>
      <c r="G259" s="42">
        <v>0.95</v>
      </c>
      <c r="I259" s="65"/>
      <c r="J259" s="65"/>
      <c r="K259" s="65"/>
      <c r="L259" s="1321"/>
      <c r="M259" s="65"/>
      <c r="N259" s="65"/>
      <c r="O259" s="65"/>
      <c r="P259" s="1325"/>
      <c r="Q259" s="45"/>
    </row>
    <row r="260" spans="2:17" ht="15" customHeight="1" x14ac:dyDescent="0.3">
      <c r="B260" s="353" t="s">
        <v>1115</v>
      </c>
      <c r="D260" s="353"/>
      <c r="E260" s="1065"/>
      <c r="F260" s="1054">
        <v>10000</v>
      </c>
      <c r="G260" s="42">
        <v>0.95</v>
      </c>
      <c r="I260" s="65"/>
      <c r="J260" s="65"/>
      <c r="K260" s="65"/>
      <c r="L260" s="1321"/>
      <c r="M260" s="65"/>
      <c r="N260" s="65"/>
      <c r="O260" s="65"/>
      <c r="P260" s="1324"/>
      <c r="Q260" s="45"/>
    </row>
    <row r="261" spans="2:17" ht="15" customHeight="1" x14ac:dyDescent="0.25">
      <c r="B261" s="353"/>
      <c r="D261" s="353"/>
      <c r="E261" s="1065"/>
      <c r="I261" s="65"/>
      <c r="J261" s="65"/>
      <c r="K261" s="65"/>
      <c r="L261" s="1321"/>
      <c r="M261" s="65"/>
      <c r="N261" s="65"/>
      <c r="O261" s="65"/>
      <c r="P261" s="45"/>
      <c r="Q261" s="45"/>
    </row>
    <row r="262" spans="2:17" ht="15" customHeight="1" x14ac:dyDescent="0.35">
      <c r="B262" s="6" t="s">
        <v>1146</v>
      </c>
      <c r="D262" s="353"/>
      <c r="E262" s="1065"/>
      <c r="I262" s="65"/>
      <c r="J262" s="65"/>
      <c r="K262" s="65"/>
      <c r="L262" s="1321"/>
      <c r="M262" s="65"/>
      <c r="N262" s="65"/>
      <c r="O262" s="65"/>
      <c r="P262" s="1324"/>
      <c r="Q262" s="45"/>
    </row>
    <row r="263" spans="2:17" ht="15" customHeight="1" x14ac:dyDescent="0.3">
      <c r="B263" s="665" t="s">
        <v>1147</v>
      </c>
      <c r="C263" s="130"/>
      <c r="D263" s="130"/>
      <c r="E263" s="1065"/>
      <c r="F263" s="148"/>
      <c r="G263" s="8"/>
      <c r="I263" s="65"/>
      <c r="J263" s="65"/>
      <c r="K263" s="65"/>
      <c r="L263" s="1321"/>
      <c r="M263" s="65"/>
      <c r="N263" s="65"/>
      <c r="O263" s="65"/>
      <c r="P263" s="1324"/>
      <c r="Q263" s="45"/>
    </row>
    <row r="264" spans="2:17" ht="15" customHeight="1" x14ac:dyDescent="0.25">
      <c r="B264" s="353" t="s">
        <v>1145</v>
      </c>
      <c r="C264" s="353"/>
      <c r="D264" s="353"/>
      <c r="E264" s="1065"/>
      <c r="F264" s="148"/>
      <c r="G264" s="8"/>
      <c r="I264" s="65"/>
      <c r="J264" s="65"/>
      <c r="K264" s="65"/>
      <c r="L264" s="1321"/>
      <c r="M264" s="65"/>
      <c r="N264" s="65"/>
      <c r="O264" s="65"/>
      <c r="P264" s="1324"/>
      <c r="Q264" s="45"/>
    </row>
    <row r="265" spans="2:17" ht="15" customHeight="1" x14ac:dyDescent="0.3">
      <c r="B265" s="353" t="s">
        <v>1113</v>
      </c>
      <c r="C265" s="353"/>
      <c r="D265" s="353"/>
      <c r="E265" s="1065"/>
      <c r="F265" s="195">
        <v>0</v>
      </c>
      <c r="G265" s="943">
        <v>0.7</v>
      </c>
      <c r="H265" s="1354"/>
      <c r="I265" s="65"/>
      <c r="J265" s="65"/>
      <c r="K265" s="65"/>
      <c r="L265" s="1321"/>
      <c r="M265" s="65"/>
      <c r="N265" s="65"/>
      <c r="O265" s="65"/>
      <c r="P265" s="1324"/>
      <c r="Q265" s="45"/>
    </row>
    <row r="266" spans="2:17" ht="15" customHeight="1" x14ac:dyDescent="0.25">
      <c r="B266" s="353" t="s">
        <v>1114</v>
      </c>
      <c r="C266" s="353"/>
      <c r="D266" s="353"/>
      <c r="E266" s="1065"/>
      <c r="F266" s="551">
        <v>1700</v>
      </c>
      <c r="G266" s="943">
        <v>0.95</v>
      </c>
      <c r="I266" s="65"/>
      <c r="J266" s="65"/>
      <c r="K266" s="65"/>
      <c r="L266" s="1321"/>
      <c r="M266" s="65"/>
      <c r="N266" s="65"/>
      <c r="O266" s="65"/>
      <c r="P266" s="1324"/>
      <c r="Q266" s="45"/>
    </row>
    <row r="267" spans="2:17" ht="13" x14ac:dyDescent="0.3">
      <c r="B267" s="353" t="s">
        <v>1115</v>
      </c>
      <c r="C267" s="353"/>
      <c r="D267" s="353"/>
      <c r="E267" s="1065"/>
      <c r="F267" s="195">
        <v>0</v>
      </c>
      <c r="G267" s="943">
        <v>0.95</v>
      </c>
      <c r="I267" s="65"/>
      <c r="J267" s="65"/>
      <c r="K267" s="65"/>
      <c r="L267" s="1321"/>
      <c r="M267" s="65"/>
      <c r="N267" s="65"/>
      <c r="O267" s="65"/>
      <c r="P267" s="45"/>
      <c r="Q267" s="45"/>
    </row>
    <row r="268" spans="2:17" x14ac:dyDescent="0.25">
      <c r="B268" s="353"/>
      <c r="C268" s="353"/>
      <c r="D268" s="353"/>
      <c r="E268" s="1065"/>
      <c r="F268" s="171"/>
      <c r="G268" s="8"/>
      <c r="I268" s="65"/>
      <c r="J268" s="65"/>
      <c r="K268" s="65"/>
      <c r="L268" s="1321"/>
      <c r="M268" s="65"/>
      <c r="N268" s="65"/>
      <c r="O268" s="65"/>
      <c r="P268" s="1324"/>
      <c r="Q268" s="45"/>
    </row>
    <row r="269" spans="2:17" ht="14" x14ac:dyDescent="0.3">
      <c r="B269" s="665" t="s">
        <v>1148</v>
      </c>
      <c r="C269" s="353"/>
      <c r="D269" s="353"/>
      <c r="E269" s="1065"/>
      <c r="F269" s="154"/>
      <c r="G269" s="70"/>
      <c r="I269" s="65"/>
      <c r="J269" s="65"/>
      <c r="K269" s="65"/>
      <c r="L269" s="1321"/>
      <c r="M269" s="65"/>
      <c r="N269" s="65"/>
      <c r="O269" s="65"/>
      <c r="P269" s="1324"/>
      <c r="Q269" s="45"/>
    </row>
    <row r="270" spans="2:17" x14ac:dyDescent="0.25">
      <c r="B270" s="353" t="s">
        <v>1149</v>
      </c>
      <c r="C270" s="353"/>
      <c r="D270" s="353"/>
      <c r="E270" s="1065"/>
      <c r="F270" s="154"/>
      <c r="G270" s="8"/>
      <c r="I270" s="65"/>
      <c r="J270" s="65"/>
      <c r="K270" s="65"/>
      <c r="L270" s="1321"/>
      <c r="M270" s="65"/>
      <c r="N270" s="65"/>
      <c r="O270" s="65"/>
      <c r="P270" s="1324"/>
      <c r="Q270" s="45"/>
    </row>
    <row r="271" spans="2:17" ht="13" x14ac:dyDescent="0.3">
      <c r="B271" s="353" t="s">
        <v>1113</v>
      </c>
      <c r="C271" s="353"/>
      <c r="D271" s="353"/>
      <c r="E271" s="1065"/>
      <c r="F271" s="201">
        <v>17000</v>
      </c>
      <c r="G271" s="943">
        <v>0.5</v>
      </c>
      <c r="H271" s="1354"/>
      <c r="I271" s="65"/>
      <c r="J271" s="65"/>
      <c r="K271" s="65"/>
      <c r="L271" s="1321"/>
      <c r="M271" s="65"/>
      <c r="N271" s="65"/>
      <c r="O271" s="65"/>
      <c r="P271" s="1324"/>
      <c r="Q271" s="45"/>
    </row>
    <row r="272" spans="2:17" ht="13" x14ac:dyDescent="0.3">
      <c r="B272" s="353" t="s">
        <v>1114</v>
      </c>
      <c r="C272" s="130"/>
      <c r="D272" s="353"/>
      <c r="E272" s="1065"/>
      <c r="F272" s="548">
        <v>36</v>
      </c>
      <c r="G272" s="943">
        <v>0.95</v>
      </c>
      <c r="I272" s="55"/>
      <c r="J272" s="55"/>
      <c r="K272" s="55"/>
      <c r="L272" s="1322"/>
      <c r="M272" s="55"/>
      <c r="N272" s="55"/>
      <c r="O272" s="55"/>
      <c r="P272" s="1325"/>
      <c r="Q272" s="45"/>
    </row>
    <row r="273" spans="2:17" ht="13" x14ac:dyDescent="0.3">
      <c r="B273" s="353" t="s">
        <v>1115</v>
      </c>
      <c r="C273" s="353"/>
      <c r="D273" s="353"/>
      <c r="E273" s="1065"/>
      <c r="F273" s="201">
        <v>1100</v>
      </c>
      <c r="G273" s="943">
        <v>0.95</v>
      </c>
      <c r="I273" s="65"/>
      <c r="J273" s="65"/>
      <c r="K273" s="65"/>
      <c r="L273" s="1321"/>
      <c r="M273" s="65"/>
      <c r="N273" s="65"/>
      <c r="O273" s="65"/>
      <c r="P273" s="1324"/>
      <c r="Q273" s="45"/>
    </row>
    <row r="274" spans="2:17" x14ac:dyDescent="0.25">
      <c r="B274" s="353"/>
      <c r="C274" s="353"/>
      <c r="D274" s="353"/>
      <c r="E274" s="1065"/>
      <c r="F274" s="171"/>
      <c r="G274" s="8"/>
      <c r="I274" s="65"/>
      <c r="J274" s="65"/>
      <c r="K274" s="65"/>
      <c r="L274" s="1321"/>
      <c r="M274" s="65"/>
      <c r="N274" s="65"/>
      <c r="O274" s="65"/>
      <c r="P274" s="1324"/>
      <c r="Q274" s="45"/>
    </row>
    <row r="275" spans="2:17" ht="14" x14ac:dyDescent="0.3">
      <c r="B275" s="665" t="s">
        <v>1150</v>
      </c>
      <c r="C275" s="130"/>
      <c r="D275" s="130"/>
      <c r="E275" s="1065"/>
      <c r="F275" s="148"/>
      <c r="G275" s="8"/>
      <c r="I275" s="65"/>
      <c r="J275" s="65"/>
      <c r="K275" s="65"/>
      <c r="L275" s="1321"/>
      <c r="M275" s="65"/>
      <c r="N275" s="65"/>
      <c r="O275" s="65"/>
      <c r="P275" s="1324"/>
      <c r="Q275" s="45"/>
    </row>
    <row r="276" spans="2:17" x14ac:dyDescent="0.25">
      <c r="B276" s="353" t="s">
        <v>1129</v>
      </c>
      <c r="C276" s="353"/>
      <c r="D276" s="353"/>
      <c r="E276" s="1065"/>
      <c r="F276" s="148"/>
      <c r="G276" s="8"/>
      <c r="I276" s="65"/>
      <c r="J276" s="65"/>
      <c r="K276" s="65"/>
      <c r="L276" s="1321"/>
      <c r="M276" s="65"/>
      <c r="N276" s="65"/>
      <c r="O276" s="65"/>
      <c r="P276" s="1324"/>
      <c r="Q276" s="45"/>
    </row>
    <row r="277" spans="2:17" ht="13" x14ac:dyDescent="0.3">
      <c r="B277" s="353" t="s">
        <v>1113</v>
      </c>
      <c r="C277" s="353"/>
      <c r="D277" s="353"/>
      <c r="E277" s="1065"/>
      <c r="F277" s="195">
        <v>38000</v>
      </c>
      <c r="G277" s="42">
        <v>0.7</v>
      </c>
      <c r="H277" s="1354"/>
      <c r="I277" s="65"/>
      <c r="J277" s="65"/>
      <c r="K277" s="65"/>
      <c r="L277" s="1321"/>
      <c r="M277" s="65"/>
      <c r="N277" s="65"/>
      <c r="O277" s="65"/>
      <c r="P277" s="1324"/>
      <c r="Q277" s="45"/>
    </row>
    <row r="278" spans="2:17" x14ac:dyDescent="0.25">
      <c r="B278" s="353" t="s">
        <v>1114</v>
      </c>
      <c r="C278" s="353"/>
      <c r="D278" s="353"/>
      <c r="E278" s="1065"/>
      <c r="F278" s="551">
        <v>9.3000000000000007</v>
      </c>
      <c r="G278" s="42">
        <v>0.9</v>
      </c>
      <c r="I278" s="55"/>
      <c r="J278" s="55"/>
      <c r="K278" s="55"/>
      <c r="L278" s="1322"/>
      <c r="M278" s="55"/>
      <c r="N278" s="55"/>
      <c r="O278" s="55"/>
      <c r="P278" s="1325"/>
      <c r="Q278" s="45"/>
    </row>
    <row r="279" spans="2:17" ht="13" x14ac:dyDescent="0.3">
      <c r="B279" s="353" t="s">
        <v>1115</v>
      </c>
      <c r="C279" s="353"/>
      <c r="D279" s="353"/>
      <c r="E279" s="1065"/>
      <c r="F279" s="195">
        <v>3300</v>
      </c>
      <c r="G279" s="42">
        <v>0.95</v>
      </c>
      <c r="I279" s="65"/>
      <c r="J279" s="65"/>
      <c r="K279" s="65"/>
      <c r="L279" s="1321"/>
      <c r="M279" s="65"/>
      <c r="N279" s="65"/>
      <c r="O279" s="65"/>
      <c r="P279" s="1324"/>
      <c r="Q279" s="45"/>
    </row>
    <row r="280" spans="2:17" x14ac:dyDescent="0.25">
      <c r="E280" s="1065"/>
      <c r="I280" s="65"/>
      <c r="J280" s="65"/>
      <c r="K280" s="65"/>
      <c r="L280" s="1321"/>
      <c r="M280" s="65"/>
      <c r="N280" s="65"/>
      <c r="O280" s="65"/>
      <c r="P280" s="1324"/>
      <c r="Q280" s="45"/>
    </row>
    <row r="281" spans="2:17" ht="14" x14ac:dyDescent="0.3">
      <c r="B281" s="665" t="s">
        <v>1151</v>
      </c>
      <c r="E281" s="1065"/>
      <c r="F281" s="148"/>
      <c r="I281" s="65"/>
      <c r="J281" s="65"/>
      <c r="K281" s="65"/>
      <c r="L281" s="1321"/>
      <c r="M281" s="65"/>
      <c r="N281" s="65"/>
      <c r="O281" s="65"/>
      <c r="P281" s="1324"/>
      <c r="Q281" s="45"/>
    </row>
    <row r="282" spans="2:17" x14ac:dyDescent="0.25">
      <c r="B282" s="353" t="s">
        <v>1145</v>
      </c>
      <c r="C282" s="353"/>
      <c r="D282" s="353"/>
      <c r="E282" s="1065"/>
      <c r="F282" s="148"/>
      <c r="G282" s="148"/>
      <c r="I282" s="65"/>
      <c r="J282" s="65"/>
      <c r="K282" s="65"/>
      <c r="L282" s="1321"/>
      <c r="M282" s="65"/>
      <c r="N282" s="65"/>
      <c r="O282" s="65"/>
      <c r="P282" s="1324"/>
      <c r="Q282" s="45"/>
    </row>
    <row r="283" spans="2:17" ht="13" x14ac:dyDescent="0.3">
      <c r="B283" s="353" t="s">
        <v>1113</v>
      </c>
      <c r="C283" s="353"/>
      <c r="D283" s="353"/>
      <c r="E283" s="1065"/>
      <c r="F283" s="195">
        <v>46000</v>
      </c>
      <c r="G283" s="42">
        <v>0.7</v>
      </c>
      <c r="H283" s="1354"/>
      <c r="I283" s="65"/>
      <c r="J283" s="65"/>
      <c r="K283" s="65"/>
      <c r="L283" s="1321"/>
      <c r="M283" s="65"/>
      <c r="N283" s="65"/>
      <c r="O283" s="65"/>
      <c r="P283" s="1324"/>
      <c r="Q283" s="45"/>
    </row>
    <row r="284" spans="2:17" x14ac:dyDescent="0.25">
      <c r="B284" s="353" t="s">
        <v>1114</v>
      </c>
      <c r="C284" s="353"/>
      <c r="D284" s="353"/>
      <c r="E284" s="1065"/>
      <c r="F284" s="551">
        <v>16</v>
      </c>
      <c r="G284" s="42">
        <v>0.95</v>
      </c>
      <c r="I284" s="55"/>
      <c r="J284" s="55"/>
      <c r="K284" s="55"/>
      <c r="L284" s="1322"/>
      <c r="M284" s="55"/>
      <c r="N284" s="55"/>
      <c r="O284" s="55"/>
      <c r="P284" s="1325"/>
      <c r="Q284" s="45"/>
    </row>
    <row r="285" spans="2:17" ht="13" x14ac:dyDescent="0.3">
      <c r="B285" s="353" t="s">
        <v>1115</v>
      </c>
      <c r="C285" s="353"/>
      <c r="D285" s="353"/>
      <c r="E285" s="1065"/>
      <c r="F285" s="195">
        <v>1300</v>
      </c>
      <c r="G285" s="42">
        <v>0.95</v>
      </c>
      <c r="I285" s="65"/>
      <c r="J285" s="65"/>
      <c r="K285" s="65"/>
      <c r="L285" s="1321"/>
      <c r="M285" s="65"/>
      <c r="N285" s="65"/>
      <c r="O285" s="65"/>
      <c r="P285" s="1324"/>
      <c r="Q285" s="45"/>
    </row>
    <row r="286" spans="2:17" x14ac:dyDescent="0.25">
      <c r="E286" s="1065"/>
      <c r="P286" s="45"/>
      <c r="Q286" s="45"/>
    </row>
    <row r="287" spans="2:17" ht="15.5" x14ac:dyDescent="0.35">
      <c r="B287" s="6" t="s">
        <v>1152</v>
      </c>
      <c r="E287" s="1065"/>
      <c r="F287" s="353" t="s">
        <v>1031</v>
      </c>
      <c r="G287" s="353"/>
      <c r="H287" s="1331"/>
      <c r="I287" s="90"/>
      <c r="J287" s="90"/>
      <c r="K287" s="90"/>
      <c r="L287" s="182"/>
      <c r="M287" s="90"/>
      <c r="N287" s="90"/>
      <c r="O287" s="90"/>
      <c r="Q287" s="45"/>
    </row>
    <row r="288" spans="2:17" x14ac:dyDescent="0.25">
      <c r="B288" s="353" t="s">
        <v>1153</v>
      </c>
      <c r="C288" s="9"/>
      <c r="D288" s="9"/>
      <c r="E288" s="1065"/>
      <c r="F288" s="945">
        <v>320</v>
      </c>
      <c r="G288" s="453"/>
      <c r="H288" s="453"/>
      <c r="I288" s="45"/>
      <c r="J288" s="45"/>
      <c r="K288" s="45"/>
      <c r="L288" s="182"/>
      <c r="M288" s="45"/>
      <c r="N288" s="1332"/>
      <c r="O288" s="45"/>
      <c r="Q288" s="45"/>
    </row>
    <row r="289" spans="2:17" x14ac:dyDescent="0.25">
      <c r="B289" s="353" t="s">
        <v>1154</v>
      </c>
      <c r="C289" s="9"/>
      <c r="D289" s="9"/>
      <c r="E289" s="1065"/>
      <c r="F289" s="945">
        <v>3</v>
      </c>
      <c r="G289" s="453"/>
      <c r="H289" s="453"/>
      <c r="I289" s="45"/>
      <c r="J289" s="45"/>
      <c r="K289" s="45"/>
      <c r="L289" s="182"/>
      <c r="M289" s="45"/>
      <c r="N289" s="730"/>
      <c r="O289" s="45"/>
      <c r="Q289" s="45"/>
    </row>
    <row r="290" spans="2:17" x14ac:dyDescent="0.25">
      <c r="B290" t="s">
        <v>1155</v>
      </c>
      <c r="C290" s="61"/>
      <c r="D290" s="61"/>
      <c r="E290" s="1065"/>
      <c r="F290" s="945">
        <v>960</v>
      </c>
      <c r="G290" s="453"/>
      <c r="H290" s="453"/>
      <c r="I290" s="45"/>
      <c r="J290" s="45"/>
      <c r="K290" s="45"/>
      <c r="L290" s="182"/>
      <c r="M290" s="45"/>
      <c r="N290" s="1332"/>
      <c r="O290" s="45"/>
      <c r="Q290" s="45"/>
    </row>
    <row r="291" spans="2:17" x14ac:dyDescent="0.25">
      <c r="B291" s="353" t="s">
        <v>1156</v>
      </c>
      <c r="C291" s="61"/>
      <c r="D291" s="61"/>
      <c r="E291" s="1065"/>
      <c r="F291" s="945">
        <v>49999999.999999985</v>
      </c>
      <c r="G291" s="453"/>
      <c r="H291" s="453"/>
      <c r="I291" s="453"/>
      <c r="J291" s="453"/>
      <c r="K291" s="453"/>
      <c r="L291" s="1333"/>
      <c r="M291" s="453"/>
      <c r="N291" s="453"/>
      <c r="O291" s="453"/>
      <c r="Q291" s="45"/>
    </row>
    <row r="292" spans="2:17" x14ac:dyDescent="0.25">
      <c r="B292" s="353" t="s">
        <v>1157</v>
      </c>
      <c r="C292" s="9"/>
      <c r="D292" s="9"/>
      <c r="E292" s="1065"/>
      <c r="F292" s="945">
        <v>500000</v>
      </c>
      <c r="G292" s="453"/>
      <c r="H292" s="453"/>
      <c r="I292" s="453"/>
      <c r="J292" s="453"/>
      <c r="K292" s="453"/>
      <c r="L292" s="1333"/>
      <c r="M292" s="453"/>
      <c r="N292" s="453"/>
      <c r="O292" s="453"/>
      <c r="Q292" s="45"/>
    </row>
    <row r="293" spans="2:17" x14ac:dyDescent="0.25">
      <c r="B293" s="353" t="s">
        <v>1158</v>
      </c>
      <c r="C293" s="9"/>
      <c r="D293" s="9"/>
      <c r="E293" s="1065"/>
      <c r="F293" s="945">
        <v>2000000</v>
      </c>
      <c r="G293" s="453"/>
      <c r="H293" s="453"/>
      <c r="I293" s="453"/>
      <c r="J293" s="453"/>
      <c r="K293" s="453"/>
      <c r="L293" s="1333"/>
      <c r="M293" s="453"/>
      <c r="N293" s="453"/>
      <c r="O293" s="453"/>
      <c r="Q293" s="45"/>
    </row>
    <row r="294" spans="2:17" x14ac:dyDescent="0.25">
      <c r="B294" s="353" t="s">
        <v>1159</v>
      </c>
      <c r="E294" s="1065"/>
      <c r="F294" s="945">
        <v>10000000</v>
      </c>
      <c r="G294" s="453"/>
      <c r="H294" s="453"/>
      <c r="I294" s="453"/>
      <c r="J294" s="453"/>
      <c r="K294" s="453"/>
      <c r="L294" s="1333"/>
      <c r="M294" s="453"/>
      <c r="N294" s="453"/>
      <c r="O294" s="453"/>
      <c r="Q294" s="45"/>
    </row>
    <row r="295" spans="2:17" x14ac:dyDescent="0.25">
      <c r="B295" s="221" t="s">
        <v>1160</v>
      </c>
      <c r="C295" s="61"/>
      <c r="E295" s="1065"/>
      <c r="F295" s="945">
        <v>270000000</v>
      </c>
      <c r="G295" s="453"/>
      <c r="H295" s="453"/>
      <c r="I295" s="453"/>
      <c r="J295" s="453"/>
      <c r="K295" s="453"/>
      <c r="L295" s="1333"/>
      <c r="M295" s="453"/>
      <c r="N295" s="453"/>
      <c r="O295" s="453"/>
      <c r="Q295" s="45"/>
    </row>
    <row r="296" spans="2:17" x14ac:dyDescent="0.25">
      <c r="B296" s="353" t="s">
        <v>1161</v>
      </c>
      <c r="C296" s="61"/>
      <c r="D296" s="61"/>
      <c r="E296" s="1065"/>
      <c r="F296" s="945">
        <v>200000000</v>
      </c>
      <c r="G296" s="453"/>
      <c r="H296" s="453"/>
      <c r="I296" s="453"/>
      <c r="J296" s="453"/>
      <c r="K296" s="453"/>
      <c r="L296" s="1333"/>
      <c r="M296" s="453"/>
      <c r="N296" s="453"/>
      <c r="O296" s="453"/>
      <c r="Q296" s="45"/>
    </row>
    <row r="297" spans="2:17" x14ac:dyDescent="0.25">
      <c r="B297" s="353" t="s">
        <v>1162</v>
      </c>
      <c r="C297" s="61"/>
      <c r="D297" s="61"/>
      <c r="E297" s="1065"/>
      <c r="F297" s="945">
        <v>211000000</v>
      </c>
      <c r="G297" s="453"/>
      <c r="H297" s="453"/>
      <c r="I297" s="453"/>
      <c r="J297" s="453"/>
      <c r="K297" s="453"/>
      <c r="L297" s="1333"/>
      <c r="M297" s="453"/>
      <c r="N297" s="453"/>
      <c r="O297" s="453"/>
      <c r="Q297" s="45"/>
    </row>
    <row r="298" spans="2:17" x14ac:dyDescent="0.25">
      <c r="B298" s="353" t="s">
        <v>1163</v>
      </c>
      <c r="C298" s="61"/>
      <c r="D298" s="61"/>
      <c r="E298" s="1065"/>
      <c r="F298" s="945">
        <v>303000000</v>
      </c>
      <c r="G298" s="453"/>
      <c r="H298" s="453"/>
      <c r="I298" s="453"/>
      <c r="J298" s="453"/>
      <c r="K298" s="453"/>
      <c r="L298" s="1333"/>
      <c r="M298" s="453"/>
      <c r="N298" s="453"/>
      <c r="O298" s="453"/>
      <c r="Q298" s="45"/>
    </row>
    <row r="299" spans="2:17" ht="13" x14ac:dyDescent="0.3">
      <c r="B299" s="353" t="s">
        <v>1164</v>
      </c>
      <c r="C299" s="61"/>
      <c r="D299" s="61"/>
      <c r="E299" s="1065"/>
      <c r="F299" s="945">
        <v>315000000</v>
      </c>
      <c r="G299" s="1330"/>
      <c r="H299" s="453"/>
      <c r="I299" s="453"/>
      <c r="J299" s="453"/>
      <c r="K299" s="453"/>
      <c r="L299" s="1333"/>
      <c r="M299" s="453"/>
      <c r="N299" s="453"/>
      <c r="O299" s="453"/>
      <c r="Q299" s="45"/>
    </row>
    <row r="300" spans="2:17" x14ac:dyDescent="0.25">
      <c r="B300" s="353" t="s">
        <v>1165</v>
      </c>
      <c r="C300" s="61"/>
      <c r="D300" s="61"/>
      <c r="E300" s="1065"/>
      <c r="F300" s="945">
        <v>72500000</v>
      </c>
      <c r="G300" s="453"/>
      <c r="H300" s="453"/>
      <c r="I300" s="453"/>
      <c r="J300" s="453"/>
      <c r="K300" s="453"/>
      <c r="L300" s="1333"/>
      <c r="M300" s="453"/>
      <c r="N300" s="453"/>
      <c r="O300" s="453"/>
      <c r="Q300" s="45"/>
    </row>
    <row r="301" spans="2:17" x14ac:dyDescent="0.25">
      <c r="B301" s="353" t="s">
        <v>1166</v>
      </c>
      <c r="C301" s="61"/>
      <c r="D301" s="61"/>
      <c r="E301" s="1065"/>
      <c r="F301" s="945">
        <v>49100000</v>
      </c>
      <c r="G301" s="453"/>
      <c r="H301" s="453"/>
      <c r="I301" s="453"/>
      <c r="J301" s="453"/>
      <c r="K301" s="453"/>
      <c r="L301" s="1333"/>
      <c r="M301" s="453"/>
      <c r="N301" s="453"/>
      <c r="O301" s="453"/>
      <c r="Q301" s="45"/>
    </row>
    <row r="302" spans="2:17" x14ac:dyDescent="0.25">
      <c r="B302" s="353" t="s">
        <v>1167</v>
      </c>
      <c r="C302" s="61"/>
      <c r="D302" s="61"/>
      <c r="E302" s="1065"/>
      <c r="F302" s="945">
        <v>24200000</v>
      </c>
      <c r="G302" s="453"/>
      <c r="H302" s="453"/>
      <c r="I302" s="453"/>
      <c r="J302" s="453"/>
      <c r="K302" s="453"/>
      <c r="L302" s="1333"/>
      <c r="M302" s="453"/>
      <c r="N302" s="453"/>
      <c r="O302" s="453"/>
      <c r="Q302" s="45"/>
    </row>
    <row r="303" spans="2:17" x14ac:dyDescent="0.25">
      <c r="B303" s="353" t="s">
        <v>1168</v>
      </c>
      <c r="C303" s="61"/>
      <c r="D303" s="61"/>
      <c r="E303" s="1065"/>
      <c r="F303" s="945">
        <v>40100000</v>
      </c>
      <c r="G303" s="453"/>
      <c r="H303" s="453"/>
      <c r="I303" s="453"/>
      <c r="J303" s="453"/>
      <c r="K303" s="453"/>
      <c r="L303" s="1333"/>
      <c r="M303" s="453"/>
      <c r="N303" s="453"/>
      <c r="O303" s="453"/>
      <c r="Q303" s="45"/>
    </row>
    <row r="304" spans="2:17" x14ac:dyDescent="0.25">
      <c r="B304" s="353"/>
      <c r="C304" s="353"/>
      <c r="D304" s="353"/>
      <c r="E304" s="353"/>
      <c r="F304" s="731"/>
      <c r="G304" s="944"/>
      <c r="I304" s="45"/>
      <c r="J304" s="45"/>
      <c r="K304" s="45"/>
      <c r="L304" s="45"/>
      <c r="M304" s="90"/>
      <c r="N304" s="730"/>
      <c r="O304" s="45"/>
      <c r="P304" s="45"/>
      <c r="Q304" s="45"/>
    </row>
    <row r="305" spans="4:17" x14ac:dyDescent="0.25">
      <c r="F305" s="353"/>
      <c r="J305" s="45"/>
      <c r="K305" s="45"/>
      <c r="L305" s="45"/>
      <c r="M305" s="90"/>
      <c r="N305" s="171"/>
      <c r="O305" s="45"/>
      <c r="P305" s="45"/>
      <c r="Q305" s="45"/>
    </row>
    <row r="306" spans="4:17" x14ac:dyDescent="0.25">
      <c r="F306" s="353"/>
      <c r="J306" s="45"/>
      <c r="K306" s="45"/>
      <c r="L306" s="45"/>
      <c r="M306" s="90"/>
      <c r="N306" s="1326"/>
      <c r="O306" s="45"/>
      <c r="P306" s="45"/>
      <c r="Q306" s="45"/>
    </row>
    <row r="307" spans="4:17" x14ac:dyDescent="0.25">
      <c r="F307" s="353"/>
      <c r="J307" s="45"/>
      <c r="K307" s="45"/>
      <c r="L307" s="45"/>
      <c r="M307" s="45"/>
      <c r="N307" s="171"/>
      <c r="O307" s="45"/>
      <c r="P307" s="45"/>
      <c r="Q307" s="45"/>
    </row>
    <row r="308" spans="4:17" x14ac:dyDescent="0.25">
      <c r="D308" s="159"/>
      <c r="E308" s="149"/>
      <c r="F308" s="353"/>
      <c r="J308" s="45"/>
      <c r="K308" s="45"/>
      <c r="L308" s="45"/>
      <c r="M308" s="45"/>
      <c r="N308" s="171"/>
      <c r="O308" s="45"/>
      <c r="P308" s="45"/>
      <c r="Q308" s="45"/>
    </row>
    <row r="309" spans="4:17" x14ac:dyDescent="0.25">
      <c r="H309" s="353"/>
      <c r="J309" s="45"/>
      <c r="K309" s="45"/>
      <c r="L309" s="45"/>
      <c r="M309" s="45"/>
      <c r="N309" s="171"/>
      <c r="O309" s="45"/>
      <c r="P309" s="45"/>
      <c r="Q309" s="45"/>
    </row>
    <row r="310" spans="4:17" x14ac:dyDescent="0.25">
      <c r="J310" s="45"/>
      <c r="K310" s="45"/>
      <c r="L310" s="45"/>
      <c r="M310" s="45"/>
      <c r="N310" s="171"/>
      <c r="O310" s="45"/>
      <c r="P310" s="45"/>
      <c r="Q310" s="45"/>
    </row>
    <row r="311" spans="4:17" x14ac:dyDescent="0.25">
      <c r="J311" s="45"/>
      <c r="K311" s="45"/>
      <c r="L311" s="45"/>
      <c r="M311" s="45"/>
      <c r="N311" s="1326"/>
      <c r="O311" s="45"/>
      <c r="P311" s="45"/>
      <c r="Q311" s="45"/>
    </row>
    <row r="312" spans="4:17" x14ac:dyDescent="0.25">
      <c r="J312" s="45"/>
      <c r="K312" s="45"/>
      <c r="L312" s="45"/>
      <c r="M312" s="45"/>
      <c r="N312" s="171"/>
      <c r="O312" s="45"/>
      <c r="P312" s="45"/>
      <c r="Q312" s="45"/>
    </row>
    <row r="313" spans="4:17" x14ac:dyDescent="0.25">
      <c r="H313" s="48"/>
      <c r="J313" s="45"/>
      <c r="K313" s="45"/>
      <c r="L313" s="45"/>
      <c r="M313" s="45"/>
      <c r="N313" s="45"/>
      <c r="O313" s="45"/>
      <c r="P313" s="45"/>
      <c r="Q313" s="45"/>
    </row>
    <row r="314" spans="4:17" x14ac:dyDescent="0.25">
      <c r="F314" s="353"/>
      <c r="H314" s="48"/>
      <c r="J314" s="45"/>
      <c r="K314" s="45"/>
      <c r="L314" s="45"/>
      <c r="M314" s="45"/>
      <c r="N314" s="45"/>
      <c r="O314" s="45"/>
      <c r="P314" s="45"/>
      <c r="Q314" s="45"/>
    </row>
    <row r="315" spans="4:17" x14ac:dyDescent="0.25">
      <c r="F315" s="353"/>
      <c r="H315" s="48"/>
      <c r="J315" s="45"/>
      <c r="K315" s="45"/>
      <c r="L315" s="45"/>
      <c r="M315" s="45"/>
      <c r="N315" s="45"/>
      <c r="O315" s="45"/>
      <c r="P315" s="45"/>
      <c r="Q315" s="45"/>
    </row>
    <row r="316" spans="4:17" x14ac:dyDescent="0.25">
      <c r="H316" s="48"/>
    </row>
    <row r="317" spans="4:17" x14ac:dyDescent="0.25">
      <c r="H317" s="48"/>
    </row>
    <row r="318" spans="4:17" x14ac:dyDescent="0.25">
      <c r="H318" s="48"/>
    </row>
    <row r="319" spans="4:17" x14ac:dyDescent="0.25">
      <c r="H319" s="48"/>
    </row>
    <row r="320" spans="4:17" x14ac:dyDescent="0.25">
      <c r="H320" s="48"/>
    </row>
    <row r="321" spans="5:8" x14ac:dyDescent="0.25">
      <c r="H321" s="48"/>
    </row>
    <row r="322" spans="5:8" x14ac:dyDescent="0.25">
      <c r="H322" s="48"/>
    </row>
    <row r="323" spans="5:8" x14ac:dyDescent="0.25">
      <c r="H323" s="48"/>
    </row>
    <row r="324" spans="5:8" x14ac:dyDescent="0.25">
      <c r="H324" s="48"/>
    </row>
    <row r="325" spans="5:8" x14ac:dyDescent="0.25">
      <c r="H325" s="48"/>
    </row>
    <row r="326" spans="5:8" x14ac:dyDescent="0.25">
      <c r="E326" s="149"/>
    </row>
    <row r="327" spans="5:8" x14ac:dyDescent="0.25">
      <c r="E327" s="149"/>
    </row>
    <row r="368" spans="7:7" x14ac:dyDescent="0.25">
      <c r="G368" s="41"/>
    </row>
  </sheetData>
  <mergeCells count="14">
    <mergeCell ref="B77:M77"/>
    <mergeCell ref="B119:M119"/>
    <mergeCell ref="F42:G42"/>
    <mergeCell ref="B2:M2"/>
    <mergeCell ref="B3:M3"/>
    <mergeCell ref="B4:E4"/>
    <mergeCell ref="G4:M4"/>
    <mergeCell ref="B5:E5"/>
    <mergeCell ref="G5:M5"/>
    <mergeCell ref="B1:M1"/>
    <mergeCell ref="B21:M21"/>
    <mergeCell ref="B7:M7"/>
    <mergeCell ref="B41:M41"/>
    <mergeCell ref="N1:O1"/>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X592"/>
  <sheetViews>
    <sheetView workbookViewId="0">
      <pane ySplit="6" topLeftCell="A384" activePane="bottomLeft" state="frozen"/>
      <selection pane="bottomLeft"/>
    </sheetView>
  </sheetViews>
  <sheetFormatPr defaultColWidth="8.54296875" defaultRowHeight="13" x14ac:dyDescent="0.3"/>
  <cols>
    <col min="1" max="1" width="2.453125" style="130" bestFit="1" customWidth="1"/>
    <col min="2" max="2" width="5" customWidth="1"/>
    <col min="3" max="3" width="45.453125" customWidth="1"/>
    <col min="4" max="4" width="6.453125" customWidth="1"/>
    <col min="5" max="5" width="11.54296875" customWidth="1"/>
    <col min="6" max="6" width="15" customWidth="1"/>
    <col min="7" max="7" width="13.453125" customWidth="1"/>
    <col min="8" max="8" width="13.54296875" customWidth="1"/>
    <col min="9" max="9" width="11.54296875" customWidth="1"/>
    <col min="10" max="11" width="14.453125" customWidth="1"/>
    <col min="12" max="12" width="12.54296875" customWidth="1"/>
    <col min="13" max="13" width="14" customWidth="1"/>
    <col min="14" max="14" width="12.54296875" hidden="1" customWidth="1"/>
    <col min="15" max="15" width="20.453125" customWidth="1"/>
    <col min="16" max="16" width="18.453125" bestFit="1" customWidth="1"/>
    <col min="17" max="17" width="24.54296875" bestFit="1" customWidth="1"/>
    <col min="18" max="18" width="16.54296875" bestFit="1" customWidth="1"/>
    <col min="19" max="19" width="11.54296875" bestFit="1" customWidth="1"/>
    <col min="20" max="21" width="14.453125" bestFit="1" customWidth="1"/>
    <col min="22" max="22" width="16.54296875" bestFit="1" customWidth="1"/>
    <col min="23" max="24" width="10.453125" customWidth="1"/>
  </cols>
  <sheetData>
    <row r="1" spans="1:19" ht="18.5" thickBot="1" x14ac:dyDescent="0.45">
      <c r="B1" s="1490" t="s">
        <v>1169</v>
      </c>
      <c r="C1" s="1491"/>
      <c r="D1" s="1491"/>
      <c r="E1" s="1491"/>
      <c r="F1" s="1491"/>
      <c r="G1" s="1491"/>
      <c r="H1" s="1491"/>
      <c r="I1" s="1491"/>
      <c r="J1" s="1491"/>
      <c r="K1" s="1491"/>
      <c r="L1" s="1491"/>
      <c r="M1" s="1494"/>
      <c r="O1" s="1419" t="s">
        <v>6</v>
      </c>
      <c r="P1" s="1420"/>
    </row>
    <row r="2" spans="1:19" ht="16" thickBot="1" x14ac:dyDescent="0.4">
      <c r="B2" s="1424" t="str">
        <f>Dashboard!$D$33&amp;" with "&amp;Dashboard!$D$13&amp;" Electrodes"</f>
        <v>EV with NMC811-G (Energy) Electrodes</v>
      </c>
      <c r="C2" s="1425"/>
      <c r="D2" s="1425"/>
      <c r="E2" s="1425"/>
      <c r="F2" s="1425"/>
      <c r="G2" s="1425"/>
      <c r="H2" s="1425"/>
      <c r="I2" s="1425"/>
      <c r="J2" s="1425"/>
      <c r="K2" s="1425"/>
      <c r="L2" s="1425"/>
      <c r="M2" s="1426"/>
      <c r="O2" s="1241" t="s">
        <v>5</v>
      </c>
      <c r="P2" s="1242" t="s">
        <v>7</v>
      </c>
    </row>
    <row r="3" spans="1:19" ht="15.5" x14ac:dyDescent="0.35">
      <c r="A3" s="1380"/>
      <c r="B3" s="1492" t="s">
        <v>122</v>
      </c>
      <c r="C3" s="1493"/>
      <c r="D3" s="1493"/>
      <c r="E3" s="1493"/>
      <c r="F3" s="1493"/>
      <c r="G3" s="1493"/>
      <c r="H3" s="1493"/>
      <c r="I3" s="1493"/>
      <c r="J3" s="1493"/>
      <c r="K3" s="1493"/>
      <c r="L3" s="1493"/>
      <c r="M3" s="1502"/>
      <c r="N3" s="679"/>
      <c r="O3" s="1243" t="s">
        <v>12</v>
      </c>
      <c r="P3" s="1242" t="s">
        <v>13</v>
      </c>
    </row>
    <row r="4" spans="1:19" ht="15.5" x14ac:dyDescent="0.35">
      <c r="A4" s="1380"/>
      <c r="B4" s="1447" t="s">
        <v>282</v>
      </c>
      <c r="C4" s="1468"/>
      <c r="D4" s="1468"/>
      <c r="E4" s="1469"/>
      <c r="F4" s="245"/>
      <c r="G4" s="1448" t="s">
        <v>9</v>
      </c>
      <c r="H4" s="1473"/>
      <c r="I4" s="1473"/>
      <c r="J4" s="1473"/>
      <c r="K4" s="1473"/>
      <c r="L4" s="1473"/>
      <c r="M4" s="1474"/>
      <c r="N4" s="679"/>
      <c r="O4" s="1240" t="s">
        <v>14</v>
      </c>
      <c r="P4" s="1242" t="s">
        <v>15</v>
      </c>
    </row>
    <row r="5" spans="1:19" ht="16" thickBot="1" x14ac:dyDescent="0.4">
      <c r="A5" s="1380"/>
      <c r="B5" s="1450" t="s">
        <v>10</v>
      </c>
      <c r="C5" s="1488"/>
      <c r="D5" s="1488"/>
      <c r="E5" s="1489"/>
      <c r="F5" s="254"/>
      <c r="G5" s="1451" t="s">
        <v>11</v>
      </c>
      <c r="H5" s="1475"/>
      <c r="I5" s="1475"/>
      <c r="J5" s="1475"/>
      <c r="K5" s="1475"/>
      <c r="L5" s="1475"/>
      <c r="M5" s="1476"/>
      <c r="N5" s="679"/>
      <c r="O5" s="1240" t="s">
        <v>17</v>
      </c>
      <c r="P5" s="1246" t="s">
        <v>18</v>
      </c>
    </row>
    <row r="6" spans="1:19" ht="16" thickBot="1" x14ac:dyDescent="0.4">
      <c r="G6" s="443" t="s">
        <v>50</v>
      </c>
      <c r="H6" s="443" t="s">
        <v>51</v>
      </c>
      <c r="I6" s="443" t="s">
        <v>52</v>
      </c>
      <c r="J6" s="443" t="s">
        <v>53</v>
      </c>
      <c r="K6" s="443" t="s">
        <v>54</v>
      </c>
      <c r="L6" s="443" t="s">
        <v>55</v>
      </c>
      <c r="M6" s="443" t="s">
        <v>56</v>
      </c>
      <c r="O6" s="1244" t="s">
        <v>22</v>
      </c>
      <c r="P6" s="1245" t="s">
        <v>23</v>
      </c>
    </row>
    <row r="7" spans="1:19" ht="15.5" x14ac:dyDescent="0.35">
      <c r="B7" s="78" t="s">
        <v>1170</v>
      </c>
      <c r="C7" s="36"/>
      <c r="D7" s="36"/>
      <c r="E7" s="28"/>
      <c r="F7" s="28"/>
      <c r="G7" s="190"/>
      <c r="H7" s="190"/>
      <c r="I7" s="190"/>
      <c r="J7" s="190"/>
      <c r="K7" s="200"/>
      <c r="L7" s="190"/>
      <c r="R7" s="9"/>
    </row>
    <row r="8" spans="1:19" ht="13.4" customHeight="1" x14ac:dyDescent="0.4">
      <c r="B8" s="78"/>
      <c r="C8" s="61" t="s">
        <v>1156</v>
      </c>
      <c r="D8" s="61"/>
      <c r="E8" s="28"/>
      <c r="F8" s="28"/>
      <c r="G8" s="151">
        <f ca="1">G9*'Battery Design'!G355</f>
        <v>49999999.999999985</v>
      </c>
      <c r="H8" s="151">
        <f ca="1">H9*'Battery Design'!H355</f>
        <v>49999999.999999985</v>
      </c>
      <c r="I8" s="151">
        <f ca="1">I9*'Battery Design'!I355</f>
        <v>49999999.999999978</v>
      </c>
      <c r="J8" s="151">
        <f ca="1">J9*'Battery Design'!J355</f>
        <v>49999999.999999978</v>
      </c>
      <c r="K8" s="151">
        <f ca="1">K9*'Battery Design'!K355</f>
        <v>49999999.999999978</v>
      </c>
      <c r="L8" s="151">
        <f ca="1">L9*'Battery Design'!L355</f>
        <v>49999999.999999978</v>
      </c>
      <c r="M8" s="151">
        <f ca="1">M9*'Battery Design'!M355</f>
        <v>50000000.000000238</v>
      </c>
      <c r="N8" s="539"/>
      <c r="O8" s="540"/>
      <c r="P8" s="541"/>
      <c r="Q8" s="542"/>
      <c r="R8" s="542"/>
      <c r="S8" s="542"/>
    </row>
    <row r="9" spans="1:19" ht="13.4" customHeight="1" x14ac:dyDescent="0.4">
      <c r="B9" s="325" t="str">
        <f>$B$7 &amp; ": " &amp; C9</f>
        <v>Annual Processing Rates: Number of battery packs manufactured per year</v>
      </c>
      <c r="C9" s="9" t="s">
        <v>1157</v>
      </c>
      <c r="D9" s="9"/>
      <c r="E9" s="28"/>
      <c r="F9" s="190"/>
      <c r="G9" s="151">
        <f>Dashboard!D105</f>
        <v>500000</v>
      </c>
      <c r="H9" s="151">
        <f>Dashboard!E105</f>
        <v>500000</v>
      </c>
      <c r="I9" s="151">
        <f>Dashboard!F105</f>
        <v>500000</v>
      </c>
      <c r="J9" s="151">
        <f>Dashboard!G105</f>
        <v>500000</v>
      </c>
      <c r="K9" s="151">
        <f>Dashboard!H105</f>
        <v>500000</v>
      </c>
      <c r="L9" s="151">
        <f>Dashboard!I105</f>
        <v>500000</v>
      </c>
      <c r="M9" s="151">
        <f>Dashboard!J105</f>
        <v>500000</v>
      </c>
      <c r="N9" s="539"/>
      <c r="O9" s="540"/>
      <c r="P9" s="541"/>
      <c r="Q9" s="543"/>
      <c r="R9" s="560"/>
      <c r="S9" s="543"/>
    </row>
    <row r="10" spans="1:19" ht="13.4" customHeight="1" x14ac:dyDescent="0.4">
      <c r="B10" s="325"/>
      <c r="C10" s="9" t="s">
        <v>1158</v>
      </c>
      <c r="D10" s="9"/>
      <c r="E10" s="28"/>
      <c r="F10" s="190"/>
      <c r="G10" s="151">
        <f>'Battery Design'!G28*'Battery Design'!G12*Dashboard!D105</f>
        <v>2000000</v>
      </c>
      <c r="H10" s="151">
        <f>'Battery Design'!H28*'Battery Design'!H12*Dashboard!E105</f>
        <v>2000000</v>
      </c>
      <c r="I10" s="151">
        <f>'Battery Design'!I28*'Battery Design'!I12*Dashboard!F105</f>
        <v>2000000</v>
      </c>
      <c r="J10" s="151">
        <f>'Battery Design'!J28*'Battery Design'!J12*Dashboard!G105</f>
        <v>2000000</v>
      </c>
      <c r="K10" s="151">
        <f>'Battery Design'!K28*'Battery Design'!K12*Dashboard!H105</f>
        <v>2000000</v>
      </c>
      <c r="L10" s="151">
        <f>'Battery Design'!L28*'Battery Design'!L12*Dashboard!I105</f>
        <v>2000000</v>
      </c>
      <c r="M10" s="151">
        <f>'Battery Design'!M28*'Battery Design'!M12*Dashboard!J105</f>
        <v>2000000</v>
      </c>
      <c r="N10" s="539"/>
      <c r="O10" s="540"/>
      <c r="P10" s="541"/>
      <c r="Q10" s="544"/>
      <c r="R10" s="561"/>
      <c r="S10" s="544"/>
    </row>
    <row r="11" spans="1:19" ht="13.4" customHeight="1" x14ac:dyDescent="0.4">
      <c r="B11" s="325" t="str">
        <f>$B$7 &amp; ": " &amp; C8</f>
        <v>Annual Processing Rates: Energy, kWh per year</v>
      </c>
      <c r="C11" s="61" t="s">
        <v>1159</v>
      </c>
      <c r="G11" s="151">
        <f>'Battery Design'!G29*G9</f>
        <v>10000000</v>
      </c>
      <c r="H11" s="151">
        <f>'Battery Design'!H29*H9</f>
        <v>10000000</v>
      </c>
      <c r="I11" s="151">
        <f>'Battery Design'!I29*I9</f>
        <v>10000000</v>
      </c>
      <c r="J11" s="151">
        <f>'Battery Design'!J29*J9</f>
        <v>10000000</v>
      </c>
      <c r="K11" s="151">
        <f>'Battery Design'!K29*K9</f>
        <v>10000000</v>
      </c>
      <c r="L11" s="151">
        <f>'Battery Design'!L29*L9</f>
        <v>10000000</v>
      </c>
      <c r="M11" s="151">
        <f>'Battery Design'!M29*M9</f>
        <v>10000000</v>
      </c>
      <c r="N11" s="539"/>
      <c r="O11" s="540"/>
      <c r="P11" s="541"/>
      <c r="Q11" s="544"/>
      <c r="R11" s="561"/>
      <c r="S11" s="544"/>
    </row>
    <row r="12" spans="1:19" ht="13.4" customHeight="1" x14ac:dyDescent="0.4">
      <c r="B12" s="325"/>
      <c r="C12" s="61" t="s">
        <v>1160</v>
      </c>
      <c r="D12" s="61"/>
      <c r="E12" s="28"/>
      <c r="F12" s="28"/>
      <c r="G12" s="151">
        <f>G9*'Battery Design'!G29*'Battery Design'!G162</f>
        <v>270000000</v>
      </c>
      <c r="H12" s="151">
        <f>H9*'Battery Design'!H29*'Battery Design'!H162</f>
        <v>270000000</v>
      </c>
      <c r="I12" s="151">
        <f>I9*'Battery Design'!I29*'Battery Design'!I162</f>
        <v>270000000</v>
      </c>
      <c r="J12" s="151">
        <f>J9*'Battery Design'!J29*'Battery Design'!J162</f>
        <v>270000000</v>
      </c>
      <c r="K12" s="151">
        <f>K9*'Battery Design'!K29*'Battery Design'!K162</f>
        <v>270000000</v>
      </c>
      <c r="L12" s="151">
        <f>L9*'Battery Design'!L29*'Battery Design'!L162</f>
        <v>270000000</v>
      </c>
      <c r="M12" s="151">
        <f>M9*'Battery Design'!M29*'Battery Design'!M162</f>
        <v>270000000</v>
      </c>
      <c r="N12" s="539"/>
      <c r="O12" s="540"/>
      <c r="P12" s="541"/>
      <c r="Q12" s="544"/>
      <c r="R12" s="561"/>
      <c r="S12" s="544"/>
    </row>
    <row r="13" spans="1:19" ht="13.4" customHeight="1" x14ac:dyDescent="0.4">
      <c r="B13" s="325" t="str">
        <f t="shared" ref="B13:B19" si="0">$B$7 &amp; ": " &amp; C13</f>
        <v>Annual Processing Rates: Number of accepted cells per year</v>
      </c>
      <c r="C13" s="9" t="s">
        <v>1161</v>
      </c>
      <c r="D13" s="9"/>
      <c r="E13" s="28"/>
      <c r="F13" s="28"/>
      <c r="G13" s="151">
        <f>G9*'Battery Design'!G31</f>
        <v>200000000</v>
      </c>
      <c r="H13" s="151">
        <f>H9*'Battery Design'!H31</f>
        <v>200000000</v>
      </c>
      <c r="I13" s="151">
        <f>I9*'Battery Design'!I31</f>
        <v>200000000</v>
      </c>
      <c r="J13" s="151">
        <f>J9*'Battery Design'!J31</f>
        <v>200000000</v>
      </c>
      <c r="K13" s="151">
        <f>K9*'Battery Design'!K31</f>
        <v>200000000</v>
      </c>
      <c r="L13" s="151">
        <f>L9*'Battery Design'!L31</f>
        <v>200000000</v>
      </c>
      <c r="M13" s="151">
        <f>M9*'Battery Design'!M31</f>
        <v>200000000</v>
      </c>
      <c r="N13" s="539"/>
      <c r="O13" s="540"/>
      <c r="P13" s="541"/>
      <c r="Q13" s="544"/>
      <c r="R13" s="561"/>
      <c r="S13" s="544"/>
    </row>
    <row r="14" spans="1:19" ht="13.4" customHeight="1" x14ac:dyDescent="0.4">
      <c r="B14" s="325" t="str">
        <f t="shared" si="0"/>
        <v>Annual Processing Rates: Number of cells adjusted for yield</v>
      </c>
      <c r="C14" s="61" t="s">
        <v>1162</v>
      </c>
      <c r="D14" s="61"/>
      <c r="E14" s="28"/>
      <c r="F14" s="28"/>
      <c r="G14" s="151">
        <f>G13/Dashboard!$D112*100</f>
        <v>210526315.78947365</v>
      </c>
      <c r="H14" s="151">
        <f>H13/Dashboard!$D112*100</f>
        <v>210526315.78947365</v>
      </c>
      <c r="I14" s="151">
        <f>I13/Dashboard!$D112*100</f>
        <v>210526315.78947365</v>
      </c>
      <c r="J14" s="151">
        <f>J13/Dashboard!$D112*100</f>
        <v>210526315.78947365</v>
      </c>
      <c r="K14" s="151">
        <f>K13/Dashboard!$D112*100</f>
        <v>210526315.78947365</v>
      </c>
      <c r="L14" s="151">
        <f>L13/Dashboard!$D112*100</f>
        <v>210526315.78947365</v>
      </c>
      <c r="M14" s="151">
        <f>M13/Dashboard!$D112*100</f>
        <v>210526315.78947365</v>
      </c>
      <c r="N14" s="539"/>
      <c r="O14" s="540"/>
      <c r="P14" s="541"/>
      <c r="Q14" s="544"/>
      <c r="R14" s="561"/>
      <c r="S14" s="544"/>
    </row>
    <row r="15" spans="1:19" ht="13.4" customHeight="1" x14ac:dyDescent="0.4">
      <c r="B15" s="325" t="str">
        <f t="shared" si="0"/>
        <v>Annual Processing Rates: Positive electrode area, m² per year</v>
      </c>
      <c r="C15" s="353" t="s">
        <v>1163</v>
      </c>
      <c r="D15" s="353"/>
      <c r="E15" s="130"/>
      <c r="F15" s="130"/>
      <c r="G15" s="151">
        <f ca="1">G14*'Battery Design'!G287/10000</f>
        <v>177880267.51656792</v>
      </c>
      <c r="H15" s="151">
        <f ca="1">H14*'Battery Design'!H287/10000</f>
        <v>177880267.51656792</v>
      </c>
      <c r="I15" s="151">
        <f ca="1">I14*'Battery Design'!I287/10000</f>
        <v>196886090.65458605</v>
      </c>
      <c r="J15" s="151">
        <f ca="1">J14*'Battery Design'!J287/10000</f>
        <v>226816927.15997359</v>
      </c>
      <c r="K15" s="151">
        <f ca="1">K14*'Battery Design'!K287/10000</f>
        <v>275661620.97953063</v>
      </c>
      <c r="L15" s="151">
        <f ca="1">L14*'Battery Design'!L287/10000</f>
        <v>372228030.92214906</v>
      </c>
      <c r="M15" s="151">
        <f ca="1">M14*'Battery Design'!M287/10000</f>
        <v>697863520.06554961</v>
      </c>
      <c r="N15" s="539"/>
      <c r="O15" s="540"/>
      <c r="P15" s="541"/>
      <c r="Q15" s="544"/>
      <c r="R15" s="561"/>
      <c r="S15" s="544"/>
    </row>
    <row r="16" spans="1:19" ht="13.4" customHeight="1" x14ac:dyDescent="0.4">
      <c r="B16" s="325"/>
      <c r="C16" s="353" t="s">
        <v>1164</v>
      </c>
      <c r="D16" s="353"/>
      <c r="E16" s="130"/>
      <c r="F16" s="130"/>
      <c r="G16" s="151">
        <f ca="1">G14*'Battery Design'!G288/10000</f>
        <v>185083660.25522855</v>
      </c>
      <c r="H16" s="151">
        <f ca="1">H14*'Battery Design'!H288/10000</f>
        <v>185083660.25522855</v>
      </c>
      <c r="I16" s="151">
        <f ca="1">I14*'Battery Design'!I288/10000</f>
        <v>204811464.10649496</v>
      </c>
      <c r="J16" s="151">
        <f ca="1">J14*'Battery Design'!J288/10000</f>
        <v>235910815.97411397</v>
      </c>
      <c r="K16" s="151">
        <f ca="1">K14*'Battery Design'!K288/10000</f>
        <v>286529219.88907498</v>
      </c>
      <c r="L16" s="151">
        <f ca="1">L14*'Battery Design'!L288/10000</f>
        <v>386613044.34843636</v>
      </c>
      <c r="M16" s="151">
        <f ca="1">M14*'Battery Design'!M288/10000</f>
        <v>722942604.15079916</v>
      </c>
      <c r="N16" s="539"/>
      <c r="O16" s="540"/>
      <c r="P16" s="541"/>
      <c r="Q16" s="544"/>
      <c r="R16" s="561"/>
      <c r="S16" s="544"/>
    </row>
    <row r="17" spans="2:19" ht="13.4" customHeight="1" x14ac:dyDescent="0.4">
      <c r="B17" s="325" t="str">
        <f t="shared" si="0"/>
        <v>Annual Processing Rates: Positive active material, kg per year</v>
      </c>
      <c r="C17" s="61" t="s">
        <v>1165</v>
      </c>
      <c r="D17" s="61"/>
      <c r="E17" s="28"/>
      <c r="F17" s="28"/>
      <c r="G17" s="151">
        <f ca="1">'Battery Design'!G44*G13/1000/Dashboard!$D112*100/'Cost Input'!$G12*100</f>
        <v>72882881.153272435</v>
      </c>
      <c r="H17" s="151">
        <f ca="1">'Battery Design'!H44*H13/1000/Dashboard!$D112*100/'Cost Input'!$G12*100</f>
        <v>72882881.153272435</v>
      </c>
      <c r="I17" s="151">
        <f ca="1">'Battery Design'!I44*I13/1000/Dashboard!$D112*100/'Cost Input'!$G12*100</f>
        <v>72795942.630993098</v>
      </c>
      <c r="J17" s="151">
        <f ca="1">'Battery Design'!J44*J13/1000/Dashboard!$D112*100/'Cost Input'!$G12*100</f>
        <v>72688965.960780293</v>
      </c>
      <c r="K17" s="151">
        <f ca="1">'Battery Design'!K44*K13/1000/Dashboard!$D112*100/'Cost Input'!$G12*100</f>
        <v>72565353.734341666</v>
      </c>
      <c r="L17" s="151">
        <f ca="1">'Battery Design'!L44*L13/1000/Dashboard!$D112*100/'Cost Input'!$G12*100</f>
        <v>72417350.659354135</v>
      </c>
      <c r="M17" s="151">
        <f ca="1">'Battery Design'!M44*M13/1000/Dashboard!$D112*100/'Cost Input'!$G12*100</f>
        <v>72222179.569450095</v>
      </c>
      <c r="N17" s="539"/>
      <c r="O17" s="540"/>
      <c r="P17" s="541"/>
      <c r="Q17" s="544"/>
      <c r="S17" s="544"/>
    </row>
    <row r="18" spans="2:19" ht="13.4" customHeight="1" x14ac:dyDescent="0.4">
      <c r="B18" s="325" t="str">
        <f t="shared" si="0"/>
        <v>Annual Processing Rates: Negative active material, kg per year</v>
      </c>
      <c r="C18" s="61" t="s">
        <v>1166</v>
      </c>
      <c r="D18" s="61"/>
      <c r="E18" s="28"/>
      <c r="F18" s="28"/>
      <c r="G18" s="151">
        <f ca="1">'Battery Design'!G51*G13/1000/Dashboard!$D112*100/'Cost Input'!$G13*100</f>
        <v>49439604.675032727</v>
      </c>
      <c r="H18" s="151">
        <f ca="1">'Battery Design'!H51*H13/1000/Dashboard!$D112*100/'Cost Input'!$G13*100</f>
        <v>49439604.675032727</v>
      </c>
      <c r="I18" s="151">
        <f ca="1">'Battery Design'!I51*I13/1000/Dashboard!$D112*100/'Cost Input'!$G13*100</f>
        <v>49369138.829247355</v>
      </c>
      <c r="J18" s="151">
        <f ca="1">'Battery Design'!J51*J13/1000/Dashboard!$D112*100/'Cost Input'!$G13*100</f>
        <v>49289002.867522076</v>
      </c>
      <c r="K18" s="151">
        <f ca="1">'Battery Design'!K51*K13/1000/Dashboard!$D112*100/'Cost Input'!$G13*100</f>
        <v>49173495.31739977</v>
      </c>
      <c r="L18" s="151">
        <f ca="1">'Battery Design'!L51*L13/1000/Dashboard!$D112*100/'Cost Input'!$G13*100</f>
        <v>49036471.443071105</v>
      </c>
      <c r="M18" s="151">
        <f ca="1">'Battery Design'!M51*M13/1000/Dashboard!$D112*100/'Cost Input'!$G13*100</f>
        <v>48776772.969116844</v>
      </c>
      <c r="N18" s="539"/>
      <c r="O18" s="540"/>
      <c r="P18" s="541"/>
      <c r="Q18" s="544"/>
      <c r="S18" s="544"/>
    </row>
    <row r="19" spans="2:19" ht="13.4" customHeight="1" x14ac:dyDescent="0.4">
      <c r="B19" s="325" t="str">
        <f t="shared" si="0"/>
        <v>Annual Processing Rates: Positive binder solvent evaporated, kg per year</v>
      </c>
      <c r="C19" s="61" t="s">
        <v>1167</v>
      </c>
      <c r="D19" s="61"/>
      <c r="E19" s="28"/>
      <c r="F19" s="28"/>
      <c r="G19" s="151">
        <f t="shared" ref="G19:M20" ca="1" si="1">G88</f>
        <v>24294293.717757486</v>
      </c>
      <c r="H19" s="151">
        <f t="shared" ca="1" si="1"/>
        <v>24294293.717757486</v>
      </c>
      <c r="I19" s="151">
        <f t="shared" ca="1" si="1"/>
        <v>24265314.21033103</v>
      </c>
      <c r="J19" s="151">
        <f t="shared" ca="1" si="1"/>
        <v>24229655.320260104</v>
      </c>
      <c r="K19" s="151">
        <f t="shared" ca="1" si="1"/>
        <v>24188451.244780559</v>
      </c>
      <c r="L19" s="151">
        <f t="shared" ca="1" si="1"/>
        <v>24139116.886451386</v>
      </c>
      <c r="M19" s="151">
        <f t="shared" ca="1" si="1"/>
        <v>24074059.856483363</v>
      </c>
      <c r="N19" s="539"/>
      <c r="O19" s="540"/>
      <c r="P19" s="541"/>
      <c r="Q19" s="544"/>
      <c r="S19" s="544"/>
    </row>
    <row r="20" spans="2:19" ht="13.4" customHeight="1" x14ac:dyDescent="0.4">
      <c r="B20" s="325"/>
      <c r="C20" s="61" t="s">
        <v>1168</v>
      </c>
      <c r="D20" s="61"/>
      <c r="E20" s="28"/>
      <c r="F20" s="28"/>
      <c r="G20" s="151">
        <f t="shared" ca="1" si="1"/>
        <v>40358860.959210396</v>
      </c>
      <c r="H20" s="151">
        <f t="shared" ca="1" si="1"/>
        <v>40358860.959210396</v>
      </c>
      <c r="I20" s="151">
        <f t="shared" ca="1" si="1"/>
        <v>40301337.819793776</v>
      </c>
      <c r="J20" s="151">
        <f t="shared" ca="1" si="1"/>
        <v>40235920.708181299</v>
      </c>
      <c r="K20" s="151">
        <f t="shared" ca="1" si="1"/>
        <v>40141628.830530435</v>
      </c>
      <c r="L20" s="151">
        <f t="shared" ca="1" si="1"/>
        <v>40029772.606588654</v>
      </c>
      <c r="M20" s="151">
        <f t="shared" ca="1" si="1"/>
        <v>39817773.852340281</v>
      </c>
      <c r="N20" s="539"/>
      <c r="O20" s="540"/>
      <c r="P20" s="541"/>
      <c r="Q20" s="544"/>
      <c r="S20" s="544"/>
    </row>
    <row r="21" spans="2:19" ht="15.75" customHeight="1" x14ac:dyDescent="0.4">
      <c r="B21" s="325" t="str">
        <f>$B$7 &amp; ": " &amp; C21</f>
        <v>Annual Processing Rates: Dry room operating area, m2</v>
      </c>
      <c r="C21" s="1015" t="s">
        <v>1171</v>
      </c>
      <c r="D21" s="61"/>
      <c r="E21" s="28"/>
      <c r="F21" s="28"/>
      <c r="G21" s="151">
        <f t="shared" ref="G21:M21" ca="1" si="2">G292</f>
        <v>60869.897906122977</v>
      </c>
      <c r="H21" s="151">
        <f t="shared" ca="1" si="2"/>
        <v>60869.897906122977</v>
      </c>
      <c r="I21" s="151">
        <f t="shared" ca="1" si="2"/>
        <v>60869.897906122977</v>
      </c>
      <c r="J21" s="151">
        <f t="shared" ca="1" si="2"/>
        <v>60869.897906122977</v>
      </c>
      <c r="K21" s="151">
        <f t="shared" ca="1" si="2"/>
        <v>60869.897906122977</v>
      </c>
      <c r="L21" s="151">
        <f t="shared" ca="1" si="2"/>
        <v>74136.840362727118</v>
      </c>
      <c r="M21" s="151">
        <f t="shared" ca="1" si="2"/>
        <v>134523.71834744848</v>
      </c>
      <c r="N21" s="320"/>
      <c r="O21" s="320"/>
      <c r="P21" s="320"/>
      <c r="Q21" s="320"/>
      <c r="R21" s="320"/>
      <c r="S21" s="320"/>
    </row>
    <row r="22" spans="2:19" ht="15.75" customHeight="1" x14ac:dyDescent="0.4">
      <c r="B22" s="325"/>
      <c r="C22" s="1015"/>
      <c r="D22" s="61"/>
      <c r="E22" s="28"/>
      <c r="F22" s="28"/>
      <c r="G22" s="151"/>
      <c r="H22" s="151"/>
      <c r="I22" s="151"/>
      <c r="J22" s="151"/>
      <c r="K22" s="151"/>
      <c r="L22" s="151"/>
      <c r="M22" s="151"/>
      <c r="N22" s="320"/>
      <c r="O22" s="320"/>
      <c r="P22" s="320"/>
      <c r="Q22" s="320"/>
      <c r="R22" s="320"/>
      <c r="S22" s="320"/>
    </row>
    <row r="23" spans="2:19" ht="15.5" x14ac:dyDescent="0.35">
      <c r="B23" s="27" t="s">
        <v>1172</v>
      </c>
      <c r="C23" s="28"/>
      <c r="D23" s="28"/>
      <c r="E23" s="28"/>
      <c r="F23" s="28"/>
      <c r="G23" s="1380"/>
      <c r="H23" s="132"/>
    </row>
    <row r="24" spans="2:19" x14ac:dyDescent="0.3">
      <c r="C24" t="s">
        <v>153</v>
      </c>
      <c r="D24" s="130"/>
      <c r="E24" s="130"/>
      <c r="F24" s="130"/>
      <c r="G24" s="2">
        <f>'Battery Design'!G31</f>
        <v>400</v>
      </c>
      <c r="H24" s="2">
        <f>'Battery Design'!H31</f>
        <v>400</v>
      </c>
      <c r="I24" s="2">
        <f>'Battery Design'!I31</f>
        <v>400</v>
      </c>
      <c r="J24" s="2">
        <f>'Battery Design'!J31</f>
        <v>400</v>
      </c>
      <c r="K24" s="2">
        <f>'Battery Design'!K31</f>
        <v>400</v>
      </c>
      <c r="L24" s="2">
        <f>'Battery Design'!L31</f>
        <v>400</v>
      </c>
      <c r="M24" s="2">
        <f>'Battery Design'!M31</f>
        <v>400</v>
      </c>
    </row>
    <row r="25" spans="2:19" x14ac:dyDescent="0.3">
      <c r="C25" t="s">
        <v>154</v>
      </c>
      <c r="D25" s="130"/>
      <c r="E25" s="130"/>
      <c r="F25" s="130"/>
      <c r="G25" s="2">
        <f>'Battery Design'!G29</f>
        <v>20</v>
      </c>
      <c r="H25" s="2">
        <f>'Battery Design'!H29</f>
        <v>20</v>
      </c>
      <c r="I25" s="2">
        <f>'Battery Design'!I29</f>
        <v>20</v>
      </c>
      <c r="J25" s="2">
        <f>'Battery Design'!J29</f>
        <v>20</v>
      </c>
      <c r="K25" s="2">
        <f>'Battery Design'!K29</f>
        <v>20</v>
      </c>
      <c r="L25" s="2">
        <f>'Battery Design'!L29</f>
        <v>20</v>
      </c>
      <c r="M25" s="2">
        <f>'Battery Design'!M29</f>
        <v>20</v>
      </c>
    </row>
    <row r="26" spans="2:19" x14ac:dyDescent="0.3">
      <c r="C26" s="353" t="s">
        <v>1173</v>
      </c>
      <c r="D26" s="353"/>
      <c r="E26" s="353"/>
      <c r="F26" s="210"/>
      <c r="G26" s="87">
        <f>'Battery Design'!G$12</f>
        <v>1</v>
      </c>
      <c r="H26" s="87">
        <f>'Battery Design'!H$12</f>
        <v>1</v>
      </c>
      <c r="I26" s="87">
        <f>'Battery Design'!I$12</f>
        <v>1</v>
      </c>
      <c r="J26" s="87">
        <f>'Battery Design'!J$12</f>
        <v>1</v>
      </c>
      <c r="K26" s="87">
        <f>'Battery Design'!K$12</f>
        <v>1</v>
      </c>
      <c r="L26" s="87">
        <f>'Battery Design'!L$12</f>
        <v>1</v>
      </c>
      <c r="M26" s="87">
        <f>'Battery Design'!M$12</f>
        <v>1</v>
      </c>
    </row>
    <row r="27" spans="2:19" ht="20.5" thickBot="1" x14ac:dyDescent="0.45">
      <c r="B27" s="325"/>
      <c r="C27" s="61"/>
      <c r="D27" s="61"/>
      <c r="E27" s="28"/>
      <c r="F27" s="28"/>
      <c r="G27" s="151"/>
      <c r="H27" s="151"/>
      <c r="I27" s="151"/>
      <c r="J27" s="151"/>
      <c r="K27" s="151"/>
      <c r="L27" s="151"/>
      <c r="M27" s="151"/>
      <c r="N27" s="320"/>
      <c r="O27" s="320"/>
      <c r="P27" s="320"/>
      <c r="Q27" s="320"/>
      <c r="R27" s="320"/>
      <c r="S27" s="320"/>
    </row>
    <row r="28" spans="2:19" ht="20.5" thickBot="1" x14ac:dyDescent="0.45">
      <c r="B28" s="1453" t="s">
        <v>1174</v>
      </c>
      <c r="C28" s="1454"/>
      <c r="D28" s="1454"/>
      <c r="E28" s="1454"/>
      <c r="F28" s="1454"/>
      <c r="G28" s="1454"/>
      <c r="H28" s="1454"/>
      <c r="I28" s="1454"/>
      <c r="J28" s="1454"/>
      <c r="K28" s="1454"/>
      <c r="L28" s="1454"/>
      <c r="M28" s="1455"/>
      <c r="N28" s="320"/>
      <c r="O28" s="320"/>
      <c r="P28" s="320"/>
      <c r="Q28" s="320"/>
      <c r="R28" s="320"/>
      <c r="S28" s="320"/>
    </row>
    <row r="29" spans="2:19" ht="20" x14ac:dyDescent="0.4">
      <c r="B29" s="325"/>
      <c r="C29" s="61"/>
      <c r="D29" s="61"/>
      <c r="E29" s="28"/>
      <c r="F29" s="28"/>
      <c r="G29" s="151"/>
      <c r="H29" s="151"/>
      <c r="I29" s="151"/>
      <c r="J29" s="151"/>
      <c r="K29" s="151"/>
      <c r="L29" s="151"/>
      <c r="M29" s="151"/>
      <c r="N29" s="320"/>
      <c r="O29" s="320"/>
      <c r="P29" s="320"/>
      <c r="Q29" s="320"/>
      <c r="R29" s="320"/>
      <c r="S29" s="320"/>
    </row>
    <row r="30" spans="2:19" ht="15.5" x14ac:dyDescent="0.35">
      <c r="B30" s="6" t="s">
        <v>1175</v>
      </c>
      <c r="C30" s="130"/>
      <c r="D30" s="130"/>
      <c r="E30" s="353"/>
      <c r="F30" s="112" t="s">
        <v>1176</v>
      </c>
      <c r="G30" s="353"/>
      <c r="H30" s="353"/>
      <c r="I30" s="353"/>
      <c r="J30" s="353"/>
      <c r="K30" s="353"/>
      <c r="L30" s="353"/>
      <c r="M30" s="353"/>
      <c r="N30" s="61"/>
      <c r="O30" s="61"/>
      <c r="P30" s="61"/>
      <c r="Q30" s="28"/>
      <c r="R30" s="9"/>
    </row>
    <row r="31" spans="2:19" ht="14" x14ac:dyDescent="0.3">
      <c r="B31" s="353" t="s">
        <v>1177</v>
      </c>
      <c r="C31" s="130"/>
      <c r="D31" s="130"/>
      <c r="E31" s="353"/>
      <c r="F31" s="114"/>
      <c r="G31" s="458">
        <f>IF(G32="",IF(Chem!$C$14 = "NMP", 16, 40),G32)</f>
        <v>16</v>
      </c>
      <c r="H31" s="458">
        <f>IF(H32="",IF(Chem!$C$14 = "NMP", 16, 40),H32)</f>
        <v>16</v>
      </c>
      <c r="I31" s="458">
        <f>IF(I32="",IF(Chem!$C$14 = "NMP", 16, 40),I32)</f>
        <v>16</v>
      </c>
      <c r="J31" s="458">
        <f>IF(J32="",IF(Chem!$C$14 = "NMP", 16, 40),J32)</f>
        <v>16</v>
      </c>
      <c r="K31" s="458">
        <f>IF(K32="",IF(Chem!$C$14 = "NMP", 16, 40),K32)</f>
        <v>16</v>
      </c>
      <c r="L31" s="458">
        <f>IF(L32="",IF(Chem!$C$14 = "NMP", 16, 40),L32)</f>
        <v>16</v>
      </c>
      <c r="M31" s="458">
        <f>IF(M32="",IF(Chem!$C$14 = "NMP", 16, 40),M32)</f>
        <v>16</v>
      </c>
      <c r="N31" s="61"/>
      <c r="O31" s="1353"/>
      <c r="P31" s="61"/>
      <c r="Q31" s="28"/>
      <c r="R31" s="9"/>
    </row>
    <row r="32" spans="2:19" ht="14" x14ac:dyDescent="0.3">
      <c r="B32" s="353" t="s">
        <v>1178</v>
      </c>
      <c r="C32" s="130"/>
      <c r="D32" s="130"/>
      <c r="E32" s="353"/>
      <c r="F32" s="114"/>
      <c r="G32" s="1356"/>
      <c r="H32" s="1356"/>
      <c r="I32" s="1356"/>
      <c r="J32" s="1356"/>
      <c r="K32" s="1356"/>
      <c r="L32" s="1356"/>
      <c r="M32" s="1356"/>
      <c r="N32" s="61"/>
      <c r="O32" s="1353"/>
      <c r="P32" s="61"/>
      <c r="Q32" s="28"/>
      <c r="R32" s="9"/>
    </row>
    <row r="33" spans="2:18" ht="14" x14ac:dyDescent="0.3">
      <c r="B33" s="353" t="s">
        <v>1179</v>
      </c>
      <c r="C33" s="130"/>
      <c r="D33" s="130"/>
      <c r="E33" s="353"/>
      <c r="F33" s="114"/>
      <c r="G33" s="458">
        <f>IF(G34="",IF(Chem!$C$43 = "NMP", 16, 40),G34)</f>
        <v>40</v>
      </c>
      <c r="H33" s="458">
        <f>IF(H34="",IF(Chem!$C$43 = "NMP", 16, 40),H34)</f>
        <v>40</v>
      </c>
      <c r="I33" s="458">
        <f>IF(I34="",IF(Chem!$C$43 = "NMP", 16, 40),I34)</f>
        <v>40</v>
      </c>
      <c r="J33" s="458">
        <f>IF(J34="",IF(Chem!$C$43 = "NMP", 16, 40),J34)</f>
        <v>40</v>
      </c>
      <c r="K33" s="458">
        <f>IF(K34="",IF(Chem!$C$43 = "NMP", 16, 40),K34)</f>
        <v>40</v>
      </c>
      <c r="L33" s="458">
        <f>IF(L34="",IF(Chem!$C$43 = "NMP", 16, 40),L34)</f>
        <v>40</v>
      </c>
      <c r="M33" s="458">
        <f>IF(M34="",IF(Chem!$C$43 = "NMP", 16, 40),M34)</f>
        <v>40</v>
      </c>
      <c r="N33" s="458">
        <f>IF(N34="",IF(Chem!$C$43 = "NMP", 16, 40),N34)</f>
        <v>40</v>
      </c>
      <c r="O33" s="1353"/>
      <c r="P33" s="61"/>
      <c r="Q33" s="28"/>
      <c r="R33" s="9"/>
    </row>
    <row r="34" spans="2:18" ht="14" x14ac:dyDescent="0.3">
      <c r="B34" s="353" t="s">
        <v>1180</v>
      </c>
      <c r="C34" s="130"/>
      <c r="D34" s="130"/>
      <c r="E34" s="353"/>
      <c r="F34" s="114"/>
      <c r="G34" s="1356"/>
      <c r="H34" s="1356"/>
      <c r="I34" s="1356"/>
      <c r="J34" s="1356"/>
      <c r="K34" s="1356"/>
      <c r="L34" s="1356"/>
      <c r="M34" s="1356"/>
      <c r="N34" s="61"/>
      <c r="O34" s="1353"/>
      <c r="P34" s="61"/>
      <c r="Q34" s="28"/>
      <c r="R34" s="9"/>
    </row>
    <row r="35" spans="2:18" ht="15.5" x14ac:dyDescent="0.35">
      <c r="B35" s="6"/>
      <c r="C35" s="130"/>
      <c r="D35" s="130"/>
      <c r="E35" s="353"/>
      <c r="F35" s="114"/>
      <c r="G35" s="353"/>
      <c r="H35" s="353"/>
      <c r="I35" s="353"/>
      <c r="J35" s="353"/>
      <c r="K35" s="353"/>
      <c r="L35" s="353"/>
      <c r="M35" s="353"/>
      <c r="N35" s="61"/>
      <c r="O35" s="61"/>
      <c r="P35" s="61"/>
      <c r="Q35" s="28"/>
      <c r="R35" s="9"/>
    </row>
    <row r="36" spans="2:18" ht="14" x14ac:dyDescent="0.3">
      <c r="B36" s="665" t="s">
        <v>1181</v>
      </c>
      <c r="C36" s="353"/>
      <c r="D36" s="353"/>
      <c r="E36" s="353"/>
      <c r="F36" s="84">
        <f>'Cost Input'!G12</f>
        <v>92.2</v>
      </c>
      <c r="G36" s="353"/>
      <c r="H36" s="353"/>
      <c r="I36" s="353"/>
      <c r="J36" s="353"/>
      <c r="K36" s="353"/>
      <c r="L36" s="353"/>
      <c r="M36" s="353"/>
      <c r="N36" s="61"/>
      <c r="R36" s="9"/>
    </row>
    <row r="37" spans="2:18" x14ac:dyDescent="0.3">
      <c r="B37" s="325" t="str">
        <f>$B$30 &amp; ": " &amp; C37</f>
        <v>Total Cell Materials per Accepted Cell: Positive electrode active material, g/cell</v>
      </c>
      <c r="C37" s="353" t="s">
        <v>1182</v>
      </c>
      <c r="D37" s="353"/>
      <c r="E37" s="353"/>
      <c r="F37" s="84"/>
      <c r="G37" s="152">
        <f ca="1">'Battery Design'!G44/Dashboard!$D$112*100/$F$36*100</f>
        <v>364.41440576636228</v>
      </c>
      <c r="H37" s="152">
        <f ca="1">'Battery Design'!H44/Dashboard!$D$112*100/$F$36*100</f>
        <v>364.41440576636228</v>
      </c>
      <c r="I37" s="152">
        <f ca="1">'Battery Design'!I44/Dashboard!$D$112*100/$F$36*100</f>
        <v>363.97971315496545</v>
      </c>
      <c r="J37" s="152">
        <f ca="1">'Battery Design'!J44/Dashboard!$D$112*100/$F$36*100</f>
        <v>363.44482980390154</v>
      </c>
      <c r="K37" s="152">
        <f ca="1">'Battery Design'!K44/Dashboard!$D$112*100/$F$36*100</f>
        <v>362.82676867170841</v>
      </c>
      <c r="L37" s="152">
        <f ca="1">'Battery Design'!L44/Dashboard!$D$112*100/$F$36*100</f>
        <v>362.08675329677072</v>
      </c>
      <c r="M37" s="152">
        <f ca="1">'Battery Design'!M44/Dashboard!$D$112*100/$F$36*100</f>
        <v>361.11089784725044</v>
      </c>
      <c r="R37" s="9"/>
    </row>
    <row r="38" spans="2:18" ht="13.4" customHeight="1" x14ac:dyDescent="0.3">
      <c r="B38" s="325" t="str">
        <f>$B$30 &amp; ": " &amp; C38</f>
        <v>Total Cell Materials per Accepted Cell: Positive electrode carbon additive, g/cell</v>
      </c>
      <c r="C38" s="353" t="s">
        <v>1183</v>
      </c>
      <c r="D38" s="353"/>
      <c r="E38" s="353"/>
      <c r="F38" s="84"/>
      <c r="G38" s="152">
        <f ca="1">'Battery Design'!G45/Dashboard!$D$112*100/$F$36*100</f>
        <v>7.5919667867992136</v>
      </c>
      <c r="H38" s="152">
        <f ca="1">'Battery Design'!H45/Dashboard!$D$112*100/$F$36*100</f>
        <v>7.5919667867992136</v>
      </c>
      <c r="I38" s="152">
        <f ca="1">'Battery Design'!I45/Dashboard!$D$112*100/$F$36*100</f>
        <v>7.5829106907284478</v>
      </c>
      <c r="J38" s="152">
        <f ca="1">'Battery Design'!J45/Dashboard!$D$112*100/$F$36*100</f>
        <v>7.5717672875812827</v>
      </c>
      <c r="K38" s="152">
        <f ca="1">'Battery Design'!K45/Dashboard!$D$112*100/$F$36*100</f>
        <v>7.5588910139939252</v>
      </c>
      <c r="L38" s="152">
        <f ca="1">'Battery Design'!L45/Dashboard!$D$112*100/$F$36*100</f>
        <v>7.5434740270160585</v>
      </c>
      <c r="M38" s="152">
        <f ca="1">'Battery Design'!M45/Dashboard!$D$112*100/$F$36*100</f>
        <v>7.5231437051510515</v>
      </c>
    </row>
    <row r="39" spans="2:18" x14ac:dyDescent="0.3">
      <c r="B39" s="325" t="str">
        <f>$B$30 &amp; ": " &amp; C39</f>
        <v>Total Cell Materials per Accepted Cell: Positive electrode binder, g/cell</v>
      </c>
      <c r="C39" s="353" t="s">
        <v>305</v>
      </c>
      <c r="D39" s="353"/>
      <c r="E39" s="353"/>
      <c r="F39" s="84"/>
      <c r="G39" s="152">
        <f ca="1">'Battery Design'!G46/Dashboard!$D$112*100/$F$36*100</f>
        <v>7.5919667867992136</v>
      </c>
      <c r="H39" s="152">
        <f ca="1">'Battery Design'!H46/Dashboard!$D$112*100/$F$36*100</f>
        <v>7.5919667867992136</v>
      </c>
      <c r="I39" s="152">
        <f ca="1">'Battery Design'!I46/Dashboard!$D$112*100/$F$36*100</f>
        <v>7.5829106907284478</v>
      </c>
      <c r="J39" s="152">
        <f ca="1">'Battery Design'!J46/Dashboard!$D$112*100/$F$36*100</f>
        <v>7.5717672875812827</v>
      </c>
      <c r="K39" s="152">
        <f ca="1">'Battery Design'!K46/Dashboard!$D$112*100/$F$36*100</f>
        <v>7.5588910139939252</v>
      </c>
      <c r="L39" s="152">
        <f ca="1">'Battery Design'!L46/Dashboard!$D$112*100/$F$36*100</f>
        <v>7.5434740270160585</v>
      </c>
      <c r="M39" s="152">
        <f ca="1">'Battery Design'!M46/Dashboard!$D$112*100/$F$36*100</f>
        <v>7.5231437051510515</v>
      </c>
      <c r="N39" s="152"/>
    </row>
    <row r="40" spans="2:18" ht="12.75" customHeight="1" x14ac:dyDescent="0.3">
      <c r="B40" s="325" t="str">
        <f>$B$30 &amp; ": " &amp; C40</f>
        <v>Total Cell Materials per Accepted Cell: Positive electrode binder solvent (NMP), g/cell</v>
      </c>
      <c r="C40" s="353" t="str">
        <f>"Positive electrode binder solvent (" &amp; Chem!$C$14 &amp;"), g/cell"</f>
        <v>Positive electrode binder solvent (NMP), g/cell</v>
      </c>
      <c r="D40" s="353"/>
      <c r="E40" s="353"/>
      <c r="F40" s="84"/>
      <c r="G40" s="152">
        <f ca="1">G31*G39</f>
        <v>121.47146858878742</v>
      </c>
      <c r="H40" s="152">
        <f t="shared" ref="H40:M40" ca="1" si="3">H31*H39</f>
        <v>121.47146858878742</v>
      </c>
      <c r="I40" s="152">
        <f t="shared" ca="1" si="3"/>
        <v>121.32657105165516</v>
      </c>
      <c r="J40" s="152">
        <f t="shared" ca="1" si="3"/>
        <v>121.14827660130052</v>
      </c>
      <c r="K40" s="152">
        <f t="shared" ca="1" si="3"/>
        <v>120.9422562239028</v>
      </c>
      <c r="L40" s="152">
        <f t="shared" ca="1" si="3"/>
        <v>120.69558443225694</v>
      </c>
      <c r="M40" s="152">
        <f t="shared" ca="1" si="3"/>
        <v>120.37029928241682</v>
      </c>
      <c r="Q40" s="21"/>
    </row>
    <row r="41" spans="2:18" ht="12.75" customHeight="1" x14ac:dyDescent="0.3">
      <c r="B41" s="325" t="str">
        <f>$B$30 &amp; ": " &amp; C41</f>
        <v>Total Cell Materials per Accepted Cell: Total for positive electrode (dry), g/cell</v>
      </c>
      <c r="C41" s="353" t="s">
        <v>1184</v>
      </c>
      <c r="D41" s="353"/>
      <c r="E41" s="353"/>
      <c r="F41" s="84"/>
      <c r="G41" s="152">
        <f t="shared" ref="G41:M41" ca="1" si="4">SUM(G37:G39)</f>
        <v>379.59833933996072</v>
      </c>
      <c r="H41" s="152">
        <f t="shared" ca="1" si="4"/>
        <v>379.59833933996072</v>
      </c>
      <c r="I41" s="152">
        <f t="shared" ca="1" si="4"/>
        <v>379.14553453642236</v>
      </c>
      <c r="J41" s="152">
        <f t="shared" ca="1" si="4"/>
        <v>378.5883643790641</v>
      </c>
      <c r="K41" s="152">
        <f t="shared" ca="1" si="4"/>
        <v>377.94455069969621</v>
      </c>
      <c r="L41" s="152">
        <f t="shared" ca="1" si="4"/>
        <v>377.17370135080279</v>
      </c>
      <c r="M41" s="152">
        <f t="shared" ca="1" si="4"/>
        <v>376.1571852575525</v>
      </c>
    </row>
    <row r="42" spans="2:18" ht="12.75" customHeight="1" x14ac:dyDescent="0.3">
      <c r="B42" s="325"/>
      <c r="C42" s="353"/>
      <c r="D42" s="353"/>
      <c r="E42" s="353"/>
      <c r="F42" s="84"/>
      <c r="G42" s="152"/>
      <c r="H42" s="152"/>
      <c r="I42" s="152"/>
      <c r="J42" s="152"/>
      <c r="K42" s="152"/>
      <c r="L42" s="152"/>
      <c r="M42" s="152"/>
    </row>
    <row r="43" spans="2:18" ht="12.75" customHeight="1" x14ac:dyDescent="0.3">
      <c r="B43" s="665" t="s">
        <v>1185</v>
      </c>
      <c r="C43" s="353"/>
      <c r="D43" s="353"/>
      <c r="E43" s="353"/>
      <c r="F43" s="84">
        <f>'Cost Input'!G13</f>
        <v>92.2</v>
      </c>
      <c r="G43" s="152"/>
      <c r="H43" s="152"/>
      <c r="I43" s="152"/>
      <c r="J43" s="152"/>
      <c r="K43" s="152"/>
      <c r="L43" s="152"/>
      <c r="M43" s="152"/>
    </row>
    <row r="44" spans="2:18" ht="12.75" customHeight="1" x14ac:dyDescent="0.3">
      <c r="B44" s="325" t="str">
        <f t="shared" ref="B44:B59" si="5">$B$30 &amp; ": " &amp; C44</f>
        <v>Total Cell Materials per Accepted Cell: Negative electrode active material, g/cell</v>
      </c>
      <c r="C44" s="353" t="s">
        <v>1186</v>
      </c>
      <c r="D44" s="353"/>
      <c r="E44" s="353"/>
      <c r="F44" s="123"/>
      <c r="G44" s="152">
        <f ca="1">'Battery Design'!G51/$F$43*100/Dashboard!$D$112*100</f>
        <v>247.1980233751637</v>
      </c>
      <c r="H44" s="152">
        <f ca="1">'Battery Design'!H51/$F$43*100/Dashboard!$D$112*100</f>
        <v>247.1980233751637</v>
      </c>
      <c r="I44" s="152">
        <f ca="1">'Battery Design'!I51/$F$43*100/Dashboard!$D$112*100</f>
        <v>246.84569414623684</v>
      </c>
      <c r="J44" s="152">
        <f ca="1">'Battery Design'!J51/$F$43*100/Dashboard!$D$112*100</f>
        <v>246.44501433761036</v>
      </c>
      <c r="K44" s="152">
        <f ca="1">'Battery Design'!K51/$F$43*100/Dashboard!$D$112*100</f>
        <v>245.86747658699886</v>
      </c>
      <c r="L44" s="152">
        <f ca="1">'Battery Design'!L51/$F$43*100/Dashboard!$D$112*100</f>
        <v>245.18235721535549</v>
      </c>
      <c r="M44" s="152">
        <f ca="1">'Battery Design'!M51/$F$43*100/Dashboard!$D$112*100</f>
        <v>243.88386484558424</v>
      </c>
    </row>
    <row r="45" spans="2:18" ht="12.75" customHeight="1" x14ac:dyDescent="0.3">
      <c r="B45" s="325" t="str">
        <f t="shared" si="5"/>
        <v>Total Cell Materials per Accepted Cell: Negative electrode carbon additive, g/cell</v>
      </c>
      <c r="C45" s="353" t="s">
        <v>1187</v>
      </c>
      <c r="D45" s="353"/>
      <c r="E45" s="353"/>
      <c r="F45" s="123"/>
      <c r="G45" s="152">
        <f ca="1">'Battery Design'!G52/$F$43*100/Dashboard!$D$112*100</f>
        <v>0</v>
      </c>
      <c r="H45" s="152">
        <f ca="1">'Battery Design'!H52/$F$43*100/Dashboard!$D$112*100</f>
        <v>0</v>
      </c>
      <c r="I45" s="152">
        <f ca="1">'Battery Design'!I52/$F$43*100/Dashboard!$D$112*100</f>
        <v>0</v>
      </c>
      <c r="J45" s="152">
        <f ca="1">'Battery Design'!J52/$F$43*100/Dashboard!$D$112*100</f>
        <v>0</v>
      </c>
      <c r="K45" s="152">
        <f ca="1">'Battery Design'!K52/$F$43*100/Dashboard!$D$112*100</f>
        <v>0</v>
      </c>
      <c r="L45" s="152">
        <f ca="1">'Battery Design'!L52/$F$43*100/Dashboard!$D$112*100</f>
        <v>0</v>
      </c>
      <c r="M45" s="152">
        <f ca="1">'Battery Design'!M52/$F$43*100/Dashboard!$D$112*100</f>
        <v>0</v>
      </c>
    </row>
    <row r="46" spans="2:18" ht="12.75" customHeight="1" x14ac:dyDescent="0.3">
      <c r="B46" s="325" t="str">
        <f t="shared" si="5"/>
        <v>Total Cell Materials per Accepted Cell: Negative electrode binder, g/cell</v>
      </c>
      <c r="C46" s="353" t="s">
        <v>312</v>
      </c>
      <c r="D46" s="353"/>
      <c r="E46" s="353"/>
      <c r="F46" s="123"/>
      <c r="G46" s="152">
        <f ca="1">'Battery Design'!G53/$F$43*100/Dashboard!$D$112*100</f>
        <v>5.0448576199012996</v>
      </c>
      <c r="H46" s="152">
        <f ca="1">'Battery Design'!H53/$F$43*100/Dashboard!$D$112*100</f>
        <v>5.0448576199012996</v>
      </c>
      <c r="I46" s="152">
        <f ca="1">'Battery Design'!I53/$F$43*100/Dashboard!$D$112*100</f>
        <v>5.0376672274742216</v>
      </c>
      <c r="J46" s="152">
        <f ca="1">'Battery Design'!J53/$F$43*100/Dashboard!$D$112*100</f>
        <v>5.0294900885226621</v>
      </c>
      <c r="K46" s="152">
        <f ca="1">'Battery Design'!K53/$F$43*100/Dashboard!$D$112*100</f>
        <v>5.0177036038163036</v>
      </c>
      <c r="L46" s="152">
        <f ca="1">'Battery Design'!L53/$F$43*100/Dashboard!$D$112*100</f>
        <v>5.0037215758235813</v>
      </c>
      <c r="M46" s="152">
        <f ca="1">'Battery Design'!M53/$F$43*100/Dashboard!$D$112*100</f>
        <v>4.9772217315425351</v>
      </c>
      <c r="N46" s="198"/>
    </row>
    <row r="47" spans="2:18" ht="12.75" customHeight="1" x14ac:dyDescent="0.3">
      <c r="B47" s="325" t="str">
        <f t="shared" si="5"/>
        <v>Total Cell Materials per Accepted Cell: Negative electrode binder solvent (Water), g/cell</v>
      </c>
      <c r="C47" s="353" t="str">
        <f>"Negative electrode binder solvent (" &amp; Chem!$C$43 &amp; "), g/cell"</f>
        <v>Negative electrode binder solvent (Water), g/cell</v>
      </c>
      <c r="D47" s="353"/>
      <c r="E47" s="353"/>
      <c r="F47" s="123"/>
      <c r="G47" s="152">
        <f t="shared" ref="G47:M47" ca="1" si="6">G33*G46</f>
        <v>201.79430479605199</v>
      </c>
      <c r="H47" s="152">
        <f t="shared" ca="1" si="6"/>
        <v>201.79430479605199</v>
      </c>
      <c r="I47" s="152">
        <f t="shared" ca="1" si="6"/>
        <v>201.50668909896888</v>
      </c>
      <c r="J47" s="152">
        <f t="shared" ca="1" si="6"/>
        <v>201.1796035409065</v>
      </c>
      <c r="K47" s="152">
        <f t="shared" ca="1" si="6"/>
        <v>200.70814415265215</v>
      </c>
      <c r="L47" s="152">
        <f t="shared" ca="1" si="6"/>
        <v>200.14886303294327</v>
      </c>
      <c r="M47" s="152">
        <f t="shared" ca="1" si="6"/>
        <v>199.0888692617014</v>
      </c>
    </row>
    <row r="48" spans="2:18" ht="12.75" customHeight="1" x14ac:dyDescent="0.3">
      <c r="B48" s="325" t="str">
        <f t="shared" si="5"/>
        <v>Total Cell Materials per Accepted Cell: Total for negative electrode (dry), g/cell</v>
      </c>
      <c r="C48" s="353" t="s">
        <v>1188</v>
      </c>
      <c r="D48" s="353"/>
      <c r="E48" s="353"/>
      <c r="F48" s="1046"/>
      <c r="G48" s="152">
        <f t="shared" ref="G48:M48" ca="1" si="7">SUM(G44:G46)</f>
        <v>252.24288099506501</v>
      </c>
      <c r="H48" s="152">
        <f t="shared" ca="1" si="7"/>
        <v>252.24288099506501</v>
      </c>
      <c r="I48" s="152">
        <f t="shared" ca="1" si="7"/>
        <v>251.88336137371107</v>
      </c>
      <c r="J48" s="152">
        <f t="shared" ca="1" si="7"/>
        <v>251.47450442613302</v>
      </c>
      <c r="K48" s="152">
        <f t="shared" ca="1" si="7"/>
        <v>250.88518019081516</v>
      </c>
      <c r="L48" s="152">
        <f t="shared" ca="1" si="7"/>
        <v>250.18607879117909</v>
      </c>
      <c r="M48" s="152">
        <f t="shared" ca="1" si="7"/>
        <v>248.86108657712677</v>
      </c>
    </row>
    <row r="49" spans="2:17" ht="12.75" customHeight="1" x14ac:dyDescent="0.3">
      <c r="B49" s="325"/>
      <c r="C49" s="353"/>
      <c r="D49" s="353"/>
      <c r="E49" s="353"/>
      <c r="F49" s="1046"/>
      <c r="G49" s="152"/>
      <c r="H49" s="152"/>
      <c r="I49" s="152"/>
      <c r="J49" s="152"/>
      <c r="K49" s="152"/>
      <c r="L49" s="152"/>
      <c r="M49" s="152"/>
    </row>
    <row r="50" spans="2:17" ht="12.75" customHeight="1" x14ac:dyDescent="0.3">
      <c r="B50" s="665" t="s">
        <v>1189</v>
      </c>
      <c r="C50" s="353"/>
      <c r="D50" s="353"/>
      <c r="E50" s="353"/>
      <c r="F50" s="1046"/>
      <c r="G50" s="152"/>
      <c r="H50" s="152"/>
      <c r="I50" s="152"/>
      <c r="J50" s="152"/>
      <c r="K50" s="152"/>
      <c r="L50" s="152"/>
      <c r="M50" s="152"/>
    </row>
    <row r="51" spans="2:17" ht="12.75" customHeight="1" x14ac:dyDescent="0.3">
      <c r="B51" s="325"/>
      <c r="C51" s="613" t="str">
        <f>"Positive electrode additve (" &amp; Chem!$C$73&amp; "), g/cell"</f>
        <v>Positive electrode additve (None), g/cell</v>
      </c>
      <c r="D51" s="353"/>
      <c r="E51" s="353"/>
      <c r="F51" s="1046">
        <f>F36</f>
        <v>92.2</v>
      </c>
      <c r="G51" s="152">
        <f ca="1">'Battery Design'!G58/Dashboard!$D$112*100/$F51*100</f>
        <v>0</v>
      </c>
      <c r="H51" s="152">
        <f ca="1">'Battery Design'!H58/Dashboard!$D$112*100/$F51*100</f>
        <v>0</v>
      </c>
      <c r="I51" s="152">
        <f ca="1">'Battery Design'!I58/Dashboard!$D$112*100/$F51*100</f>
        <v>0</v>
      </c>
      <c r="J51" s="152">
        <f ca="1">'Battery Design'!J58/Dashboard!$D$112*100/$F51*100</f>
        <v>0</v>
      </c>
      <c r="K51" s="152">
        <f ca="1">'Battery Design'!K58/Dashboard!$D$112*100/$F51*100</f>
        <v>0</v>
      </c>
      <c r="L51" s="152">
        <f ca="1">'Battery Design'!L58/Dashboard!$D$112*100/$F51*100</f>
        <v>0</v>
      </c>
      <c r="M51" s="152">
        <f ca="1">'Battery Design'!M58/Dashboard!$D$112*100/$F51*100</f>
        <v>0</v>
      </c>
    </row>
    <row r="52" spans="2:17" ht="12.75" customHeight="1" x14ac:dyDescent="0.3">
      <c r="B52" s="325"/>
      <c r="C52" s="613" t="str">
        <f>"Negative electrode additve (" &amp; Chem!$C$79&amp; "), g/cell"</f>
        <v>Negative electrode additve (None), g/cell</v>
      </c>
      <c r="D52" s="353"/>
      <c r="E52" s="353"/>
      <c r="F52" s="1046">
        <f>F43</f>
        <v>92.2</v>
      </c>
      <c r="G52" s="152">
        <f ca="1">'Battery Design'!G59/Dashboard!$D$112*100/$F52*100</f>
        <v>0</v>
      </c>
      <c r="H52" s="152">
        <f ca="1">'Battery Design'!H59/Dashboard!$D$112*100/$F52*100</f>
        <v>0</v>
      </c>
      <c r="I52" s="152">
        <f ca="1">'Battery Design'!I59/Dashboard!$D$112*100/$F52*100</f>
        <v>0</v>
      </c>
      <c r="J52" s="152">
        <f ca="1">'Battery Design'!J59/Dashboard!$D$112*100/$F52*100</f>
        <v>0</v>
      </c>
      <c r="K52" s="152">
        <f ca="1">'Battery Design'!K59/Dashboard!$D$112*100/$F52*100</f>
        <v>0</v>
      </c>
      <c r="L52" s="152">
        <f ca="1">'Battery Design'!L59/Dashboard!$D$112*100/$F52*100</f>
        <v>0</v>
      </c>
      <c r="M52" s="152">
        <f ca="1">'Battery Design'!M59/Dashboard!$D$112*100/$F52*100</f>
        <v>0</v>
      </c>
    </row>
    <row r="53" spans="2:17" ht="12.75" customHeight="1" x14ac:dyDescent="0.3">
      <c r="B53" s="325"/>
      <c r="C53" s="613" t="str">
        <f>"Electrolyte additve (" &amp; Chem!$C$85&amp; "), g/cell"</f>
        <v>Electrolyte additve (None), g/cell</v>
      </c>
      <c r="D53" s="353"/>
      <c r="E53" s="353"/>
      <c r="F53" s="1046">
        <f>F59</f>
        <v>99</v>
      </c>
      <c r="G53" s="152">
        <f ca="1">'Battery Design'!G60/Dashboard!$D$112*100/$F53*100</f>
        <v>0</v>
      </c>
      <c r="H53" s="152">
        <f ca="1">'Battery Design'!H60/Dashboard!$D$112*100/$F53*100</f>
        <v>0</v>
      </c>
      <c r="I53" s="152">
        <f ca="1">'Battery Design'!I60/Dashboard!$D$112*100/$F53*100</f>
        <v>0</v>
      </c>
      <c r="J53" s="152">
        <f ca="1">'Battery Design'!J60/Dashboard!$D$112*100/$F53*100</f>
        <v>0</v>
      </c>
      <c r="K53" s="152">
        <f ca="1">'Battery Design'!K60/Dashboard!$D$112*100/$F53*100</f>
        <v>0</v>
      </c>
      <c r="L53" s="152">
        <f ca="1">'Battery Design'!L60/Dashboard!$D$112*100/$F53*100</f>
        <v>0</v>
      </c>
      <c r="M53" s="152">
        <f ca="1">'Battery Design'!M60/Dashboard!$D$112*100/$F53*100</f>
        <v>0</v>
      </c>
    </row>
    <row r="54" spans="2:17" ht="12.75" customHeight="1" x14ac:dyDescent="0.3">
      <c r="B54" s="325"/>
      <c r="C54" s="353"/>
      <c r="D54" s="353"/>
      <c r="E54" s="353"/>
      <c r="F54" s="1046"/>
      <c r="G54" s="152"/>
      <c r="H54" s="152"/>
      <c r="I54" s="152"/>
      <c r="J54" s="152"/>
      <c r="K54" s="152"/>
      <c r="L54" s="152"/>
      <c r="M54" s="152"/>
    </row>
    <row r="55" spans="2:17" ht="12.75" customHeight="1" x14ac:dyDescent="0.3">
      <c r="B55" s="665" t="s">
        <v>892</v>
      </c>
      <c r="C55" s="353"/>
      <c r="D55" s="353"/>
      <c r="E55" s="353"/>
      <c r="F55" s="1046"/>
      <c r="G55" s="152"/>
      <c r="H55" s="152"/>
      <c r="I55" s="152"/>
      <c r="J55" s="152"/>
      <c r="K55" s="152"/>
      <c r="L55" s="152"/>
      <c r="M55" s="152"/>
    </row>
    <row r="56" spans="2:17" ht="12.75" customHeight="1" x14ac:dyDescent="0.3">
      <c r="B56" s="325" t="str">
        <f t="shared" si="5"/>
        <v>Total Cell Materials per Accepted Cell: Positive current collector, m²</v>
      </c>
      <c r="C56" s="353" t="s">
        <v>1190</v>
      </c>
      <c r="D56" s="353"/>
      <c r="E56" s="353"/>
      <c r="F56" s="1046">
        <f>'Cost Input'!G14</f>
        <v>86.5</v>
      </c>
      <c r="G56" s="153">
        <f ca="1">'Battery Design'!G63/$F56*100/Dashboard!$D$112*100</f>
        <v>0.57643860535916724</v>
      </c>
      <c r="H56" s="153">
        <f ca="1">'Battery Design'!H63/$F56*100/Dashboard!$D$112*100</f>
        <v>0.57643860535916724</v>
      </c>
      <c r="I56" s="153">
        <f ca="1">'Battery Design'!I63/$F56*100/Dashboard!$D$112*100</f>
        <v>0.63740098019148017</v>
      </c>
      <c r="J56" s="153">
        <f ca="1">'Battery Design'!J63/$F56*100/Dashboard!$D$112*100</f>
        <v>0.73444956847851306</v>
      </c>
      <c r="K56" s="153">
        <f ca="1">'Battery Design'!K63/$F56*100/Dashboard!$D$112*100</f>
        <v>0.89004025295735079</v>
      </c>
      <c r="L56" s="153">
        <f ca="1">'Battery Design'!L63/$F56*100/Dashboard!$D$112*100</f>
        <v>1.1999894269654123</v>
      </c>
      <c r="M56" s="153">
        <f ca="1">'Battery Design'!M63/$F56*100/Dashboard!$D$112*100</f>
        <v>2.2327772153569545</v>
      </c>
    </row>
    <row r="57" spans="2:17" ht="12.75" customHeight="1" x14ac:dyDescent="0.3">
      <c r="B57" s="325" t="str">
        <f t="shared" si="5"/>
        <v>Total Cell Materials per Accepted Cell: Negative current collector, m²</v>
      </c>
      <c r="C57" s="353" t="s">
        <v>1191</v>
      </c>
      <c r="D57" s="353"/>
      <c r="E57" s="353"/>
      <c r="F57" s="1046">
        <f>'Cost Input'!G15</f>
        <v>86.5</v>
      </c>
      <c r="G57" s="153">
        <f ca="1">'Battery Design'!G64/$F57*100/Dashboard!$D$112*100</f>
        <v>0.61512093201437645</v>
      </c>
      <c r="H57" s="153">
        <f ca="1">'Battery Design'!H64/$F57*100/Dashboard!$D$112*100</f>
        <v>0.61512093201437645</v>
      </c>
      <c r="I57" s="153">
        <f ca="1">'Battery Design'!I64/$F57*100/Dashboard!$D$112*100</f>
        <v>0.67827431325139409</v>
      </c>
      <c r="J57" s="153">
        <f ca="1">'Battery Design'!J64/$F57*100/Dashboard!$D$112*100</f>
        <v>0.77872646424935787</v>
      </c>
      <c r="K57" s="153">
        <f ca="1">'Battery Design'!K64/$F57*100/Dashboard!$D$112*100</f>
        <v>0.93975310575241644</v>
      </c>
      <c r="L57" s="153">
        <f ca="1">'Battery Design'!L64/$F57*100/Dashboard!$D$112*100</f>
        <v>1.2601523516894264</v>
      </c>
      <c r="M57" s="153">
        <f ca="1">'Battery Design'!M64/$F57*100/Dashboard!$D$112*100</f>
        <v>2.3250465482070068</v>
      </c>
    </row>
    <row r="58" spans="2:17" ht="12.75" customHeight="1" x14ac:dyDescent="0.3">
      <c r="B58" s="325" t="str">
        <f t="shared" si="5"/>
        <v>Total Cell Materials per Accepted Cell: Separators, m²</v>
      </c>
      <c r="C58" s="353" t="s">
        <v>1192</v>
      </c>
      <c r="D58" s="353"/>
      <c r="E58" s="353"/>
      <c r="F58" s="1046">
        <f>'Cost Input'!G16</f>
        <v>98</v>
      </c>
      <c r="G58" s="153">
        <f ca="1">'Battery Design'!G65/$F58*100/Dashboard!$D$112*100</f>
        <v>0.95369856290748489</v>
      </c>
      <c r="H58" s="153">
        <f ca="1">'Battery Design'!H65/$F58*100/Dashboard!$D$112*100</f>
        <v>0.95369856290748489</v>
      </c>
      <c r="I58" s="153">
        <f ca="1">'Battery Design'!I65/$F58*100/Dashboard!$D$112*100</f>
        <v>1.0552908450805196</v>
      </c>
      <c r="J58" s="153">
        <f ca="1">'Battery Design'!J65/$F58*100/Dashboard!$D$112*100</f>
        <v>1.2154836948875807</v>
      </c>
      <c r="K58" s="153">
        <f ca="1">'Battery Design'!K65/$F58*100/Dashboard!$D$112*100</f>
        <v>1.4760484414283965</v>
      </c>
      <c r="L58" s="153">
        <f ca="1">'Battery Design'!L65/$F58*100/Dashboard!$D$112*100</f>
        <v>1.9912569437883318</v>
      </c>
      <c r="M58" s="153">
        <f ca="1">'Battery Design'!M65/$F58*100/Dashboard!$D$112*100</f>
        <v>3.7211093668479402</v>
      </c>
    </row>
    <row r="59" spans="2:17" ht="12.75" customHeight="1" x14ac:dyDescent="0.3">
      <c r="B59" s="325" t="str">
        <f t="shared" si="5"/>
        <v>Total Cell Materials per Accepted Cell: Electrolyte, L</v>
      </c>
      <c r="C59" s="353" t="s">
        <v>1193</v>
      </c>
      <c r="D59" s="353"/>
      <c r="E59" s="353"/>
      <c r="F59" s="1046">
        <f>'Cost Input'!G17</f>
        <v>99</v>
      </c>
      <c r="G59" s="153">
        <f ca="1">'Battery Design'!G66/$F59*100/Dashboard!$D$112*100</f>
        <v>7.5362136627055432E-2</v>
      </c>
      <c r="H59" s="153">
        <f ca="1">'Battery Design'!H66/$F59*100/Dashboard!$D$112*100</f>
        <v>7.5362136627055432E-2</v>
      </c>
      <c r="I59" s="153">
        <f ca="1">'Battery Design'!I66/$F59*100/Dashboard!$D$112*100</f>
        <v>7.6082819325002077E-2</v>
      </c>
      <c r="J59" s="153">
        <f ca="1">'Battery Design'!J66/$F59*100/Dashboard!$D$112*100</f>
        <v>7.7253731679715096E-2</v>
      </c>
      <c r="K59" s="153">
        <f ca="1">'Battery Design'!K66/$F59*100/Dashboard!$D$112*100</f>
        <v>7.919347985283326E-2</v>
      </c>
      <c r="L59" s="153">
        <f ca="1">'Battery Design'!L66/$F59*100/Dashboard!$D$112*100</f>
        <v>8.3134872276356991E-2</v>
      </c>
      <c r="M59" s="153">
        <f ca="1">'Battery Design'!M66/$F59*100/Dashboard!$D$112*100</f>
        <v>9.6651934173103596E-2</v>
      </c>
    </row>
    <row r="60" spans="2:17" ht="12.75" customHeight="1" x14ac:dyDescent="0.3">
      <c r="B60" s="325"/>
      <c r="C60" s="353"/>
      <c r="D60" s="353"/>
      <c r="E60" s="353"/>
      <c r="F60" s="1046"/>
      <c r="G60" s="153"/>
      <c r="H60" s="153"/>
      <c r="I60" s="153"/>
      <c r="J60" s="153"/>
      <c r="K60" s="153"/>
      <c r="L60" s="153"/>
      <c r="M60" s="153"/>
    </row>
    <row r="61" spans="2:17" ht="12.75" customHeight="1" x14ac:dyDescent="0.35">
      <c r="B61" s="6" t="s">
        <v>1194</v>
      </c>
      <c r="C61" s="130"/>
      <c r="D61" s="130"/>
      <c r="E61" s="174"/>
      <c r="F61" s="486"/>
      <c r="G61" s="104"/>
      <c r="H61" s="104"/>
      <c r="I61" s="104"/>
      <c r="J61" s="104"/>
      <c r="K61" s="104"/>
      <c r="L61" s="104"/>
      <c r="M61" s="104"/>
      <c r="N61" s="353"/>
    </row>
    <row r="62" spans="2:17" ht="12.75" customHeight="1" x14ac:dyDescent="0.3">
      <c r="B62" s="665" t="s">
        <v>1195</v>
      </c>
      <c r="C62" s="130"/>
      <c r="D62" s="353"/>
      <c r="E62" s="174"/>
      <c r="F62" s="486"/>
      <c r="G62" s="104"/>
      <c r="H62" s="104"/>
      <c r="I62" s="104"/>
      <c r="J62" s="104"/>
      <c r="K62" s="104"/>
      <c r="L62" s="104"/>
      <c r="M62" s="104"/>
      <c r="N62" s="353"/>
      <c r="Q62" s="154"/>
    </row>
    <row r="63" spans="2:17" ht="12.75" customHeight="1" x14ac:dyDescent="0.3">
      <c r="B63" s="325" t="str">
        <f>$B$61 &amp; ": " &amp; C63</f>
        <v>Annual Cell Materials Rates: Positive electrode active material, kg/yr</v>
      </c>
      <c r="C63" s="353" t="s">
        <v>1196</v>
      </c>
      <c r="D63" s="353"/>
      <c r="E63" s="353"/>
      <c r="F63" s="486"/>
      <c r="G63" s="154">
        <f t="shared" ref="G63:M65" ca="1" si="8">G37*G$13/1000</f>
        <v>72882881.153272465</v>
      </c>
      <c r="H63" s="154">
        <f t="shared" ca="1" si="8"/>
        <v>72882881.153272465</v>
      </c>
      <c r="I63" s="154">
        <f t="shared" ca="1" si="8"/>
        <v>72795942.630993083</v>
      </c>
      <c r="J63" s="154">
        <f t="shared" ca="1" si="8"/>
        <v>72688965.960780308</v>
      </c>
      <c r="K63" s="154">
        <f t="shared" ca="1" si="8"/>
        <v>72565353.734341681</v>
      </c>
      <c r="L63" s="154">
        <f t="shared" ca="1" si="8"/>
        <v>72417350.659354135</v>
      </c>
      <c r="M63" s="154">
        <f t="shared" ca="1" si="8"/>
        <v>72222179.569450095</v>
      </c>
      <c r="N63" s="353"/>
      <c r="Q63" s="154"/>
    </row>
    <row r="64" spans="2:17" ht="12.75" customHeight="1" x14ac:dyDescent="0.3">
      <c r="B64" s="325" t="str">
        <f>$B$61 &amp; ": " &amp; C64</f>
        <v>Annual Cell Materials Rates: Positive electrode carbon additive, kg/yr</v>
      </c>
      <c r="C64" s="353" t="s">
        <v>1197</v>
      </c>
      <c r="D64" s="353"/>
      <c r="E64" s="353"/>
      <c r="F64" s="486"/>
      <c r="G64" s="154">
        <f t="shared" ca="1" si="8"/>
        <v>1518393.3573598429</v>
      </c>
      <c r="H64" s="154">
        <f t="shared" ca="1" si="8"/>
        <v>1518393.3573598429</v>
      </c>
      <c r="I64" s="154">
        <f t="shared" ca="1" si="8"/>
        <v>1516582.1381456894</v>
      </c>
      <c r="J64" s="154">
        <f t="shared" ca="1" si="8"/>
        <v>1514353.4575162565</v>
      </c>
      <c r="K64" s="154">
        <f t="shared" ca="1" si="8"/>
        <v>1511778.2027987849</v>
      </c>
      <c r="L64" s="154">
        <f t="shared" ca="1" si="8"/>
        <v>1508694.8054032116</v>
      </c>
      <c r="M64" s="154">
        <f t="shared" ca="1" si="8"/>
        <v>1504628.7410302102</v>
      </c>
      <c r="N64" s="353"/>
      <c r="Q64" s="154"/>
    </row>
    <row r="65" spans="2:17" ht="12.75" customHeight="1" x14ac:dyDescent="0.3">
      <c r="B65" s="325" t="str">
        <f>$B$61 &amp; ": " &amp; C65</f>
        <v>Annual Cell Materials Rates: Positive electrode binder, kg/yr</v>
      </c>
      <c r="C65" s="353" t="s">
        <v>1198</v>
      </c>
      <c r="D65" s="353"/>
      <c r="E65" s="353"/>
      <c r="F65" s="486"/>
      <c r="G65" s="154">
        <f t="shared" ca="1" si="8"/>
        <v>1518393.3573598429</v>
      </c>
      <c r="H65" s="154">
        <f t="shared" ca="1" si="8"/>
        <v>1518393.3573598429</v>
      </c>
      <c r="I65" s="154">
        <f t="shared" ca="1" si="8"/>
        <v>1516582.1381456894</v>
      </c>
      <c r="J65" s="154">
        <f t="shared" ca="1" si="8"/>
        <v>1514353.4575162565</v>
      </c>
      <c r="K65" s="154">
        <f t="shared" ca="1" si="8"/>
        <v>1511778.2027987849</v>
      </c>
      <c r="L65" s="154">
        <f t="shared" ca="1" si="8"/>
        <v>1508694.8054032116</v>
      </c>
      <c r="M65" s="154">
        <f t="shared" ca="1" si="8"/>
        <v>1504628.7410302102</v>
      </c>
      <c r="N65" s="353"/>
      <c r="Q65" s="154"/>
    </row>
    <row r="66" spans="2:17" ht="12.75" customHeight="1" x14ac:dyDescent="0.3">
      <c r="B66" s="325" t="str">
        <f>$B$61 &amp; ": " &amp; C66</f>
        <v>Annual Cell Materials Rates: Positive electrode binder solvent, kg/yr</v>
      </c>
      <c r="C66" s="353" t="s">
        <v>1199</v>
      </c>
      <c r="D66" s="353"/>
      <c r="E66" s="353"/>
      <c r="F66" s="486">
        <f>IF(Chem!$C$14  = "NMP", 'Cost Input'!$G$18,0)</f>
        <v>99.5</v>
      </c>
      <c r="G66" s="154">
        <f ca="1">G40*G$13/1000*(1-$F66/100*$F$51/100)</f>
        <v>2006951.6040239451</v>
      </c>
      <c r="H66" s="154">
        <f t="shared" ref="H66:M66" ca="1" si="9">H40*H$13/1000*(1-$F66/100*$F$51/100)</f>
        <v>2006951.6040239451</v>
      </c>
      <c r="I66" s="154">
        <f t="shared" ca="1" si="9"/>
        <v>2004557.6069154455</v>
      </c>
      <c r="J66" s="154">
        <f t="shared" ca="1" si="9"/>
        <v>2001611.8260066863</v>
      </c>
      <c r="K66" s="154">
        <f t="shared" ca="1" si="9"/>
        <v>1998207.957331321</v>
      </c>
      <c r="L66" s="154">
        <f t="shared" ca="1" si="9"/>
        <v>1994132.445989748</v>
      </c>
      <c r="M66" s="154">
        <f t="shared" ca="1" si="9"/>
        <v>1988758.0847440897</v>
      </c>
      <c r="N66" s="353"/>
      <c r="Q66" s="154"/>
    </row>
    <row r="67" spans="2:17" ht="12.75" customHeight="1" x14ac:dyDescent="0.3">
      <c r="B67" s="325"/>
      <c r="C67" s="353"/>
      <c r="D67" s="353"/>
      <c r="E67" s="353"/>
      <c r="F67" s="486"/>
      <c r="G67" s="154"/>
      <c r="H67" s="154"/>
      <c r="I67" s="154"/>
      <c r="J67" s="154"/>
      <c r="K67" s="154"/>
      <c r="L67" s="154"/>
      <c r="M67" s="154"/>
      <c r="N67" s="353"/>
      <c r="Q67" s="154"/>
    </row>
    <row r="68" spans="2:17" ht="12.75" customHeight="1" x14ac:dyDescent="0.3">
      <c r="B68" s="665" t="s">
        <v>1200</v>
      </c>
      <c r="C68" s="130"/>
      <c r="D68" s="353"/>
      <c r="E68" s="353"/>
      <c r="F68" s="486"/>
      <c r="G68" s="154"/>
      <c r="H68" s="154"/>
      <c r="I68" s="154"/>
      <c r="J68" s="154"/>
      <c r="K68" s="154"/>
      <c r="L68" s="154"/>
      <c r="M68" s="154"/>
      <c r="N68" s="353"/>
      <c r="Q68" s="154"/>
    </row>
    <row r="69" spans="2:17" ht="12.75" customHeight="1" x14ac:dyDescent="0.3">
      <c r="B69" s="325" t="str">
        <f>$B$61 &amp; ": " &amp; C69</f>
        <v>Annual Cell Materials Rates: Negative electrode active material, kg/yr</v>
      </c>
      <c r="C69" s="353" t="s">
        <v>1201</v>
      </c>
      <c r="D69" s="353"/>
      <c r="E69" s="353"/>
      <c r="F69" s="486"/>
      <c r="G69" s="154">
        <f t="shared" ref="G69:M71" ca="1" si="10">G44*G$13/1000</f>
        <v>49439604.675032735</v>
      </c>
      <c r="H69" s="154">
        <f t="shared" ca="1" si="10"/>
        <v>49439604.675032735</v>
      </c>
      <c r="I69" s="154">
        <f t="shared" ca="1" si="10"/>
        <v>49369138.82924737</v>
      </c>
      <c r="J69" s="154">
        <f t="shared" ca="1" si="10"/>
        <v>49289002.867522068</v>
      </c>
      <c r="K69" s="154">
        <f t="shared" ca="1" si="10"/>
        <v>49173495.31739977</v>
      </c>
      <c r="L69" s="154">
        <f t="shared" ca="1" si="10"/>
        <v>49036471.443071097</v>
      </c>
      <c r="M69" s="154">
        <f t="shared" ca="1" si="10"/>
        <v>48776772.969116852</v>
      </c>
      <c r="N69" s="353"/>
      <c r="Q69" s="154"/>
    </row>
    <row r="70" spans="2:17" ht="12.75" customHeight="1" x14ac:dyDescent="0.3">
      <c r="B70" s="325" t="str">
        <f>$B$61 &amp; ": " &amp; C70</f>
        <v>Annual Cell Materials Rates: Negative electrode conductive additive, kg/yr</v>
      </c>
      <c r="C70" s="353" t="s">
        <v>1202</v>
      </c>
      <c r="D70" s="353"/>
      <c r="E70" s="353"/>
      <c r="F70" s="1047"/>
      <c r="G70" s="154">
        <f t="shared" ca="1" si="10"/>
        <v>0</v>
      </c>
      <c r="H70" s="154">
        <f t="shared" ca="1" si="10"/>
        <v>0</v>
      </c>
      <c r="I70" s="154">
        <f t="shared" ca="1" si="10"/>
        <v>0</v>
      </c>
      <c r="J70" s="154">
        <f t="shared" ca="1" si="10"/>
        <v>0</v>
      </c>
      <c r="K70" s="154">
        <f t="shared" ca="1" si="10"/>
        <v>0</v>
      </c>
      <c r="L70" s="154">
        <f t="shared" ca="1" si="10"/>
        <v>0</v>
      </c>
      <c r="M70" s="154">
        <f t="shared" ca="1" si="10"/>
        <v>0</v>
      </c>
      <c r="N70" s="353"/>
      <c r="Q70" s="154"/>
    </row>
    <row r="71" spans="2:17" ht="12.75" customHeight="1" x14ac:dyDescent="0.3">
      <c r="B71" s="325" t="str">
        <f>$B$61 &amp; ": " &amp; C71</f>
        <v>Annual Cell Materials Rates: Negative electrode binder, kg/yr</v>
      </c>
      <c r="C71" s="353" t="s">
        <v>1203</v>
      </c>
      <c r="D71" s="353"/>
      <c r="E71" s="353"/>
      <c r="F71" s="486"/>
      <c r="G71" s="154">
        <f t="shared" ca="1" si="10"/>
        <v>1008971.5239802599</v>
      </c>
      <c r="H71" s="154">
        <f t="shared" ca="1" si="10"/>
        <v>1008971.5239802599</v>
      </c>
      <c r="I71" s="154">
        <f t="shared" ca="1" si="10"/>
        <v>1007533.4454948443</v>
      </c>
      <c r="J71" s="154">
        <f t="shared" ca="1" si="10"/>
        <v>1005898.0177045324</v>
      </c>
      <c r="K71" s="154">
        <f t="shared" ca="1" si="10"/>
        <v>1003540.7207632607</v>
      </c>
      <c r="L71" s="154">
        <f t="shared" ca="1" si="10"/>
        <v>1000744.3151647162</v>
      </c>
      <c r="M71" s="154">
        <f t="shared" ca="1" si="10"/>
        <v>995444.34630850691</v>
      </c>
      <c r="N71" s="353"/>
      <c r="Q71" s="154"/>
    </row>
    <row r="72" spans="2:17" ht="12.75" customHeight="1" x14ac:dyDescent="0.3">
      <c r="B72" s="325" t="str">
        <f>$B$61 &amp; ": " &amp; C72</f>
        <v>Annual Cell Materials Rates: Negative electrode binder solvent, kg/yr</v>
      </c>
      <c r="C72" s="353" t="s">
        <v>1204</v>
      </c>
      <c r="D72" s="353"/>
      <c r="E72" s="353"/>
      <c r="F72" s="486">
        <f>IF(Chem!$C$43  = "NMP", 'Cost Input'!$G$18,0)</f>
        <v>0</v>
      </c>
      <c r="G72" s="154">
        <f ca="1">G47*G$13/1000*(1-$F72/100)</f>
        <v>40358860.959210396</v>
      </c>
      <c r="H72" s="154">
        <f t="shared" ref="H72:M72" ca="1" si="11">H47*H$13/1000*(1-$F72/100)</f>
        <v>40358860.959210396</v>
      </c>
      <c r="I72" s="154">
        <f t="shared" ca="1" si="11"/>
        <v>40301337.819793776</v>
      </c>
      <c r="J72" s="154">
        <f t="shared" ca="1" si="11"/>
        <v>40235920.708181299</v>
      </c>
      <c r="K72" s="154">
        <f t="shared" ca="1" si="11"/>
        <v>40141628.830530435</v>
      </c>
      <c r="L72" s="154">
        <f t="shared" ca="1" si="11"/>
        <v>40029772.606588654</v>
      </c>
      <c r="M72" s="154">
        <f t="shared" ca="1" si="11"/>
        <v>39817773.852340281</v>
      </c>
      <c r="N72" s="353"/>
      <c r="Q72" s="154"/>
    </row>
    <row r="73" spans="2:17" ht="12.75" customHeight="1" x14ac:dyDescent="0.3">
      <c r="B73" s="325"/>
      <c r="C73" s="353"/>
      <c r="D73" s="353"/>
      <c r="E73" s="353"/>
      <c r="F73" s="486"/>
      <c r="G73" s="154"/>
      <c r="H73" s="154"/>
      <c r="I73" s="154"/>
      <c r="J73" s="154"/>
      <c r="K73" s="154"/>
      <c r="L73" s="154"/>
      <c r="M73" s="154"/>
      <c r="N73" s="353"/>
      <c r="Q73" s="154"/>
    </row>
    <row r="74" spans="2:17" ht="12.75" customHeight="1" x14ac:dyDescent="0.3">
      <c r="B74" s="665" t="s">
        <v>1205</v>
      </c>
      <c r="C74" s="353"/>
      <c r="D74" s="353"/>
      <c r="E74" s="353"/>
      <c r="F74" s="486"/>
      <c r="G74" s="154"/>
      <c r="H74" s="154"/>
      <c r="I74" s="154"/>
      <c r="J74" s="154"/>
      <c r="K74" s="154"/>
      <c r="L74" s="154"/>
      <c r="M74" s="154"/>
      <c r="N74" s="353"/>
      <c r="Q74" s="154"/>
    </row>
    <row r="75" spans="2:17" ht="12.75" customHeight="1" x14ac:dyDescent="0.3">
      <c r="B75" s="325"/>
      <c r="C75" s="613" t="str">
        <f>"Positive electrode additve (" &amp; Chem!$C$73&amp; "), kg/yr"</f>
        <v>Positive electrode additve (None), kg/yr</v>
      </c>
      <c r="D75" s="353"/>
      <c r="E75" s="353"/>
      <c r="F75" s="353"/>
      <c r="G75" s="154">
        <f t="shared" ref="G75:M77" ca="1" si="12">G51*G$13/1000</f>
        <v>0</v>
      </c>
      <c r="H75" s="154">
        <f t="shared" ca="1" si="12"/>
        <v>0</v>
      </c>
      <c r="I75" s="154">
        <f t="shared" ca="1" si="12"/>
        <v>0</v>
      </c>
      <c r="J75" s="154">
        <f t="shared" ca="1" si="12"/>
        <v>0</v>
      </c>
      <c r="K75" s="154">
        <f t="shared" ca="1" si="12"/>
        <v>0</v>
      </c>
      <c r="L75" s="154">
        <f t="shared" ca="1" si="12"/>
        <v>0</v>
      </c>
      <c r="M75" s="154">
        <f t="shared" ca="1" si="12"/>
        <v>0</v>
      </c>
      <c r="N75" s="353"/>
      <c r="Q75" s="154"/>
    </row>
    <row r="76" spans="2:17" ht="12.75" customHeight="1" x14ac:dyDescent="0.3">
      <c r="B76" s="325"/>
      <c r="C76" s="613" t="str">
        <f>"Negative electrode additve (" &amp; Chem!$C$79&amp; "), kg/yr"</f>
        <v>Negative electrode additve (None), kg/yr</v>
      </c>
      <c r="D76" s="353"/>
      <c r="E76" s="353"/>
      <c r="F76" s="353"/>
      <c r="G76" s="154">
        <f t="shared" ca="1" si="12"/>
        <v>0</v>
      </c>
      <c r="H76" s="154">
        <f t="shared" ca="1" si="12"/>
        <v>0</v>
      </c>
      <c r="I76" s="154">
        <f t="shared" ca="1" si="12"/>
        <v>0</v>
      </c>
      <c r="J76" s="154">
        <f t="shared" ca="1" si="12"/>
        <v>0</v>
      </c>
      <c r="K76" s="154">
        <f t="shared" ca="1" si="12"/>
        <v>0</v>
      </c>
      <c r="L76" s="154">
        <f t="shared" ca="1" si="12"/>
        <v>0</v>
      </c>
      <c r="M76" s="154">
        <f t="shared" ca="1" si="12"/>
        <v>0</v>
      </c>
      <c r="N76" s="353"/>
      <c r="Q76" s="154"/>
    </row>
    <row r="77" spans="2:17" ht="12.75" customHeight="1" x14ac:dyDescent="0.3">
      <c r="B77" s="325"/>
      <c r="C77" s="613" t="str">
        <f>"Electrolyte additve (" &amp; Chem!$C$85&amp; "), kg/yr"</f>
        <v>Electrolyte additve (None), kg/yr</v>
      </c>
      <c r="D77" s="353"/>
      <c r="E77" s="353"/>
      <c r="F77" s="353"/>
      <c r="G77" s="154">
        <f t="shared" ca="1" si="12"/>
        <v>0</v>
      </c>
      <c r="H77" s="154">
        <f t="shared" ca="1" si="12"/>
        <v>0</v>
      </c>
      <c r="I77" s="154">
        <f t="shared" ca="1" si="12"/>
        <v>0</v>
      </c>
      <c r="J77" s="154">
        <f t="shared" ca="1" si="12"/>
        <v>0</v>
      </c>
      <c r="K77" s="154">
        <f t="shared" ca="1" si="12"/>
        <v>0</v>
      </c>
      <c r="L77" s="154">
        <f t="shared" ca="1" si="12"/>
        <v>0</v>
      </c>
      <c r="M77" s="154">
        <f t="shared" ca="1" si="12"/>
        <v>0</v>
      </c>
      <c r="N77" s="353"/>
      <c r="Q77" s="154"/>
    </row>
    <row r="78" spans="2:17" ht="12.75" customHeight="1" x14ac:dyDescent="0.3">
      <c r="B78" s="325"/>
      <c r="C78" s="353"/>
      <c r="D78" s="353"/>
      <c r="E78" s="353"/>
      <c r="F78" s="353"/>
      <c r="G78" s="154"/>
      <c r="H78" s="154"/>
      <c r="I78" s="154"/>
      <c r="J78" s="154"/>
      <c r="K78" s="154"/>
      <c r="L78" s="154"/>
      <c r="M78" s="154"/>
      <c r="N78" s="353"/>
      <c r="Q78" s="154"/>
    </row>
    <row r="79" spans="2:17" ht="12.75" customHeight="1" x14ac:dyDescent="0.3">
      <c r="B79" s="665" t="s">
        <v>892</v>
      </c>
      <c r="C79" s="353"/>
      <c r="D79" s="353"/>
      <c r="E79" s="353"/>
      <c r="F79" s="353"/>
      <c r="G79" s="154"/>
      <c r="H79" s="154"/>
      <c r="I79" s="154"/>
      <c r="J79" s="154"/>
      <c r="K79" s="154"/>
      <c r="L79" s="154"/>
      <c r="M79" s="154"/>
      <c r="N79" s="353"/>
      <c r="Q79" s="154"/>
    </row>
    <row r="80" spans="2:17" ht="12.75" customHeight="1" x14ac:dyDescent="0.3">
      <c r="B80" s="325" t="str">
        <f t="shared" ref="B80:B89" si="13">$B$61 &amp; ": " &amp; C80</f>
        <v>Annual Cell Materials Rates: Positive current collector, m²</v>
      </c>
      <c r="C80" s="353" t="s">
        <v>1190</v>
      </c>
      <c r="D80" s="353"/>
      <c r="E80" s="353"/>
      <c r="F80" s="353"/>
      <c r="G80" s="154">
        <f t="shared" ref="G80:M83" ca="1" si="14">G56*G$13</f>
        <v>115287721.07183345</v>
      </c>
      <c r="H80" s="154">
        <f t="shared" ca="1" si="14"/>
        <v>115287721.07183345</v>
      </c>
      <c r="I80" s="154">
        <f t="shared" ca="1" si="14"/>
        <v>127480196.03829603</v>
      </c>
      <c r="J80" s="154">
        <f t="shared" ca="1" si="14"/>
        <v>146889913.69570261</v>
      </c>
      <c r="K80" s="154">
        <f t="shared" ca="1" si="14"/>
        <v>178008050.59147015</v>
      </c>
      <c r="L80" s="154">
        <f t="shared" ca="1" si="14"/>
        <v>239997885.39308247</v>
      </c>
      <c r="M80" s="154">
        <f t="shared" ca="1" si="14"/>
        <v>446555443.07139093</v>
      </c>
      <c r="N80" s="353"/>
      <c r="Q80" s="154"/>
    </row>
    <row r="81" spans="2:23" ht="12.75" customHeight="1" x14ac:dyDescent="0.3">
      <c r="B81" s="325" t="str">
        <f t="shared" si="13"/>
        <v>Annual Cell Materials Rates: Negative current collector, m²</v>
      </c>
      <c r="C81" s="353" t="s">
        <v>1191</v>
      </c>
      <c r="D81" s="353"/>
      <c r="E81" s="353"/>
      <c r="F81" s="353"/>
      <c r="G81" s="154">
        <f t="shared" ca="1" si="14"/>
        <v>123024186.40287529</v>
      </c>
      <c r="H81" s="154">
        <f t="shared" ca="1" si="14"/>
        <v>123024186.40287529</v>
      </c>
      <c r="I81" s="154">
        <f t="shared" ca="1" si="14"/>
        <v>135654862.65027881</v>
      </c>
      <c r="J81" s="154">
        <f t="shared" ca="1" si="14"/>
        <v>155745292.84987158</v>
      </c>
      <c r="K81" s="154">
        <f t="shared" ca="1" si="14"/>
        <v>187950621.15048328</v>
      </c>
      <c r="L81" s="154">
        <f t="shared" ca="1" si="14"/>
        <v>252030470.33788529</v>
      </c>
      <c r="M81" s="154">
        <f t="shared" ca="1" si="14"/>
        <v>465009309.64140135</v>
      </c>
      <c r="N81" s="353"/>
      <c r="Q81" s="154"/>
    </row>
    <row r="82" spans="2:23" ht="12.75" customHeight="1" x14ac:dyDescent="0.3">
      <c r="B82" s="325" t="str">
        <f t="shared" si="13"/>
        <v>Annual Cell Materials Rates: Separators, m²</v>
      </c>
      <c r="C82" s="353" t="s">
        <v>1192</v>
      </c>
      <c r="D82" s="353"/>
      <c r="E82" s="353"/>
      <c r="F82" s="353"/>
      <c r="G82" s="154">
        <f t="shared" ca="1" si="14"/>
        <v>190739712.58149698</v>
      </c>
      <c r="H82" s="154">
        <f t="shared" ca="1" si="14"/>
        <v>190739712.58149698</v>
      </c>
      <c r="I82" s="154">
        <f t="shared" ca="1" si="14"/>
        <v>211058169.01610392</v>
      </c>
      <c r="J82" s="154">
        <f t="shared" ca="1" si="14"/>
        <v>243096738.97751614</v>
      </c>
      <c r="K82" s="154">
        <f t="shared" ca="1" si="14"/>
        <v>295209688.28567928</v>
      </c>
      <c r="L82" s="154">
        <f t="shared" ca="1" si="14"/>
        <v>398251388.75766635</v>
      </c>
      <c r="M82" s="154">
        <f t="shared" ca="1" si="14"/>
        <v>744221873.36958802</v>
      </c>
      <c r="N82" s="353"/>
      <c r="Q82" s="154"/>
    </row>
    <row r="83" spans="2:23" ht="12.75" customHeight="1" x14ac:dyDescent="0.3">
      <c r="B83" s="325" t="str">
        <f t="shared" si="13"/>
        <v>Annual Cell Materials Rates: Electrolyte, L</v>
      </c>
      <c r="C83" s="353" t="s">
        <v>1193</v>
      </c>
      <c r="D83" s="353"/>
      <c r="E83" s="353"/>
      <c r="F83" s="353"/>
      <c r="G83" s="154">
        <f t="shared" ca="1" si="14"/>
        <v>15072427.325411087</v>
      </c>
      <c r="H83" s="154">
        <f t="shared" ca="1" si="14"/>
        <v>15072427.325411087</v>
      </c>
      <c r="I83" s="154">
        <f t="shared" ca="1" si="14"/>
        <v>15216563.865000416</v>
      </c>
      <c r="J83" s="154">
        <f t="shared" ca="1" si="14"/>
        <v>15450746.335943019</v>
      </c>
      <c r="K83" s="154">
        <f t="shared" ca="1" si="14"/>
        <v>15838695.970566653</v>
      </c>
      <c r="L83" s="154">
        <f t="shared" ca="1" si="14"/>
        <v>16626974.455271399</v>
      </c>
      <c r="M83" s="154">
        <f t="shared" ca="1" si="14"/>
        <v>19330386.834620718</v>
      </c>
      <c r="N83" s="9"/>
      <c r="Q83" s="154"/>
    </row>
    <row r="84" spans="2:23" ht="12.75" customHeight="1" x14ac:dyDescent="0.3">
      <c r="B84" s="325" t="str">
        <f t="shared" si="13"/>
        <v>Annual Cell Materials Rates: Number of negative terminals</v>
      </c>
      <c r="C84" s="9" t="s">
        <v>1206</v>
      </c>
      <c r="D84" s="9"/>
      <c r="E84" s="353"/>
      <c r="F84" s="353"/>
      <c r="G84" s="154">
        <f>G$13/Dashboard!$D112*100</f>
        <v>210526315.78947365</v>
      </c>
      <c r="H84" s="154">
        <f>H$13/Dashboard!$D112*100</f>
        <v>210526315.78947365</v>
      </c>
      <c r="I84" s="154">
        <f>I$13/Dashboard!$D112*100</f>
        <v>210526315.78947365</v>
      </c>
      <c r="J84" s="154">
        <f>J$13/Dashboard!$D112*100</f>
        <v>210526315.78947365</v>
      </c>
      <c r="K84" s="154">
        <f>K$13/Dashboard!$D112*100</f>
        <v>210526315.78947365</v>
      </c>
      <c r="L84" s="154">
        <f>L$13/Dashboard!$D112*100</f>
        <v>210526315.78947365</v>
      </c>
      <c r="M84" s="154">
        <f>M$13/Dashboard!$D112*100</f>
        <v>210526315.78947365</v>
      </c>
      <c r="N84" s="9"/>
      <c r="Q84" s="154"/>
    </row>
    <row r="85" spans="2:23" ht="12.75" customHeight="1" x14ac:dyDescent="0.3">
      <c r="B85" s="325" t="str">
        <f t="shared" si="13"/>
        <v>Annual Cell Materials Rates: Number of positive terminals</v>
      </c>
      <c r="C85" s="9" t="s">
        <v>1207</v>
      </c>
      <c r="D85" s="9"/>
      <c r="E85" s="353"/>
      <c r="F85" s="353"/>
      <c r="G85" s="154">
        <f t="shared" ref="G85:M86" si="15">G84</f>
        <v>210526315.78947365</v>
      </c>
      <c r="H85" s="154">
        <f t="shared" si="15"/>
        <v>210526315.78947365</v>
      </c>
      <c r="I85" s="154">
        <f t="shared" si="15"/>
        <v>210526315.78947365</v>
      </c>
      <c r="J85" s="154">
        <f t="shared" si="15"/>
        <v>210526315.78947365</v>
      </c>
      <c r="K85" s="154">
        <f t="shared" si="15"/>
        <v>210526315.78947365</v>
      </c>
      <c r="L85" s="154">
        <f t="shared" si="15"/>
        <v>210526315.78947365</v>
      </c>
      <c r="M85" s="154">
        <f t="shared" si="15"/>
        <v>210526315.78947365</v>
      </c>
      <c r="N85" s="9"/>
      <c r="Q85" s="154"/>
    </row>
    <row r="86" spans="2:23" ht="12.75" customHeight="1" x14ac:dyDescent="0.3">
      <c r="B86" s="325" t="str">
        <f t="shared" si="13"/>
        <v>Annual Cell Materials Rates: Number of cell containers</v>
      </c>
      <c r="C86" s="9" t="s">
        <v>1208</v>
      </c>
      <c r="D86" s="9"/>
      <c r="E86" s="353"/>
      <c r="F86" s="353"/>
      <c r="G86" s="154">
        <f t="shared" si="15"/>
        <v>210526315.78947365</v>
      </c>
      <c r="H86" s="154">
        <f t="shared" si="15"/>
        <v>210526315.78947365</v>
      </c>
      <c r="I86" s="154">
        <f t="shared" si="15"/>
        <v>210526315.78947365</v>
      </c>
      <c r="J86" s="154">
        <f t="shared" si="15"/>
        <v>210526315.78947365</v>
      </c>
      <c r="K86" s="154">
        <f t="shared" si="15"/>
        <v>210526315.78947365</v>
      </c>
      <c r="L86" s="154">
        <f t="shared" si="15"/>
        <v>210526315.78947365</v>
      </c>
      <c r="M86" s="154">
        <f t="shared" si="15"/>
        <v>210526315.78947365</v>
      </c>
      <c r="N86" s="61"/>
      <c r="Q86" s="154"/>
    </row>
    <row r="87" spans="2:23" ht="12.75" customHeight="1" x14ac:dyDescent="0.3">
      <c r="B87" s="325" t="str">
        <f t="shared" si="13"/>
        <v>Annual Cell Materials Rates: Number of aluminum thermal conductors</v>
      </c>
      <c r="C87" s="61" t="s">
        <v>1209</v>
      </c>
      <c r="D87" s="9"/>
      <c r="E87" s="353"/>
      <c r="F87" s="353"/>
      <c r="G87" s="154">
        <f t="shared" ref="G87:M87" si="16">G13</f>
        <v>200000000</v>
      </c>
      <c r="H87" s="154">
        <f t="shared" si="16"/>
        <v>200000000</v>
      </c>
      <c r="I87" s="154">
        <f t="shared" si="16"/>
        <v>200000000</v>
      </c>
      <c r="J87" s="154">
        <f t="shared" si="16"/>
        <v>200000000</v>
      </c>
      <c r="K87" s="154">
        <f t="shared" si="16"/>
        <v>200000000</v>
      </c>
      <c r="L87" s="154">
        <f t="shared" si="16"/>
        <v>200000000</v>
      </c>
      <c r="M87" s="154">
        <f t="shared" si="16"/>
        <v>200000000</v>
      </c>
      <c r="N87" s="61"/>
      <c r="Q87" s="154"/>
    </row>
    <row r="88" spans="2:23" ht="14" x14ac:dyDescent="0.3">
      <c r="B88" s="325" t="str">
        <f t="shared" si="13"/>
        <v>Annual Cell Materials Rates: Positive binder solvent evaporated in dryer, kg</v>
      </c>
      <c r="C88" s="61" t="s">
        <v>1210</v>
      </c>
      <c r="D88" s="9"/>
      <c r="E88" s="353"/>
      <c r="F88" s="353"/>
      <c r="G88" s="154">
        <f ca="1">(G40)*G13/1000</f>
        <v>24294293.717757486</v>
      </c>
      <c r="H88" s="154">
        <f t="shared" ref="H88:M88" ca="1" si="17">(H40)*H13/1000</f>
        <v>24294293.717757486</v>
      </c>
      <c r="I88" s="154">
        <f t="shared" ca="1" si="17"/>
        <v>24265314.21033103</v>
      </c>
      <c r="J88" s="154">
        <f t="shared" ca="1" si="17"/>
        <v>24229655.320260104</v>
      </c>
      <c r="K88" s="154">
        <f t="shared" ca="1" si="17"/>
        <v>24188451.244780559</v>
      </c>
      <c r="L88" s="154">
        <f t="shared" ca="1" si="17"/>
        <v>24139116.886451386</v>
      </c>
      <c r="M88" s="154">
        <f t="shared" ca="1" si="17"/>
        <v>24074059.856483363</v>
      </c>
      <c r="N88" s="719" t="s">
        <v>1211</v>
      </c>
      <c r="Q88" s="154"/>
    </row>
    <row r="89" spans="2:23" ht="14" x14ac:dyDescent="0.3">
      <c r="B89" s="325" t="str">
        <f t="shared" si="13"/>
        <v>Annual Cell Materials Rates: Negative binder solvent evaporated in dryer, kg</v>
      </c>
      <c r="C89" s="61" t="s">
        <v>1212</v>
      </c>
      <c r="D89" s="9"/>
      <c r="E89" s="353"/>
      <c r="F89" s="353"/>
      <c r="G89" s="154">
        <f ca="1">G47*G13/1000</f>
        <v>40358860.959210396</v>
      </c>
      <c r="H89" s="154">
        <f t="shared" ref="H89:M89" ca="1" si="18">H47*H13/1000</f>
        <v>40358860.959210396</v>
      </c>
      <c r="I89" s="154">
        <f t="shared" ca="1" si="18"/>
        <v>40301337.819793776</v>
      </c>
      <c r="J89" s="154">
        <f t="shared" ca="1" si="18"/>
        <v>40235920.708181299</v>
      </c>
      <c r="K89" s="154">
        <f t="shared" ca="1" si="18"/>
        <v>40141628.830530435</v>
      </c>
      <c r="L89" s="154">
        <f t="shared" ca="1" si="18"/>
        <v>40029772.606588654</v>
      </c>
      <c r="M89" s="154">
        <f t="shared" ca="1" si="18"/>
        <v>39817773.852340281</v>
      </c>
      <c r="N89" s="719" t="s">
        <v>1211</v>
      </c>
      <c r="T89" s="111"/>
    </row>
    <row r="90" spans="2:23" ht="14" x14ac:dyDescent="0.3">
      <c r="B90" s="325" t="str">
        <f>$B$61 &amp; ": " &amp; C90</f>
        <v>Annual Cell Materials Rates: NMP solvent evaporated in dryer, kg</v>
      </c>
      <c r="C90" s="61" t="s">
        <v>1213</v>
      </c>
      <c r="D90" s="9"/>
      <c r="E90" s="353"/>
      <c r="F90" s="353"/>
      <c r="G90" s="154">
        <f ca="1">IF(Chem!$C$14 = "NMP", 1, 0)*G88 + IF(Chem!$C$43 = "NMP", 1, 0)*G89</f>
        <v>24294293.717757486</v>
      </c>
      <c r="H90" s="154">
        <f ca="1">IF(Chem!$C$14 = "NMP", 1, 0)*H88 + IF(Chem!$C$43 = "NMP", 1, 0)*H89</f>
        <v>24294293.717757486</v>
      </c>
      <c r="I90" s="154">
        <f ca="1">IF(Chem!$C$14 = "NMP", 1, 0)*I88 + IF(Chem!$C$43 = "NMP", 1, 0)*I89</f>
        <v>24265314.21033103</v>
      </c>
      <c r="J90" s="154">
        <f ca="1">IF(Chem!$C$14 = "NMP", 1, 0)*J88 + IF(Chem!$C$43 = "NMP", 1, 0)*J89</f>
        <v>24229655.320260104</v>
      </c>
      <c r="K90" s="154">
        <f ca="1">IF(Chem!$C$14 = "NMP", 1, 0)*K88 + IF(Chem!$C$43 = "NMP", 1, 0)*K89</f>
        <v>24188451.244780559</v>
      </c>
      <c r="L90" s="154">
        <f ca="1">IF(Chem!$C$14 = "NMP", 1, 0)*L88 + IF(Chem!$C$43 = "NMP", 1, 0)*L89</f>
        <v>24139116.886451386</v>
      </c>
      <c r="M90" s="154">
        <f ca="1">IF(Chem!$C$14 = "NMP", 1, 0)*M88 + IF(Chem!$C$43 = "NMP", 1, 0)*M89</f>
        <v>24074059.856483363</v>
      </c>
      <c r="N90" s="719"/>
      <c r="T90" s="111"/>
    </row>
    <row r="91" spans="2:23" ht="14" x14ac:dyDescent="0.3">
      <c r="B91" s="325"/>
      <c r="C91" s="61"/>
      <c r="D91" s="9"/>
      <c r="E91" s="353"/>
      <c r="F91" s="353"/>
      <c r="G91" s="154"/>
      <c r="H91" s="154"/>
      <c r="I91" s="154"/>
      <c r="J91" s="154"/>
      <c r="K91" s="154"/>
      <c r="L91" s="154"/>
      <c r="M91" s="154"/>
      <c r="N91" s="719"/>
      <c r="T91" s="111"/>
    </row>
    <row r="92" spans="2:23" ht="15.5" x14ac:dyDescent="0.35">
      <c r="B92" s="78" t="s">
        <v>1214</v>
      </c>
      <c r="C92" s="36"/>
      <c r="D92" s="36"/>
      <c r="E92" s="109" t="s">
        <v>1031</v>
      </c>
      <c r="F92" s="109" t="s">
        <v>1108</v>
      </c>
      <c r="G92" s="155"/>
      <c r="H92" s="155"/>
      <c r="I92" s="155"/>
      <c r="J92" s="155"/>
      <c r="K92" s="155"/>
      <c r="L92" s="155"/>
      <c r="M92" s="155"/>
      <c r="T92" s="353"/>
    </row>
    <row r="93" spans="2:23" ht="14" x14ac:dyDescent="0.3">
      <c r="B93" s="665" t="s">
        <v>80</v>
      </c>
      <c r="D93" s="353"/>
      <c r="E93" s="174"/>
      <c r="F93" s="353"/>
      <c r="G93" s="155"/>
      <c r="H93" s="155"/>
      <c r="I93" s="155"/>
      <c r="J93" s="155"/>
      <c r="K93" s="155"/>
      <c r="L93" s="155"/>
      <c r="M93" s="155"/>
      <c r="T93" s="353"/>
      <c r="W93" s="157"/>
    </row>
    <row r="94" spans="2:23" x14ac:dyDescent="0.3">
      <c r="B94" s="325" t="str">
        <f>$B$92 &amp; ": " &amp; C94</f>
        <v>Unit Cell Materials Costs: Positive electrode active material, $/kg</v>
      </c>
      <c r="C94" s="353" t="s">
        <v>1215</v>
      </c>
      <c r="D94" s="353"/>
      <c r="E94" s="156">
        <f>'Cost Input'!F24</f>
        <v>26</v>
      </c>
      <c r="F94" s="156">
        <f>'Cost Input'!G24</f>
        <v>1</v>
      </c>
      <c r="G94" s="157">
        <f ca="1">$E94*('Cost Input'!$F$300/G$63)^(1-$F94)</f>
        <v>26</v>
      </c>
      <c r="H94" s="157">
        <f ca="1">$E94*('Cost Input'!$F$300/H$63)^(1-$F94)</f>
        <v>26</v>
      </c>
      <c r="I94" s="157">
        <f ca="1">$E94*('Cost Input'!$F$300/I$63)^(1-$F94)</f>
        <v>26</v>
      </c>
      <c r="J94" s="157">
        <f ca="1">$E94*('Cost Input'!$F$300/J$63)^(1-$F94)</f>
        <v>26</v>
      </c>
      <c r="K94" s="157">
        <f ca="1">$E94*('Cost Input'!$F$300/K$63)^(1-$F94)</f>
        <v>26</v>
      </c>
      <c r="L94" s="157">
        <f ca="1">$E94*('Cost Input'!$F$300/L$63)^(1-$F94)</f>
        <v>26</v>
      </c>
      <c r="M94" s="157">
        <f ca="1">$E94*('Cost Input'!$F$300/M$63)^(1-$F94)</f>
        <v>26</v>
      </c>
      <c r="T94" s="353"/>
      <c r="W94" s="157"/>
    </row>
    <row r="95" spans="2:23" x14ac:dyDescent="0.3">
      <c r="B95" s="325" t="str">
        <f>$B$92 &amp; ": " &amp; C95</f>
        <v>Unit Cell Materials Costs: Positive electrode carbon additive, $/kg</v>
      </c>
      <c r="C95" s="353" t="s">
        <v>1216</v>
      </c>
      <c r="D95" s="353"/>
      <c r="E95" s="156">
        <f>'Cost Input'!F25</f>
        <v>7</v>
      </c>
      <c r="F95" s="156">
        <f>'Cost Input'!G25</f>
        <v>1</v>
      </c>
      <c r="G95" s="157">
        <f ca="1">$E95*('Cost Input'!$F$300/G$63)^(1-$F95)</f>
        <v>7</v>
      </c>
      <c r="H95" s="157">
        <f ca="1">$E95*('Cost Input'!$F$300/H$63)^(1-$F95)</f>
        <v>7</v>
      </c>
      <c r="I95" s="157">
        <f ca="1">$E95*('Cost Input'!$F$300/I$63)^(1-$F95)</f>
        <v>7</v>
      </c>
      <c r="J95" s="157">
        <f ca="1">$E95*('Cost Input'!$F$300/J$63)^(1-$F95)</f>
        <v>7</v>
      </c>
      <c r="K95" s="157">
        <f ca="1">$E95*('Cost Input'!$F$300/K$63)^(1-$F95)</f>
        <v>7</v>
      </c>
      <c r="L95" s="157">
        <f ca="1">$E95*('Cost Input'!$F$300/L$63)^(1-$F95)</f>
        <v>7</v>
      </c>
      <c r="M95" s="157">
        <f ca="1">$E95*('Cost Input'!$F$300/M$63)^(1-$F95)</f>
        <v>7</v>
      </c>
      <c r="T95" s="353"/>
      <c r="W95" s="157"/>
    </row>
    <row r="96" spans="2:23" x14ac:dyDescent="0.3">
      <c r="B96" s="325" t="str">
        <f>$B$92 &amp; ": " &amp; C96</f>
        <v>Unit Cell Materials Costs: Positive electrode binder, $/kg</v>
      </c>
      <c r="C96" s="353" t="s">
        <v>1217</v>
      </c>
      <c r="D96" s="353"/>
      <c r="E96" s="156">
        <f>'Cost Input'!F26</f>
        <v>15</v>
      </c>
      <c r="F96" s="156">
        <f>'Cost Input'!G26</f>
        <v>1</v>
      </c>
      <c r="G96" s="157">
        <f ca="1">$E96*('Cost Input'!$F$300/G$63)^(1-$F96)</f>
        <v>15</v>
      </c>
      <c r="H96" s="157">
        <f ca="1">$E96*('Cost Input'!$F$300/H$63)^(1-$F96)</f>
        <v>15</v>
      </c>
      <c r="I96" s="157">
        <f ca="1">$E96*('Cost Input'!$F$300/I$63)^(1-$F96)</f>
        <v>15</v>
      </c>
      <c r="J96" s="157">
        <f ca="1">$E96*('Cost Input'!$F$300/J$63)^(1-$F96)</f>
        <v>15</v>
      </c>
      <c r="K96" s="157">
        <f ca="1">$E96*('Cost Input'!$F$300/K$63)^(1-$F96)</f>
        <v>15</v>
      </c>
      <c r="L96" s="157">
        <f ca="1">$E96*('Cost Input'!$F$300/L$63)^(1-$F96)</f>
        <v>15</v>
      </c>
      <c r="M96" s="157">
        <f ca="1">$E96*('Cost Input'!$F$300/M$63)^(1-$F96)</f>
        <v>15</v>
      </c>
      <c r="T96" s="353"/>
      <c r="W96" s="157"/>
    </row>
    <row r="97" spans="2:23" x14ac:dyDescent="0.3">
      <c r="B97" s="325" t="str">
        <f>$B$92 &amp; ": " &amp; C97</f>
        <v>Unit Cell Materials Costs: Positive electrode binder solvent, $/kg</v>
      </c>
      <c r="C97" s="353" t="s">
        <v>1218</v>
      </c>
      <c r="D97" s="353"/>
      <c r="E97" s="156">
        <f>'Cost Input'!F27</f>
        <v>2.7</v>
      </c>
      <c r="F97" s="156">
        <f>'Cost Input'!G27</f>
        <v>1</v>
      </c>
      <c r="G97" s="157">
        <f ca="1">$E97*('Cost Input'!$F$300/G$63)^(1-$F97)</f>
        <v>2.7</v>
      </c>
      <c r="H97" s="157">
        <f ca="1">$E97*('Cost Input'!$F$300/H$63)^(1-$F97)</f>
        <v>2.7</v>
      </c>
      <c r="I97" s="157">
        <f ca="1">$E97*('Cost Input'!$F$300/I$63)^(1-$F97)</f>
        <v>2.7</v>
      </c>
      <c r="J97" s="157">
        <f ca="1">$E97*('Cost Input'!$F$300/J$63)^(1-$F97)</f>
        <v>2.7</v>
      </c>
      <c r="K97" s="157">
        <f ca="1">$E97*('Cost Input'!$F$300/K$63)^(1-$F97)</f>
        <v>2.7</v>
      </c>
      <c r="L97" s="157">
        <f ca="1">$E97*('Cost Input'!$F$300/L$63)^(1-$F97)</f>
        <v>2.7</v>
      </c>
      <c r="M97" s="157">
        <f ca="1">$E97*('Cost Input'!$F$300/M$63)^(1-$F97)</f>
        <v>2.7</v>
      </c>
      <c r="T97" s="353"/>
      <c r="W97" s="158"/>
    </row>
    <row r="98" spans="2:23" x14ac:dyDescent="0.3">
      <c r="B98" s="325"/>
      <c r="C98" s="327"/>
      <c r="D98" s="353"/>
      <c r="E98" s="156"/>
      <c r="F98" s="156"/>
      <c r="G98" s="157"/>
      <c r="H98" s="157"/>
      <c r="I98" s="157"/>
      <c r="J98" s="157"/>
      <c r="K98" s="157"/>
      <c r="L98" s="157"/>
      <c r="M98" s="157"/>
      <c r="T98" s="353"/>
      <c r="W98" s="158"/>
    </row>
    <row r="99" spans="2:23" ht="14" x14ac:dyDescent="0.3">
      <c r="B99" s="665" t="s">
        <v>887</v>
      </c>
      <c r="D99" s="353"/>
      <c r="E99" s="156"/>
      <c r="F99" s="156"/>
      <c r="G99" s="158"/>
      <c r="H99" s="158"/>
      <c r="I99" s="158"/>
      <c r="J99" s="158"/>
      <c r="K99" s="158"/>
      <c r="L99" s="158"/>
      <c r="M99" s="158"/>
      <c r="T99" s="353"/>
      <c r="W99" s="157"/>
    </row>
    <row r="100" spans="2:23" x14ac:dyDescent="0.3">
      <c r="B100" s="325" t="str">
        <f t="shared" ref="B100:B109" si="19">$B$92 &amp; ": " &amp; C100</f>
        <v>Unit Cell Materials Costs: Negative electrode active material, $/kg</v>
      </c>
      <c r="C100" s="353" t="s">
        <v>1219</v>
      </c>
      <c r="D100" s="353"/>
      <c r="E100" s="156">
        <f>'Cost Input'!F30</f>
        <v>10</v>
      </c>
      <c r="F100" s="156">
        <f>'Cost Input'!G30</f>
        <v>1</v>
      </c>
      <c r="G100" s="157">
        <f ca="1">$E100*('Cost Input'!$F$301/G$69)^(1-$F100)</f>
        <v>10</v>
      </c>
      <c r="H100" s="157">
        <f ca="1">$E100*('Cost Input'!$F$301/H$69)^(1-$F100)</f>
        <v>10</v>
      </c>
      <c r="I100" s="157">
        <f ca="1">$E100*('Cost Input'!$F$301/I$69)^(1-$F100)</f>
        <v>10</v>
      </c>
      <c r="J100" s="157">
        <f ca="1">$E100*('Cost Input'!$F$301/J$69)^(1-$F100)</f>
        <v>10</v>
      </c>
      <c r="K100" s="157">
        <f ca="1">$E100*('Cost Input'!$F$301/K$69)^(1-$F100)</f>
        <v>10</v>
      </c>
      <c r="L100" s="157">
        <f ca="1">$E100*('Cost Input'!$F$301/L$69)^(1-$F100)</f>
        <v>10</v>
      </c>
      <c r="M100" s="157">
        <f ca="1">$E100*('Cost Input'!$F$301/M$69)^(1-$F100)</f>
        <v>10</v>
      </c>
      <c r="T100" s="353"/>
      <c r="W100" s="157"/>
    </row>
    <row r="101" spans="2:23" x14ac:dyDescent="0.3">
      <c r="B101" s="325" t="str">
        <f t="shared" si="19"/>
        <v>Unit Cell Materials Costs: Negative electrode carbon additive, $/kg</v>
      </c>
      <c r="C101" s="353" t="s">
        <v>1220</v>
      </c>
      <c r="D101" s="353"/>
      <c r="E101" s="156">
        <f>'Cost Input'!F31</f>
        <v>7</v>
      </c>
      <c r="F101" s="156">
        <f>'Cost Input'!G31</f>
        <v>1</v>
      </c>
      <c r="G101" s="157">
        <f ca="1">$E101*('Cost Input'!$F$301/G$69)^(1-$F101)</f>
        <v>7</v>
      </c>
      <c r="H101" s="157">
        <f ca="1">$E101*('Cost Input'!$F$301/H$69)^(1-$F101)</f>
        <v>7</v>
      </c>
      <c r="I101" s="157">
        <f ca="1">$E101*('Cost Input'!$F$301/I$69)^(1-$F101)</f>
        <v>7</v>
      </c>
      <c r="J101" s="157">
        <f ca="1">$E101*('Cost Input'!$F$301/J$69)^(1-$F101)</f>
        <v>7</v>
      </c>
      <c r="K101" s="157">
        <f ca="1">$E101*('Cost Input'!$F$301/K$69)^(1-$F101)</f>
        <v>7</v>
      </c>
      <c r="L101" s="157">
        <f ca="1">$E101*('Cost Input'!$F$301/L$69)^(1-$F101)</f>
        <v>7</v>
      </c>
      <c r="M101" s="157">
        <f ca="1">$E101*('Cost Input'!$F$301/M$69)^(1-$F101)</f>
        <v>7</v>
      </c>
      <c r="T101" s="353"/>
      <c r="W101" s="157"/>
    </row>
    <row r="102" spans="2:23" x14ac:dyDescent="0.3">
      <c r="B102" s="325" t="str">
        <f t="shared" si="19"/>
        <v>Unit Cell Materials Costs: Negative electrode binder, $/kg</v>
      </c>
      <c r="C102" s="353" t="s">
        <v>1221</v>
      </c>
      <c r="D102" s="353"/>
      <c r="E102" s="156">
        <f>'Cost Input'!F32</f>
        <v>10</v>
      </c>
      <c r="F102" s="156">
        <f>'Cost Input'!G32</f>
        <v>1</v>
      </c>
      <c r="G102" s="157">
        <f ca="1">$E102*('Cost Input'!$F$301/G$69)^(1-$F102)</f>
        <v>10</v>
      </c>
      <c r="H102" s="157">
        <f ca="1">$E102*('Cost Input'!$F$301/H$69)^(1-$F102)</f>
        <v>10</v>
      </c>
      <c r="I102" s="157">
        <f ca="1">$E102*('Cost Input'!$F$301/I$69)^(1-$F102)</f>
        <v>10</v>
      </c>
      <c r="J102" s="157">
        <f ca="1">$E102*('Cost Input'!$F$301/J$69)^(1-$F102)</f>
        <v>10</v>
      </c>
      <c r="K102" s="157">
        <f ca="1">$E102*('Cost Input'!$F$301/K$69)^(1-$F102)</f>
        <v>10</v>
      </c>
      <c r="L102" s="157">
        <f ca="1">$E102*('Cost Input'!$F$301/L$69)^(1-$F102)</f>
        <v>10</v>
      </c>
      <c r="M102" s="157">
        <f ca="1">$E102*('Cost Input'!$F$301/M$69)^(1-$F102)</f>
        <v>10</v>
      </c>
      <c r="T102" s="353"/>
      <c r="W102" s="157"/>
    </row>
    <row r="103" spans="2:23" x14ac:dyDescent="0.3">
      <c r="B103" s="325"/>
      <c r="C103" s="353" t="s">
        <v>1222</v>
      </c>
      <c r="D103" s="353"/>
      <c r="E103" s="156">
        <f>'Cost Input'!F33</f>
        <v>0</v>
      </c>
      <c r="F103" s="156">
        <f>'Cost Input'!G33</f>
        <v>1</v>
      </c>
      <c r="G103" s="157">
        <f ca="1">$E103*('Cost Input'!$F$301/G$69)^(1-$F103)</f>
        <v>0</v>
      </c>
      <c r="H103" s="157">
        <f ca="1">$E103*('Cost Input'!$F$301/H$69)^(1-$F103)</f>
        <v>0</v>
      </c>
      <c r="I103" s="157">
        <f ca="1">$E103*('Cost Input'!$F$301/I$69)^(1-$F103)</f>
        <v>0</v>
      </c>
      <c r="J103" s="157">
        <f ca="1">$E103*('Cost Input'!$F$301/J$69)^(1-$F103)</f>
        <v>0</v>
      </c>
      <c r="K103" s="157">
        <f ca="1">$E103*('Cost Input'!$F$301/K$69)^(1-$F103)</f>
        <v>0</v>
      </c>
      <c r="L103" s="157">
        <f ca="1">$E103*('Cost Input'!$F$301/L$69)^(1-$F103)</f>
        <v>0</v>
      </c>
      <c r="M103" s="157">
        <f ca="1">$E103*('Cost Input'!$F$301/M$69)^(1-$F103)</f>
        <v>0</v>
      </c>
      <c r="T103" s="353"/>
      <c r="W103" s="157"/>
    </row>
    <row r="104" spans="2:23" x14ac:dyDescent="0.3">
      <c r="B104" s="325"/>
      <c r="C104" s="353"/>
      <c r="D104" s="353"/>
      <c r="E104" s="156"/>
      <c r="F104" s="156"/>
      <c r="G104" s="157"/>
      <c r="H104" s="157"/>
      <c r="I104" s="157"/>
      <c r="J104" s="157"/>
      <c r="K104" s="157"/>
      <c r="L104" s="157"/>
      <c r="M104" s="157"/>
      <c r="T104" s="353"/>
      <c r="W104" s="157"/>
    </row>
    <row r="105" spans="2:23" ht="14" x14ac:dyDescent="0.3">
      <c r="B105" s="665" t="s">
        <v>892</v>
      </c>
      <c r="C105" s="327"/>
      <c r="D105" s="353"/>
      <c r="E105" s="156"/>
      <c r="F105" s="156"/>
      <c r="G105" s="157"/>
      <c r="H105" s="157"/>
      <c r="I105" s="157"/>
      <c r="J105" s="157"/>
      <c r="K105" s="157"/>
      <c r="L105" s="157"/>
      <c r="M105" s="157"/>
      <c r="T105" s="353"/>
      <c r="W105" s="157"/>
    </row>
    <row r="106" spans="2:23" x14ac:dyDescent="0.3">
      <c r="B106" s="325" t="str">
        <f t="shared" si="19"/>
        <v>Unit Cell Materials Costs: Positive current collector, $/m²</v>
      </c>
      <c r="C106" s="353" t="s">
        <v>1223</v>
      </c>
      <c r="D106" s="353"/>
      <c r="E106" s="156">
        <f>'Cost Input'!F36</f>
        <v>0.2</v>
      </c>
      <c r="F106" s="156">
        <f>'Cost Input'!G36</f>
        <v>1</v>
      </c>
      <c r="G106" s="157">
        <f ca="1">$E106*('Cost Input'!$F$298/G$15)^(1-$F106)</f>
        <v>0.2</v>
      </c>
      <c r="H106" s="157">
        <f ca="1">$E106*('Cost Input'!$F$298/H$15)^(1-$F106)</f>
        <v>0.2</v>
      </c>
      <c r="I106" s="157">
        <f ca="1">$E106*('Cost Input'!$F$298/I$15)^(1-$F106)</f>
        <v>0.2</v>
      </c>
      <c r="J106" s="157">
        <f ca="1">$E106*('Cost Input'!$F$298/J$15)^(1-$F106)</f>
        <v>0.2</v>
      </c>
      <c r="K106" s="157">
        <f ca="1">$E106*('Cost Input'!$F$298/K$15)^(1-$F106)</f>
        <v>0.2</v>
      </c>
      <c r="L106" s="157">
        <f ca="1">$E106*('Cost Input'!$F$298/L$15)^(1-$F106)</f>
        <v>0.2</v>
      </c>
      <c r="M106" s="157">
        <f ca="1">$E106*('Cost Input'!$F$298/M$15)^(1-$F106)</f>
        <v>0.2</v>
      </c>
      <c r="T106" s="353"/>
      <c r="W106" s="157"/>
    </row>
    <row r="107" spans="2:23" x14ac:dyDescent="0.3">
      <c r="B107" s="325" t="str">
        <f t="shared" si="19"/>
        <v>Unit Cell Materials Costs: Negative current collector, $/m²</v>
      </c>
      <c r="C107" s="353" t="s">
        <v>1224</v>
      </c>
      <c r="D107" s="353"/>
      <c r="E107" s="156">
        <f>'Cost Input'!F37</f>
        <v>1.2</v>
      </c>
      <c r="F107" s="156">
        <f>'Cost Input'!G37</f>
        <v>1</v>
      </c>
      <c r="G107" s="157">
        <f ca="1">$E107*('Cost Input'!$F$298/G$15)^(1-$F107)</f>
        <v>1.2</v>
      </c>
      <c r="H107" s="157">
        <f ca="1">$E107*('Cost Input'!$F$298/H$15)^(1-$F107)</f>
        <v>1.2</v>
      </c>
      <c r="I107" s="157">
        <f ca="1">$E107*('Cost Input'!$F$298/I$15)^(1-$F107)</f>
        <v>1.2</v>
      </c>
      <c r="J107" s="157">
        <f ca="1">$E107*('Cost Input'!$F$298/J$15)^(1-$F107)</f>
        <v>1.2</v>
      </c>
      <c r="K107" s="157">
        <f ca="1">$E107*('Cost Input'!$F$298/K$15)^(1-$F107)</f>
        <v>1.2</v>
      </c>
      <c r="L107" s="157">
        <f ca="1">$E107*('Cost Input'!$F$298/L$15)^(1-$F107)</f>
        <v>1.2</v>
      </c>
      <c r="M107" s="157">
        <f ca="1">$E107*('Cost Input'!$F$298/M$15)^(1-$F107)</f>
        <v>1.2</v>
      </c>
      <c r="T107" s="353"/>
      <c r="W107" s="157"/>
    </row>
    <row r="108" spans="2:23" x14ac:dyDescent="0.3">
      <c r="B108" s="325" t="str">
        <f t="shared" si="19"/>
        <v>Unit Cell Materials Costs: Separators, $/m²</v>
      </c>
      <c r="C108" s="353" t="s">
        <v>1029</v>
      </c>
      <c r="D108" s="353"/>
      <c r="E108" s="156">
        <f>'Cost Input'!F38</f>
        <v>0.9</v>
      </c>
      <c r="F108" s="156">
        <f>'Cost Input'!G38</f>
        <v>1</v>
      </c>
      <c r="G108" s="157">
        <f ca="1">$E108*('Cost Input'!$F$298/G$15)^(1-$F108)</f>
        <v>0.9</v>
      </c>
      <c r="H108" s="157">
        <f ca="1">$E108*('Cost Input'!$F$298/H$15)^(1-$F108)</f>
        <v>0.9</v>
      </c>
      <c r="I108" s="157">
        <f ca="1">$E108*('Cost Input'!$F$298/I$15)^(1-$F108)</f>
        <v>0.9</v>
      </c>
      <c r="J108" s="157">
        <f ca="1">$E108*('Cost Input'!$F$298/J$15)^(1-$F108)</f>
        <v>0.9</v>
      </c>
      <c r="K108" s="157">
        <f ca="1">$E108*('Cost Input'!$F$298/K$15)^(1-$F108)</f>
        <v>0.9</v>
      </c>
      <c r="L108" s="157">
        <f ca="1">$E108*('Cost Input'!$F$298/L$15)^(1-$F108)</f>
        <v>0.9</v>
      </c>
      <c r="M108" s="157">
        <f ca="1">$E108*('Cost Input'!$F$298/M$15)^(1-$F108)</f>
        <v>0.9</v>
      </c>
      <c r="T108" s="353"/>
      <c r="W108" s="157"/>
    </row>
    <row r="109" spans="2:23" x14ac:dyDescent="0.3">
      <c r="B109" s="325" t="str">
        <f t="shared" si="19"/>
        <v>Unit Cell Materials Costs: Electrolyte, $/L</v>
      </c>
      <c r="C109" s="353" t="s">
        <v>86</v>
      </c>
      <c r="D109" s="353"/>
      <c r="E109" s="156">
        <f>'Cost Input'!F39</f>
        <v>10</v>
      </c>
      <c r="F109" s="156">
        <f>'Cost Input'!G39</f>
        <v>1</v>
      </c>
      <c r="G109" s="157">
        <f t="shared" ref="G109:M109" si="20">IF($F109=1,$E109)</f>
        <v>10</v>
      </c>
      <c r="H109" s="157">
        <f t="shared" si="20"/>
        <v>10</v>
      </c>
      <c r="I109" s="157">
        <f t="shared" si="20"/>
        <v>10</v>
      </c>
      <c r="J109" s="157">
        <f t="shared" si="20"/>
        <v>10</v>
      </c>
      <c r="K109" s="157">
        <f t="shared" si="20"/>
        <v>10</v>
      </c>
      <c r="L109" s="157">
        <f t="shared" si="20"/>
        <v>10</v>
      </c>
      <c r="M109" s="157">
        <f t="shared" si="20"/>
        <v>10</v>
      </c>
      <c r="T109" s="353"/>
      <c r="W109" s="158"/>
    </row>
    <row r="110" spans="2:23" x14ac:dyDescent="0.3">
      <c r="B110" s="325"/>
      <c r="C110" s="353"/>
      <c r="D110" s="353"/>
      <c r="E110" s="156"/>
      <c r="F110" s="156"/>
      <c r="G110" s="157"/>
      <c r="H110" s="157"/>
      <c r="I110" s="157"/>
      <c r="J110" s="157"/>
      <c r="K110" s="157"/>
      <c r="L110" s="157"/>
      <c r="M110" s="157"/>
      <c r="T110" s="353"/>
      <c r="W110" s="158"/>
    </row>
    <row r="111" spans="2:23" ht="14" x14ac:dyDescent="0.3">
      <c r="B111" s="665" t="s">
        <v>1225</v>
      </c>
      <c r="D111" s="353"/>
      <c r="E111" s="156"/>
      <c r="F111" s="93"/>
      <c r="G111" s="158"/>
      <c r="H111" s="158"/>
      <c r="I111" s="158"/>
      <c r="J111" s="158"/>
      <c r="K111" s="158"/>
      <c r="L111" s="158"/>
      <c r="M111" s="158"/>
      <c r="T111" s="9"/>
      <c r="W111" s="157"/>
    </row>
    <row r="112" spans="2:23" x14ac:dyDescent="0.3">
      <c r="B112" s="325" t="str">
        <f>$B$92 &amp; ": " &amp; C112</f>
        <v>Unit Cell Materials Costs: Hardware Costs: Positive terminal, $/unit</v>
      </c>
      <c r="C112" s="9" t="s">
        <v>1226</v>
      </c>
      <c r="D112" s="9"/>
      <c r="E112" s="1051"/>
      <c r="F112" s="534">
        <f>'Cost Input'!$G$49</f>
        <v>0.85</v>
      </c>
      <c r="G112" s="157">
        <f ca="1">'Battery Design'!G68/1000*'Cost Input'!$F45+'Cost Input'!$G45*('Cost Input'!$F297/G14)^(1-$F112)</f>
        <v>9.3854569201213878E-2</v>
      </c>
      <c r="H112" s="157">
        <f ca="1">'Battery Design'!H68/1000*'Cost Input'!$F45+'Cost Input'!$G45*('Cost Input'!$F297/H14)^(1-$F112)</f>
        <v>9.3854569201213878E-2</v>
      </c>
      <c r="I112" s="157">
        <f ca="1">'Battery Design'!I68/1000*'Cost Input'!$F45+'Cost Input'!$G45*('Cost Input'!$F297/I14)^(1-$F112)</f>
        <v>9.3882244062969911E-2</v>
      </c>
      <c r="J112" s="1323">
        <f ca="1">'Battery Design'!J68/1000*'Cost Input'!$F45+'Cost Input'!$G45*('Cost Input'!$F297/J14)^(1-$F112)</f>
        <v>9.3987209753951029E-2</v>
      </c>
      <c r="K112" s="157">
        <f ca="1">'Battery Design'!K68/1000*'Cost Input'!$F45+'Cost Input'!$G45*('Cost Input'!$F297/K14)^(1-$F112)</f>
        <v>9.4049578927397279E-2</v>
      </c>
      <c r="L112" s="157">
        <f ca="1">'Battery Design'!L68/1000*'Cost Input'!$F45+'Cost Input'!$G45*('Cost Input'!$F297/L14)^(1-$F112)</f>
        <v>9.4318446880533896E-2</v>
      </c>
      <c r="M112" s="157">
        <f ca="1">'Battery Design'!M68/1000*'Cost Input'!$F45+'Cost Input'!$G45*('Cost Input'!$F297/M14)^(1-$F112)</f>
        <v>9.5087533278763764E-2</v>
      </c>
      <c r="T112" s="9"/>
      <c r="W112" s="157"/>
    </row>
    <row r="113" spans="2:23" x14ac:dyDescent="0.3">
      <c r="B113" s="325" t="str">
        <f>$B$92 &amp; ": " &amp; C113</f>
        <v>Unit Cell Materials Costs: Hardware Costs: Negative terminal $/unit</v>
      </c>
      <c r="C113" s="9" t="s">
        <v>1227</v>
      </c>
      <c r="D113" s="9"/>
      <c r="E113" s="1051"/>
      <c r="F113" s="534">
        <f>'Cost Input'!$G$49</f>
        <v>0.85</v>
      </c>
      <c r="G113" s="157">
        <f ca="1">'Battery Design'!G69/1000*'Cost Input'!$F46+'Cost Input'!$G46*('Cost Input'!$F297/G14)^(1-$F113)</f>
        <v>0.18992712761602265</v>
      </c>
      <c r="H113" s="157">
        <f ca="1">'Battery Design'!H69/1000*'Cost Input'!$F46+'Cost Input'!$G46*('Cost Input'!$F297/H14)^(1-$F113)</f>
        <v>0.18992712761602265</v>
      </c>
      <c r="I113" s="157">
        <f ca="1">'Battery Design'!I69/1000*'Cost Input'!$F46+'Cost Input'!$G46*('Cost Input'!$F297/I14)^(1-$F113)</f>
        <v>0.19014708427195304</v>
      </c>
      <c r="J113" s="157">
        <f ca="1">'Battery Design'!J69/1000*'Cost Input'!$F46+'Cost Input'!$G46*('Cost Input'!$F297/J14)^(1-$F113)</f>
        <v>0.19098133965429837</v>
      </c>
      <c r="K113" s="157">
        <f ca="1">'Battery Design'!K69/1000*'Cost Input'!$F46+'Cost Input'!$G46*('Cost Input'!$F297/K14)^(1-$F113)</f>
        <v>0.19147704275646074</v>
      </c>
      <c r="L113" s="157">
        <f ca="1">'Battery Design'!L69/1000*'Cost Input'!$F46+'Cost Input'!$G46*('Cost Input'!$F297/L14)^(1-$F113)</f>
        <v>0.19361397469057939</v>
      </c>
      <c r="M113" s="157">
        <f ca="1">'Battery Design'!M69/1000*'Cost Input'!$F46+'Cost Input'!$G46*('Cost Input'!$F297/M14)^(1-$F113)</f>
        <v>0.19972658597541579</v>
      </c>
      <c r="T113" s="9"/>
      <c r="W113" s="157"/>
    </row>
    <row r="114" spans="2:23" ht="14" x14ac:dyDescent="0.3">
      <c r="B114" s="325" t="str">
        <f>$B$92 &amp; ": " &amp; C114</f>
        <v>Unit Cell Materials Costs: Hardware Costs: Cell container $/unit</v>
      </c>
      <c r="C114" s="9" t="s">
        <v>1228</v>
      </c>
      <c r="D114" s="9"/>
      <c r="E114" s="1051"/>
      <c r="F114" s="534">
        <f>'Cost Input'!$G$49</f>
        <v>0.85</v>
      </c>
      <c r="G114" s="157">
        <f ca="1">'Battery Design'!G76/1000*'Cost Input'!$F47+'Cost Input'!$G47*('Cost Input'!$F297/G14)^(1-$F114)</f>
        <v>0.24925713155807216</v>
      </c>
      <c r="H114" s="157">
        <f ca="1">'Battery Design'!H76/1000*'Cost Input'!$F47+'Cost Input'!$G47*('Cost Input'!$F297/H14)^(1-$F114)</f>
        <v>0.24925713155807216</v>
      </c>
      <c r="I114" s="157">
        <f ca="1">'Battery Design'!I76/1000*'Cost Input'!$F47+'Cost Input'!$G47*('Cost Input'!$F297/I14)^(1-$F114)</f>
        <v>0.24962498370476144</v>
      </c>
      <c r="J114" s="157">
        <f ca="1">'Battery Design'!J76/1000*'Cost Input'!$F47+'Cost Input'!$G47*('Cost Input'!$F297/J14)^(1-$F114)</f>
        <v>0.25002803719180106</v>
      </c>
      <c r="K114" s="157">
        <f ca="1">'Battery Design'!K76/1000*'Cost Input'!$F47+'Cost Input'!$G47*('Cost Input'!$F297/K14)^(1-$F114)</f>
        <v>0.25106242720886984</v>
      </c>
      <c r="L114" s="157">
        <f ca="1">'Battery Design'!L76/1000*'Cost Input'!$F47+'Cost Input'!$G47*('Cost Input'!$F297/L14)^(1-$F114)</f>
        <v>0.25267761773505548</v>
      </c>
      <c r="M114" s="157">
        <f ca="1">'Battery Design'!M76/1000*'Cost Input'!$F47+'Cost Input'!$G47*('Cost Input'!$F297/M14)^(1-$F114)</f>
        <v>0.25858915108676722</v>
      </c>
      <c r="T114" s="86"/>
      <c r="W114" s="158"/>
    </row>
    <row r="115" spans="2:23" ht="14" x14ac:dyDescent="0.3">
      <c r="B115" s="325"/>
      <c r="C115" s="9"/>
      <c r="D115" s="9"/>
      <c r="E115" s="1051"/>
      <c r="F115" s="534"/>
      <c r="G115" s="157"/>
      <c r="H115" s="157"/>
      <c r="I115" s="157"/>
      <c r="J115" s="157"/>
      <c r="K115" s="157"/>
      <c r="L115" s="157"/>
      <c r="M115" s="157"/>
      <c r="T115" s="86"/>
      <c r="W115" s="158"/>
    </row>
    <row r="116" spans="2:23" ht="15.5" x14ac:dyDescent="0.35">
      <c r="B116" s="6" t="s">
        <v>1229</v>
      </c>
      <c r="C116" s="130"/>
      <c r="D116" s="130"/>
      <c r="E116" s="156"/>
      <c r="F116" s="93"/>
      <c r="G116" s="158"/>
      <c r="H116" s="158"/>
      <c r="I116" s="158"/>
      <c r="J116" s="158"/>
      <c r="K116" s="158"/>
      <c r="L116" s="158"/>
      <c r="M116" s="158"/>
      <c r="T116" s="353"/>
      <c r="W116" s="158"/>
    </row>
    <row r="117" spans="2:23" ht="14" x14ac:dyDescent="0.3">
      <c r="B117" s="665" t="s">
        <v>1230</v>
      </c>
      <c r="D117" s="353"/>
      <c r="E117" s="156"/>
      <c r="F117" s="93"/>
      <c r="G117" s="158"/>
      <c r="H117" s="158"/>
      <c r="I117" s="158"/>
      <c r="J117" s="158"/>
      <c r="K117" s="158"/>
      <c r="L117" s="158"/>
      <c r="M117" s="158"/>
      <c r="T117" s="353"/>
      <c r="W117" s="159"/>
    </row>
    <row r="118" spans="2:23" x14ac:dyDescent="0.3">
      <c r="B118" s="325" t="str">
        <f>$B$116 &amp; ": " &amp; C118</f>
        <v>Cell Materials Cost, $/cell: Positive electrode active material, $/cell</v>
      </c>
      <c r="C118" s="353" t="s">
        <v>1231</v>
      </c>
      <c r="D118" s="327"/>
      <c r="E118" s="156"/>
      <c r="F118" s="93"/>
      <c r="G118" s="159">
        <f ca="1">G94*G37/1000</f>
        <v>9.474774549925419</v>
      </c>
      <c r="H118" s="159">
        <f t="shared" ref="G118:M120" ca="1" si="21">H94*H37/1000</f>
        <v>9.474774549925419</v>
      </c>
      <c r="I118" s="159">
        <f t="shared" ca="1" si="21"/>
        <v>9.4634725420291019</v>
      </c>
      <c r="J118" s="159">
        <f t="shared" ca="1" si="21"/>
        <v>9.44956557490144</v>
      </c>
      <c r="K118" s="159">
        <f t="shared" ca="1" si="21"/>
        <v>9.4334959854644183</v>
      </c>
      <c r="L118" s="159">
        <f t="shared" ca="1" si="21"/>
        <v>9.4142555857160382</v>
      </c>
      <c r="M118" s="159">
        <f t="shared" ca="1" si="21"/>
        <v>9.3888833440285104</v>
      </c>
      <c r="T118" s="353"/>
      <c r="W118" s="159"/>
    </row>
    <row r="119" spans="2:23" x14ac:dyDescent="0.3">
      <c r="B119" s="325" t="str">
        <f>$B$116 &amp; ": " &amp; C119</f>
        <v>Cell Materials Cost, $/cell: Positive electrode carbon additive, $/cell</v>
      </c>
      <c r="C119" s="353" t="s">
        <v>1232</v>
      </c>
      <c r="D119" s="327"/>
      <c r="E119" s="156"/>
      <c r="F119" s="93"/>
      <c r="G119" s="159">
        <f t="shared" ca="1" si="21"/>
        <v>5.3143767507594496E-2</v>
      </c>
      <c r="H119" s="159">
        <f t="shared" ca="1" si="21"/>
        <v>5.3143767507594496E-2</v>
      </c>
      <c r="I119" s="159">
        <f t="shared" ca="1" si="21"/>
        <v>5.3080374835099135E-2</v>
      </c>
      <c r="J119" s="159">
        <f t="shared" ca="1" si="21"/>
        <v>5.3002371013068983E-2</v>
      </c>
      <c r="K119" s="159">
        <f t="shared" ca="1" si="21"/>
        <v>5.2912237097957469E-2</v>
      </c>
      <c r="L119" s="159">
        <f t="shared" ca="1" si="21"/>
        <v>5.2804318189112409E-2</v>
      </c>
      <c r="M119" s="159">
        <f t="shared" ca="1" si="21"/>
        <v>5.2662005936057361E-2</v>
      </c>
      <c r="T119" s="353"/>
      <c r="W119" s="159"/>
    </row>
    <row r="120" spans="2:23" x14ac:dyDescent="0.3">
      <c r="B120" s="325" t="str">
        <f>$B$116 &amp; ": " &amp; C120</f>
        <v>Cell Materials Cost, $/cell: Positive electrode binder, $/cell</v>
      </c>
      <c r="C120" s="353" t="s">
        <v>1233</v>
      </c>
      <c r="D120" s="327"/>
      <c r="E120" s="156"/>
      <c r="F120" s="93"/>
      <c r="G120" s="159">
        <f t="shared" ca="1" si="21"/>
        <v>0.11387950180198819</v>
      </c>
      <c r="H120" s="159">
        <f t="shared" ca="1" si="21"/>
        <v>0.11387950180198819</v>
      </c>
      <c r="I120" s="159">
        <f t="shared" ca="1" si="21"/>
        <v>0.11374366036092672</v>
      </c>
      <c r="J120" s="159">
        <f t="shared" ca="1" si="21"/>
        <v>0.11357650931371924</v>
      </c>
      <c r="K120" s="159">
        <f t="shared" ca="1" si="21"/>
        <v>0.11338336520990887</v>
      </c>
      <c r="L120" s="159">
        <f t="shared" ca="1" si="21"/>
        <v>0.11315211040524088</v>
      </c>
      <c r="M120" s="159">
        <f t="shared" ca="1" si="21"/>
        <v>0.11284715557726577</v>
      </c>
      <c r="T120" s="353"/>
      <c r="W120" s="159"/>
    </row>
    <row r="121" spans="2:23" x14ac:dyDescent="0.3">
      <c r="B121" s="325" t="str">
        <f>$B$116 &amp; ": " &amp; C121</f>
        <v>Cell Materials Cost, $/cell: Positive electrode binder solvent (NMP), $/cell</v>
      </c>
      <c r="C121" s="353" t="str">
        <f>"Positive electrode binder solvent (" &amp; Chem!$C$14&amp;"), $/cell"</f>
        <v>Positive electrode binder solvent (NMP), $/cell</v>
      </c>
      <c r="D121" s="327"/>
      <c r="E121" s="156"/>
      <c r="F121" s="93"/>
      <c r="G121" s="159">
        <f ca="1">G88*G97/G14</f>
        <v>0.31157431693023985</v>
      </c>
      <c r="H121" s="159">
        <f t="shared" ref="H121:M121" ca="1" si="22">H88*H97/H14</f>
        <v>0.31157431693023985</v>
      </c>
      <c r="I121" s="159">
        <f t="shared" ca="1" si="22"/>
        <v>0.31120265474749553</v>
      </c>
      <c r="J121" s="159">
        <f t="shared" ca="1" si="22"/>
        <v>0.31074532948233591</v>
      </c>
      <c r="K121" s="159">
        <f t="shared" ca="1" si="22"/>
        <v>0.31021688721431073</v>
      </c>
      <c r="L121" s="159">
        <f t="shared" ca="1" si="22"/>
        <v>0.30958417406873912</v>
      </c>
      <c r="M121" s="159">
        <f t="shared" ca="1" si="22"/>
        <v>0.30874981765939918</v>
      </c>
      <c r="N121" s="159">
        <f t="shared" ref="N121" si="23">N97*N40/1000*(1-$F$36/100)</f>
        <v>0</v>
      </c>
      <c r="T121" s="353"/>
      <c r="W121" s="159"/>
    </row>
    <row r="122" spans="2:23" x14ac:dyDescent="0.3">
      <c r="B122" s="325"/>
      <c r="C122" s="327"/>
      <c r="D122" s="327"/>
      <c r="E122" s="156"/>
      <c r="F122" s="93"/>
      <c r="G122" s="159"/>
      <c r="H122" s="159"/>
      <c r="I122" s="159"/>
      <c r="J122" s="159"/>
      <c r="K122" s="159"/>
      <c r="L122" s="159"/>
      <c r="M122" s="159"/>
      <c r="N122" s="159" t="e">
        <f t="shared" ref="N122" si="24">N88*3.1/N14</f>
        <v>#VALUE!</v>
      </c>
      <c r="T122" s="353"/>
      <c r="W122" s="159"/>
    </row>
    <row r="123" spans="2:23" ht="14" x14ac:dyDescent="0.3">
      <c r="B123" s="665" t="s">
        <v>1234</v>
      </c>
      <c r="D123" s="353"/>
      <c r="E123" s="156"/>
      <c r="F123" s="93"/>
      <c r="G123" s="159"/>
      <c r="H123" s="159"/>
      <c r="I123" s="159"/>
      <c r="J123" s="159"/>
      <c r="K123" s="159"/>
      <c r="L123" s="159"/>
      <c r="M123" s="159"/>
      <c r="T123" s="353"/>
      <c r="W123" s="159"/>
    </row>
    <row r="124" spans="2:23" x14ac:dyDescent="0.3">
      <c r="B124" s="325" t="str">
        <f>$B$116 &amp; ": " &amp; C124</f>
        <v>Cell Materials Cost, $/cell: Negative electrode active material, $/cell</v>
      </c>
      <c r="C124" s="353" t="s">
        <v>1235</v>
      </c>
      <c r="D124" s="353"/>
      <c r="E124" s="156"/>
      <c r="F124" s="93"/>
      <c r="G124" s="159">
        <f t="shared" ref="G124:M126" ca="1" si="25">G100*G44/1000</f>
        <v>2.471980233751637</v>
      </c>
      <c r="H124" s="159">
        <f t="shared" ca="1" si="25"/>
        <v>2.471980233751637</v>
      </c>
      <c r="I124" s="159">
        <f t="shared" ca="1" si="25"/>
        <v>2.4684569414623683</v>
      </c>
      <c r="J124" s="159">
        <f t="shared" ca="1" si="25"/>
        <v>2.4644501433761032</v>
      </c>
      <c r="K124" s="159">
        <f t="shared" ca="1" si="25"/>
        <v>2.4586747658699886</v>
      </c>
      <c r="L124" s="159">
        <f t="shared" ca="1" si="25"/>
        <v>2.4518235721535548</v>
      </c>
      <c r="M124" s="159">
        <f t="shared" ca="1" si="25"/>
        <v>2.4388386484558424</v>
      </c>
      <c r="T124" s="353"/>
      <c r="W124" s="159"/>
    </row>
    <row r="125" spans="2:23" x14ac:dyDescent="0.3">
      <c r="B125" s="325" t="str">
        <f>$B$116 &amp; ": " &amp; C125</f>
        <v>Cell Materials Cost, $/cell: Negative electrode carbon additive, $/cell</v>
      </c>
      <c r="C125" s="353" t="s">
        <v>1236</v>
      </c>
      <c r="D125" s="353"/>
      <c r="E125" s="156"/>
      <c r="F125" s="93"/>
      <c r="G125" s="159">
        <f t="shared" ca="1" si="25"/>
        <v>0</v>
      </c>
      <c r="H125" s="159">
        <f t="shared" ca="1" si="25"/>
        <v>0</v>
      </c>
      <c r="I125" s="159">
        <f t="shared" ca="1" si="25"/>
        <v>0</v>
      </c>
      <c r="J125" s="159">
        <f t="shared" ca="1" si="25"/>
        <v>0</v>
      </c>
      <c r="K125" s="159">
        <f t="shared" ca="1" si="25"/>
        <v>0</v>
      </c>
      <c r="L125" s="159">
        <f t="shared" ca="1" si="25"/>
        <v>0</v>
      </c>
      <c r="M125" s="159">
        <f t="shared" ca="1" si="25"/>
        <v>0</v>
      </c>
      <c r="T125" s="353"/>
      <c r="W125" s="159"/>
    </row>
    <row r="126" spans="2:23" x14ac:dyDescent="0.3">
      <c r="B126" s="325" t="str">
        <f>$B$116 &amp; ": " &amp; C126</f>
        <v>Cell Materials Cost, $/cell: Negative electrode binder, $/cell</v>
      </c>
      <c r="C126" s="353" t="s">
        <v>1237</v>
      </c>
      <c r="D126" s="353"/>
      <c r="E126" s="156"/>
      <c r="F126" s="93"/>
      <c r="G126" s="159">
        <f t="shared" ca="1" si="25"/>
        <v>5.0448576199012996E-2</v>
      </c>
      <c r="H126" s="159">
        <f t="shared" ca="1" si="25"/>
        <v>5.0448576199012996E-2</v>
      </c>
      <c r="I126" s="159">
        <f t="shared" ca="1" si="25"/>
        <v>5.0376672274742219E-2</v>
      </c>
      <c r="J126" s="159">
        <f t="shared" ca="1" si="25"/>
        <v>5.0294900885226625E-2</v>
      </c>
      <c r="K126" s="159">
        <f t="shared" ca="1" si="25"/>
        <v>5.0177036038163036E-2</v>
      </c>
      <c r="L126" s="159">
        <f t="shared" ca="1" si="25"/>
        <v>5.0037215758235817E-2</v>
      </c>
      <c r="M126" s="159">
        <f t="shared" ca="1" si="25"/>
        <v>4.9772217315425353E-2</v>
      </c>
      <c r="T126" s="353"/>
      <c r="W126" s="159"/>
    </row>
    <row r="127" spans="2:23" x14ac:dyDescent="0.3">
      <c r="B127" s="325"/>
      <c r="C127" s="353" t="str">
        <f>"Negative electrode binder solvent (" &amp; Chem!C43&amp;"), $/cell"</f>
        <v>Negative electrode binder solvent (Water), $/cell</v>
      </c>
      <c r="D127" s="353"/>
      <c r="E127" s="156"/>
      <c r="F127" s="93"/>
      <c r="G127" s="159">
        <f ca="1">G103*G47/1000</f>
        <v>0</v>
      </c>
      <c r="H127" s="159">
        <f t="shared" ref="H127:M127" ca="1" si="26">H103*H47/1000</f>
        <v>0</v>
      </c>
      <c r="I127" s="159">
        <f t="shared" ca="1" si="26"/>
        <v>0</v>
      </c>
      <c r="J127" s="159">
        <f t="shared" ca="1" si="26"/>
        <v>0</v>
      </c>
      <c r="K127" s="159">
        <f t="shared" ca="1" si="26"/>
        <v>0</v>
      </c>
      <c r="L127" s="159">
        <f t="shared" ca="1" si="26"/>
        <v>0</v>
      </c>
      <c r="M127" s="159">
        <f t="shared" ca="1" si="26"/>
        <v>0</v>
      </c>
      <c r="T127" s="353"/>
      <c r="W127" s="159"/>
    </row>
    <row r="128" spans="2:23" x14ac:dyDescent="0.3">
      <c r="B128" s="325"/>
      <c r="C128" s="353"/>
      <c r="D128" s="353"/>
      <c r="E128" s="156"/>
      <c r="F128" s="93"/>
      <c r="G128" s="159"/>
      <c r="H128" s="159"/>
      <c r="I128" s="159"/>
      <c r="J128" s="159"/>
      <c r="K128" s="159"/>
      <c r="L128" s="159"/>
      <c r="M128" s="159"/>
      <c r="T128" s="353"/>
      <c r="W128" s="159"/>
    </row>
    <row r="129" spans="2:23" ht="14" x14ac:dyDescent="0.3">
      <c r="B129" s="665" t="s">
        <v>315</v>
      </c>
      <c r="C129" s="327"/>
      <c r="D129" s="353"/>
      <c r="E129" s="156"/>
      <c r="F129" s="93"/>
      <c r="G129" s="159"/>
      <c r="H129" s="159"/>
      <c r="I129" s="159"/>
      <c r="J129" s="159"/>
      <c r="K129" s="159"/>
      <c r="L129" s="159"/>
      <c r="M129" s="159"/>
      <c r="T129" s="353"/>
      <c r="W129" s="159"/>
    </row>
    <row r="130" spans="2:23" x14ac:dyDescent="0.3">
      <c r="B130" s="325"/>
      <c r="C130" s="10" t="str">
        <f>"Positive electrode additve (" &amp; Chem!$C$73&amp; "), $/cell"</f>
        <v>Positive electrode additve (None), $/cell</v>
      </c>
      <c r="D130" s="353"/>
      <c r="E130" s="156"/>
      <c r="F130" s="93"/>
      <c r="G130" s="159">
        <f ca="1">G51*Chem!$C$76/1000</f>
        <v>0</v>
      </c>
      <c r="H130" s="159">
        <f ca="1">H51*Chem!$C$76/1000</f>
        <v>0</v>
      </c>
      <c r="I130" s="159">
        <f ca="1">I51*Chem!$C$76/1000</f>
        <v>0</v>
      </c>
      <c r="J130" s="159">
        <f ca="1">J51*Chem!$C$76/1000</f>
        <v>0</v>
      </c>
      <c r="K130" s="159">
        <f ca="1">K51*Chem!$C$76/1000</f>
        <v>0</v>
      </c>
      <c r="L130" s="159">
        <f ca="1">L51*Chem!$C$76/1000</f>
        <v>0</v>
      </c>
      <c r="M130" s="159">
        <f ca="1">M51*Chem!$C$76/1000</f>
        <v>0</v>
      </c>
      <c r="N130" s="20">
        <f>N51*Chem!$C$76/1000</f>
        <v>0</v>
      </c>
      <c r="T130" s="353"/>
      <c r="W130" s="159"/>
    </row>
    <row r="131" spans="2:23" x14ac:dyDescent="0.3">
      <c r="B131" s="325"/>
      <c r="C131" s="10" t="str">
        <f>"Negative electrode additve (" &amp; Chem!$C$79&amp; "), $/cell"</f>
        <v>Negative electrode additve (None), $/cell</v>
      </c>
      <c r="D131" s="353"/>
      <c r="E131" s="156"/>
      <c r="F131" s="93"/>
      <c r="G131" s="159">
        <f ca="1">G52*Chem!$C$82/1000</f>
        <v>0</v>
      </c>
      <c r="H131" s="159">
        <f ca="1">H52*Chem!$C$82/1000</f>
        <v>0</v>
      </c>
      <c r="I131" s="159">
        <f ca="1">I52*Chem!$C$82/1000</f>
        <v>0</v>
      </c>
      <c r="J131" s="159">
        <f ca="1">J52*Chem!$C$82/1000</f>
        <v>0</v>
      </c>
      <c r="K131" s="159">
        <f ca="1">K52*Chem!$C$82/1000</f>
        <v>0</v>
      </c>
      <c r="L131" s="159">
        <f ca="1">L52*Chem!$C$82/1000</f>
        <v>0</v>
      </c>
      <c r="M131" s="159">
        <f ca="1">M52*Chem!$C$82/1000</f>
        <v>0</v>
      </c>
      <c r="T131" s="353"/>
      <c r="W131" s="159"/>
    </row>
    <row r="132" spans="2:23" x14ac:dyDescent="0.3">
      <c r="B132" s="325"/>
      <c r="C132" s="59" t="str">
        <f>"Electrolyte additve (" &amp; Chem!$C$85&amp; "), $/cell"</f>
        <v>Electrolyte additve (None), $/cell</v>
      </c>
      <c r="D132" s="353"/>
      <c r="E132" s="156"/>
      <c r="F132" s="93"/>
      <c r="G132" s="159">
        <f ca="1">G53*Chem!$C$88/1000</f>
        <v>0</v>
      </c>
      <c r="H132" s="159">
        <f ca="1">H53*Chem!$C$88/1000</f>
        <v>0</v>
      </c>
      <c r="I132" s="159">
        <f ca="1">I53*Chem!$C$88/1000</f>
        <v>0</v>
      </c>
      <c r="J132" s="159">
        <f ca="1">J53*Chem!$C$88/1000</f>
        <v>0</v>
      </c>
      <c r="K132" s="159">
        <f ca="1">K53*Chem!$C$88/1000</f>
        <v>0</v>
      </c>
      <c r="L132" s="159">
        <f ca="1">L53*Chem!$C$88/1000</f>
        <v>0</v>
      </c>
      <c r="M132" s="159">
        <f ca="1">M53*Chem!$C$88/1000</f>
        <v>0</v>
      </c>
      <c r="T132" s="353"/>
      <c r="W132" s="159"/>
    </row>
    <row r="133" spans="2:23" x14ac:dyDescent="0.3">
      <c r="B133" s="325"/>
      <c r="C133" s="59"/>
      <c r="D133" s="353"/>
      <c r="E133" s="156"/>
      <c r="F133" s="93"/>
      <c r="G133" s="159"/>
      <c r="H133" s="159"/>
      <c r="I133" s="159"/>
      <c r="J133" s="159"/>
      <c r="K133" s="159"/>
      <c r="L133" s="159"/>
      <c r="M133" s="159"/>
      <c r="T133" s="353"/>
      <c r="W133" s="159"/>
    </row>
    <row r="134" spans="2:23" ht="14" x14ac:dyDescent="0.3">
      <c r="B134" s="665" t="s">
        <v>1238</v>
      </c>
      <c r="D134" s="353"/>
      <c r="E134" s="156"/>
      <c r="F134" s="93"/>
      <c r="G134" s="159"/>
      <c r="H134" s="159"/>
      <c r="I134" s="159"/>
      <c r="J134" s="159"/>
      <c r="K134" s="159"/>
      <c r="L134" s="159"/>
      <c r="M134" s="159"/>
      <c r="T134" s="353"/>
      <c r="W134" s="159"/>
    </row>
    <row r="135" spans="2:23" x14ac:dyDescent="0.3">
      <c r="B135" s="325" t="str">
        <f t="shared" ref="B135:B143" si="27">$B$116 &amp; ": " &amp; C135</f>
        <v>Cell Materials Cost, $/cell: Positive current collector, $/cell</v>
      </c>
      <c r="C135" s="353" t="s">
        <v>1239</v>
      </c>
      <c r="D135" s="353"/>
      <c r="E135" s="156"/>
      <c r="F135" s="93"/>
      <c r="G135" s="159">
        <f t="shared" ref="G135:M138" ca="1" si="28">G106*G56</f>
        <v>0.11528772107183345</v>
      </c>
      <c r="H135" s="159">
        <f t="shared" ca="1" si="28"/>
        <v>0.11528772107183345</v>
      </c>
      <c r="I135" s="159">
        <f t="shared" ca="1" si="28"/>
        <v>0.12748019603829605</v>
      </c>
      <c r="J135" s="159">
        <f t="shared" ca="1" si="28"/>
        <v>0.14688991369570262</v>
      </c>
      <c r="K135" s="159">
        <f t="shared" ca="1" si="28"/>
        <v>0.17800805059147018</v>
      </c>
      <c r="L135" s="159">
        <f t="shared" ca="1" si="28"/>
        <v>0.23999788539308248</v>
      </c>
      <c r="M135" s="159">
        <f t="shared" ca="1" si="28"/>
        <v>0.44655544307139095</v>
      </c>
      <c r="T135" s="353"/>
      <c r="W135" s="159"/>
    </row>
    <row r="136" spans="2:23" x14ac:dyDescent="0.3">
      <c r="B136" s="325" t="str">
        <f t="shared" si="27"/>
        <v>Cell Materials Cost, $/cell: Negative current collector, $/cell</v>
      </c>
      <c r="C136" s="353" t="s">
        <v>1240</v>
      </c>
      <c r="D136" s="353"/>
      <c r="E136" s="156"/>
      <c r="F136" s="93"/>
      <c r="G136" s="159">
        <f t="shared" ca="1" si="28"/>
        <v>0.73814511841725172</v>
      </c>
      <c r="H136" s="159">
        <f t="shared" ca="1" si="28"/>
        <v>0.73814511841725172</v>
      </c>
      <c r="I136" s="159">
        <f t="shared" ca="1" si="28"/>
        <v>0.81392917590167291</v>
      </c>
      <c r="J136" s="159">
        <f t="shared" ca="1" si="28"/>
        <v>0.93447175709922936</v>
      </c>
      <c r="K136" s="159">
        <f t="shared" ca="1" si="28"/>
        <v>1.1277037269028998</v>
      </c>
      <c r="L136" s="159">
        <f t="shared" ca="1" si="28"/>
        <v>1.5121828220273117</v>
      </c>
      <c r="M136" s="159">
        <f t="shared" ca="1" si="28"/>
        <v>2.790055857848408</v>
      </c>
      <c r="T136" s="353"/>
      <c r="W136" s="159"/>
    </row>
    <row r="137" spans="2:23" x14ac:dyDescent="0.3">
      <c r="B137" s="325" t="str">
        <f t="shared" si="27"/>
        <v>Cell Materials Cost, $/cell: Separators, $/cell</v>
      </c>
      <c r="C137" s="353" t="s">
        <v>1241</v>
      </c>
      <c r="D137" s="353"/>
      <c r="E137" s="156"/>
      <c r="F137" s="93"/>
      <c r="G137" s="159">
        <f t="shared" ca="1" si="28"/>
        <v>0.85832870661673644</v>
      </c>
      <c r="H137" s="159">
        <f t="shared" ca="1" si="28"/>
        <v>0.85832870661673644</v>
      </c>
      <c r="I137" s="159">
        <f t="shared" ca="1" si="28"/>
        <v>0.94976176057246764</v>
      </c>
      <c r="J137" s="159">
        <f t="shared" ca="1" si="28"/>
        <v>1.0939353253988227</v>
      </c>
      <c r="K137" s="159">
        <f t="shared" ca="1" si="28"/>
        <v>1.3284435972855568</v>
      </c>
      <c r="L137" s="159">
        <f t="shared" ca="1" si="28"/>
        <v>1.7921312494094987</v>
      </c>
      <c r="M137" s="159">
        <f t="shared" ca="1" si="28"/>
        <v>3.3489984301631464</v>
      </c>
      <c r="T137" s="353"/>
      <c r="W137" s="159"/>
    </row>
    <row r="138" spans="2:23" x14ac:dyDescent="0.3">
      <c r="B138" s="325" t="str">
        <f t="shared" si="27"/>
        <v>Cell Materials Cost, $/cell: Electrolyte, $/cell</v>
      </c>
      <c r="C138" s="353" t="s">
        <v>1242</v>
      </c>
      <c r="D138" s="353"/>
      <c r="E138" s="156"/>
      <c r="F138" s="1381"/>
      <c r="G138" s="159">
        <f t="shared" ca="1" si="28"/>
        <v>0.75362136627055432</v>
      </c>
      <c r="H138" s="159">
        <f t="shared" ca="1" si="28"/>
        <v>0.75362136627055432</v>
      </c>
      <c r="I138" s="159">
        <f t="shared" ca="1" si="28"/>
        <v>0.76082819325002071</v>
      </c>
      <c r="J138" s="159">
        <f t="shared" ca="1" si="28"/>
        <v>0.77253731679715099</v>
      </c>
      <c r="K138" s="159">
        <f t="shared" ca="1" si="28"/>
        <v>0.7919347985283326</v>
      </c>
      <c r="L138" s="159">
        <f t="shared" ca="1" si="28"/>
        <v>0.83134872276356986</v>
      </c>
      <c r="M138" s="159">
        <f t="shared" ca="1" si="28"/>
        <v>0.96651934173103593</v>
      </c>
      <c r="T138" s="9"/>
      <c r="W138" s="159"/>
    </row>
    <row r="139" spans="2:23" x14ac:dyDescent="0.3">
      <c r="B139" s="325" t="str">
        <f t="shared" si="27"/>
        <v>Cell Materials Cost, $/cell: Positive terminal, $/unit</v>
      </c>
      <c r="C139" s="9" t="s">
        <v>1243</v>
      </c>
      <c r="D139" s="9"/>
      <c r="E139" s="156"/>
      <c r="F139" s="534"/>
      <c r="G139" s="197">
        <f ca="1">G112/Dashboard!$D$112*100</f>
        <v>9.879428336969881E-2</v>
      </c>
      <c r="H139" s="197">
        <f ca="1">H112/Dashboard!$D$112*100</f>
        <v>9.879428336969881E-2</v>
      </c>
      <c r="I139" s="197">
        <f ca="1">I112/Dashboard!$D$112*100</f>
        <v>9.882341480312623E-2</v>
      </c>
      <c r="J139" s="197">
        <f ca="1">J112/Dashboard!$D$112*100</f>
        <v>9.8933905004158967E-2</v>
      </c>
      <c r="K139" s="197">
        <f ca="1">K112/Dashboard!$D$112*100</f>
        <v>9.8999556765681354E-2</v>
      </c>
      <c r="L139" s="197">
        <f ca="1">L112/Dashboard!$D$112*100</f>
        <v>9.9282575663719896E-2</v>
      </c>
      <c r="M139" s="197">
        <f ca="1">M112/Dashboard!$D$112*100</f>
        <v>0.10009214029343555</v>
      </c>
      <c r="N139" s="197">
        <f>N112/Dashboard!$D$112*100</f>
        <v>0</v>
      </c>
      <c r="T139" s="9"/>
      <c r="W139" s="159"/>
    </row>
    <row r="140" spans="2:23" x14ac:dyDescent="0.3">
      <c r="B140" s="325" t="str">
        <f t="shared" si="27"/>
        <v>Cell Materials Cost, $/cell: Negative terminal , $/unit</v>
      </c>
      <c r="C140" s="9" t="s">
        <v>1244</v>
      </c>
      <c r="D140" s="9"/>
      <c r="E140" s="156"/>
      <c r="F140" s="534"/>
      <c r="G140" s="197">
        <f ca="1">G113/Dashboard!$D$112*100</f>
        <v>0.19992329222739227</v>
      </c>
      <c r="H140" s="197">
        <f ca="1">H113/Dashboard!$D$112*100</f>
        <v>0.19992329222739227</v>
      </c>
      <c r="I140" s="197">
        <f ca="1">I113/Dashboard!$D$112*100</f>
        <v>0.20015482554942426</v>
      </c>
      <c r="J140" s="197">
        <f ca="1">J113/Dashboard!$D$112*100</f>
        <v>0.20103298910978779</v>
      </c>
      <c r="K140" s="197">
        <f ca="1">K113/Dashboard!$D$112*100</f>
        <v>0.20155478184890602</v>
      </c>
      <c r="L140" s="197">
        <f ca="1">L113/Dashboard!$D$112*100</f>
        <v>0.20380418388482041</v>
      </c>
      <c r="M140" s="197">
        <f ca="1">M113/Dashboard!$D$112*100</f>
        <v>0.21023851155306927</v>
      </c>
      <c r="N140" s="197">
        <f>N113/Dashboard!$D$112*100</f>
        <v>0</v>
      </c>
      <c r="T140" s="9"/>
      <c r="W140" s="159"/>
    </row>
    <row r="141" spans="2:23" x14ac:dyDescent="0.3">
      <c r="B141" s="325" t="str">
        <f t="shared" si="27"/>
        <v>Cell Materials Cost, $/cell: Cell container, $/unit</v>
      </c>
      <c r="C141" s="9" t="s">
        <v>1245</v>
      </c>
      <c r="D141" s="9"/>
      <c r="E141" s="156"/>
      <c r="F141" s="534"/>
      <c r="G141" s="197">
        <f ca="1">G114/Dashboard!$D$112*100</f>
        <v>0.26237592795586545</v>
      </c>
      <c r="H141" s="197">
        <f ca="1">H114/Dashboard!$D$112*100</f>
        <v>0.26237592795586545</v>
      </c>
      <c r="I141" s="197">
        <f ca="1">I114/Dashboard!$D$112*100</f>
        <v>0.26276314074185414</v>
      </c>
      <c r="J141" s="197">
        <f ca="1">J114/Dashboard!$D$112*100</f>
        <v>0.26318740757031694</v>
      </c>
      <c r="K141" s="197">
        <f ca="1">K114/Dashboard!$D$112*100</f>
        <v>0.26427623916723142</v>
      </c>
      <c r="L141" s="197">
        <f ca="1">L114/Dashboard!$D$112*100</f>
        <v>0.26597643972111101</v>
      </c>
      <c r="M141" s="197">
        <f ca="1">M114/Dashboard!$D$112*100</f>
        <v>0.27219910640712341</v>
      </c>
      <c r="N141" s="197">
        <f>N114/Dashboard!$D$112*100</f>
        <v>0</v>
      </c>
      <c r="T141" s="353"/>
      <c r="W141" s="159"/>
    </row>
    <row r="142" spans="2:23" x14ac:dyDescent="0.3">
      <c r="B142" s="325"/>
      <c r="C142" s="9"/>
      <c r="D142" s="9"/>
      <c r="E142" s="156"/>
      <c r="F142" s="534"/>
      <c r="G142" s="197"/>
      <c r="H142" s="197"/>
      <c r="I142" s="197"/>
      <c r="J142" s="197"/>
      <c r="K142" s="197"/>
      <c r="L142" s="197"/>
      <c r="M142" s="197"/>
      <c r="T142" s="353"/>
      <c r="W142" s="159"/>
    </row>
    <row r="143" spans="2:23" x14ac:dyDescent="0.3">
      <c r="B143" s="325" t="str">
        <f t="shared" si="27"/>
        <v>Cell Materials Cost, $/cell: Total cost of cell materials, $/cell</v>
      </c>
      <c r="C143" s="9" t="s">
        <v>1246</v>
      </c>
      <c r="D143" s="9"/>
      <c r="E143" s="190"/>
      <c r="F143" s="9"/>
      <c r="G143" s="168">
        <f t="shared" ref="G143:M143" ca="1" si="29">SUM(G118:G141)</f>
        <v>15.502277362045225</v>
      </c>
      <c r="H143" s="168">
        <f t="shared" ca="1" si="29"/>
        <v>15.502277362045225</v>
      </c>
      <c r="I143" s="168">
        <f t="shared" ca="1" si="29"/>
        <v>15.674073552566595</v>
      </c>
      <c r="J143" s="168">
        <f t="shared" ca="1" si="29"/>
        <v>15.952623443647063</v>
      </c>
      <c r="K143" s="168">
        <f t="shared" ca="1" si="29"/>
        <v>16.409781027984824</v>
      </c>
      <c r="L143" s="168">
        <f t="shared" ca="1" si="29"/>
        <v>17.336380855154037</v>
      </c>
      <c r="M143" s="168">
        <f t="shared" ca="1" si="29"/>
        <v>20.486412020040106</v>
      </c>
      <c r="T143" s="61"/>
      <c r="W143" s="159"/>
    </row>
    <row r="144" spans="2:23" x14ac:dyDescent="0.3">
      <c r="B144" s="325"/>
      <c r="C144" s="9"/>
      <c r="D144" s="9"/>
      <c r="E144" s="174"/>
      <c r="F144" s="353"/>
      <c r="G144" s="197"/>
      <c r="H144" s="197"/>
      <c r="I144" s="197"/>
      <c r="J144" s="197"/>
      <c r="K144" s="197"/>
      <c r="L144" s="197"/>
      <c r="M144" s="197"/>
      <c r="T144" s="61"/>
      <c r="W144" s="159"/>
    </row>
    <row r="145" spans="2:23" ht="15.5" x14ac:dyDescent="0.35">
      <c r="B145" s="6" t="s">
        <v>1247</v>
      </c>
      <c r="C145" s="130"/>
      <c r="D145" s="130"/>
      <c r="E145" s="109" t="s">
        <v>1031</v>
      </c>
      <c r="F145" s="109" t="s">
        <v>1108</v>
      </c>
      <c r="G145" s="159"/>
      <c r="H145" s="159"/>
      <c r="I145" s="159"/>
      <c r="J145" s="159"/>
      <c r="K145" s="159"/>
      <c r="L145" s="159"/>
      <c r="M145" s="159"/>
      <c r="T145" s="61"/>
      <c r="W145" s="159"/>
    </row>
    <row r="146" spans="2:23" x14ac:dyDescent="0.3">
      <c r="B146" s="722" t="str">
        <f>$B$145 &amp; ": " &amp; C146</f>
        <v>Cost of Module Purchased Items, $/module: Aluminum thermal conductors, $/module</v>
      </c>
      <c r="C146" s="61" t="s">
        <v>1248</v>
      </c>
      <c r="D146" s="61"/>
      <c r="E146" s="156"/>
      <c r="F146" s="534">
        <f>'Cost Input'!G$74</f>
        <v>0.85</v>
      </c>
      <c r="G146" s="159">
        <f ca="1">'Battery Design'!G335/1000*'Cost Input'!$F48+'Battery Design'!G25*'Cost Input'!$G48*('Cost Input'!$F296/G87)^(1-$F146)</f>
        <v>4.2230562533598039</v>
      </c>
      <c r="H146" s="159">
        <f ca="1">'Battery Design'!H335/1000*'Cost Input'!$F48+'Battery Design'!H25*'Cost Input'!$G48*('Cost Input'!$F296/H87)^(1-$F146)</f>
        <v>4.2230562533598039</v>
      </c>
      <c r="I146" s="159">
        <f ca="1">'Battery Design'!I335/1000*'Cost Input'!$F48+'Battery Design'!I25*'Cost Input'!$G48*('Cost Input'!$F296/I87)^(1-$F146)</f>
        <v>4.2332325825625325</v>
      </c>
      <c r="J146" s="159">
        <f ca="1">'Battery Design'!J335/1000*'Cost Input'!$F48+'Battery Design'!J25*'Cost Input'!$G48*('Cost Input'!$F296/J87)^(1-$F146)</f>
        <v>4.2434928721639098</v>
      </c>
      <c r="K146" s="159">
        <f ca="1">'Battery Design'!K335/1000*'Cost Input'!$F48+'Battery Design'!K25*'Cost Input'!$G48*('Cost Input'!$F296/K87)^(1-$F146)</f>
        <v>4.2722522181826417</v>
      </c>
      <c r="L146" s="159">
        <f ca="1">'Battery Design'!L335/1000*'Cost Input'!$F48+'Battery Design'!L25*'Cost Input'!$G48*('Cost Input'!$F296/L87)^(1-$F146)</f>
        <v>4.3151503883522491</v>
      </c>
      <c r="M146" s="159">
        <f ca="1">'Battery Design'!M335/1000*'Cost Input'!$F48+'Battery Design'!M25*'Cost Input'!$G48*('Cost Input'!$F296/M87)^(1-$F146)</f>
        <v>4.4743726955036571</v>
      </c>
      <c r="T146" s="353"/>
      <c r="W146" s="159"/>
    </row>
    <row r="147" spans="2:23" x14ac:dyDescent="0.3">
      <c r="B147" s="325"/>
      <c r="C147" s="90" t="s">
        <v>1249</v>
      </c>
      <c r="D147" s="353"/>
      <c r="E147" s="353"/>
      <c r="F147" s="534"/>
      <c r="G147" s="159">
        <f ca="1">'Cost Input'!$F53*'Battery Design'!G25/'Battery Design'!G26+'Cost Input'!$G53*'Battery Design'!G36</f>
        <v>24.090746447785857</v>
      </c>
      <c r="H147" s="159">
        <f ca="1">'Cost Input'!$F53*'Battery Design'!H25/'Battery Design'!H26+'Cost Input'!$G53*'Battery Design'!H36</f>
        <v>24.090746447785857</v>
      </c>
      <c r="I147" s="159">
        <f ca="1">'Cost Input'!$F53*'Battery Design'!I25/'Battery Design'!I26+'Cost Input'!$G53*'Battery Design'!I36</f>
        <v>24.085866790923198</v>
      </c>
      <c r="J147" s="159">
        <f ca="1">'Cost Input'!$F53*'Battery Design'!J25/'Battery Design'!J26+'Cost Input'!$G53*'Battery Design'!J36</f>
        <v>24.079862439465842</v>
      </c>
      <c r="K147" s="159">
        <f ca="1">'Cost Input'!$F53*'Battery Design'!K25/'Battery Design'!K26+'Cost Input'!$G53*'Battery Design'!K36</f>
        <v>24.072924372965105</v>
      </c>
      <c r="L147" s="159">
        <f ca="1">'Cost Input'!$F53*'Battery Design'!L25/'Battery Design'!L26+'Cost Input'!$G53*'Battery Design'!L36</f>
        <v>24.064617304917213</v>
      </c>
      <c r="M147" s="159">
        <f ca="1">'Cost Input'!$F53*'Battery Design'!M25/'Battery Design'!M26+'Cost Input'!$G53*'Battery Design'!M36</f>
        <v>24.053662805999195</v>
      </c>
      <c r="N147" s="21"/>
      <c r="O147" s="21"/>
      <c r="P147" s="21"/>
      <c r="Q147" s="21"/>
      <c r="R147" s="21"/>
      <c r="S147" s="21"/>
      <c r="T147" s="176"/>
      <c r="W147" s="159"/>
    </row>
    <row r="148" spans="2:23" x14ac:dyDescent="0.3">
      <c r="B148" s="325"/>
      <c r="C148" s="353" t="s">
        <v>1250</v>
      </c>
      <c r="D148" s="9"/>
      <c r="E148" s="353"/>
      <c r="F148" s="534">
        <f>'Cost Input'!G$74</f>
        <v>0.85</v>
      </c>
      <c r="G148" s="159">
        <f ca="1">'Battery Design'!G316/1000*'Cost Input'!$F57+'Battery Design'!G315*'Cost Input'!$G57*('Cost Input'!$F295/G12)^(1-$F148)</f>
        <v>4.1065357479968423</v>
      </c>
      <c r="H148" s="159">
        <f ca="1">'Battery Design'!H316/1000*'Cost Input'!$F57+'Battery Design'!H315*'Cost Input'!$G57*('Cost Input'!$F295/H12)^(1-$F148)</f>
        <v>4.1065357479968423</v>
      </c>
      <c r="I148" s="159">
        <f ca="1">'Battery Design'!I316/1000*'Cost Input'!$F57+'Battery Design'!I315*'Cost Input'!$G57*('Cost Input'!$F295/I12)^(1-$F148)</f>
        <v>4.1007321634363407</v>
      </c>
      <c r="J148" s="159">
        <f ca="1">'Battery Design'!J316/1000*'Cost Input'!$F57+'Battery Design'!J315*'Cost Input'!$G57*('Cost Input'!$F295/J12)^(1-$F148)</f>
        <v>4.1114115248827989</v>
      </c>
      <c r="K148" s="159">
        <f ca="1">'Battery Design'!K316/1000*'Cost Input'!$F57+'Battery Design'!K315*'Cost Input'!$G57*('Cost Input'!$F295/K12)^(1-$F148)</f>
        <v>4.0923951266504393</v>
      </c>
      <c r="L148" s="159">
        <f ca="1">'Battery Design'!L316/1000*'Cost Input'!$F57+'Battery Design'!L315*'Cost Input'!$G57*('Cost Input'!$F295/L12)^(1-$F148)</f>
        <v>4.1016241081551579</v>
      </c>
      <c r="M148" s="159">
        <f ca="1">'Battery Design'!M316/1000*'Cost Input'!$F57+'Battery Design'!M315*'Cost Input'!$G57*('Cost Input'!$F295/M12)^(1-$F148)</f>
        <v>4.095037191830003</v>
      </c>
      <c r="T148" s="353"/>
      <c r="W148" s="159"/>
    </row>
    <row r="149" spans="2:23" x14ac:dyDescent="0.3">
      <c r="B149" s="325"/>
      <c r="C149" s="1051" t="s">
        <v>1251</v>
      </c>
      <c r="E149" s="156"/>
      <c r="F149" s="534">
        <f>'Cost Input'!G$74</f>
        <v>0.85</v>
      </c>
      <c r="G149" s="19">
        <f ca="1">'Battery Design'!G322/1000*'Cost Input'!$F58+2*'Cost Input'!$G58*('Cost Input'!$F294/G11)^(1-$F149)</f>
        <v>0.88947539494111738</v>
      </c>
      <c r="H149" s="19">
        <f ca="1">'Battery Design'!H322/1000*'Cost Input'!$F58+2*'Cost Input'!$G58*('Cost Input'!$F294/H11)^(1-$F149)</f>
        <v>0.88947539494111738</v>
      </c>
      <c r="I149" s="19">
        <f ca="1">'Battery Design'!I322/1000*'Cost Input'!$F58+2*'Cost Input'!$G58*('Cost Input'!$F294/I11)^(1-$F149)</f>
        <v>0.89069577162670033</v>
      </c>
      <c r="J149" s="19">
        <f ca="1">'Battery Design'!J322/1000*'Cost Input'!$F58+2*'Cost Input'!$G58*('Cost Input'!$F294/J11)^(1-$F149)</f>
        <v>0.89536746184269556</v>
      </c>
      <c r="K149" s="19">
        <f ca="1">'Battery Design'!K322/1000*'Cost Input'!$F58+2*'Cost Input'!$G58*('Cost Input'!$F294/K11)^(1-$F149)</f>
        <v>0.89811940636997079</v>
      </c>
      <c r="L149" s="19">
        <f ca="1">'Battery Design'!L322/1000*'Cost Input'!$F58+2*'Cost Input'!$G58*('Cost Input'!$F294/L11)^(1-$F149)</f>
        <v>0.91006037342535107</v>
      </c>
      <c r="M149" s="19">
        <f ca="1">'Battery Design'!M322/1000*'Cost Input'!$F58+2*'Cost Input'!$G58*('Cost Input'!$F294/M11)^(1-$F149)</f>
        <v>0.94421663474665174</v>
      </c>
      <c r="T149" s="353"/>
      <c r="W149" s="159"/>
    </row>
    <row r="150" spans="2:23" x14ac:dyDescent="0.3">
      <c r="B150" s="325"/>
      <c r="C150" s="353" t="s">
        <v>1252</v>
      </c>
      <c r="D150" s="353"/>
      <c r="E150" s="353"/>
      <c r="F150" s="534">
        <f>'Cost Input'!G$74</f>
        <v>0.85</v>
      </c>
      <c r="G150" s="159">
        <f ca="1">'Cost Input'!$F$59*'Battery Design'!G330/1000+2*'Cost Input'!$G$59*('Cost Input'!$F294/G11)^(1-$F150)</f>
        <v>0.78748489522177789</v>
      </c>
      <c r="H150" s="159">
        <f ca="1">'Cost Input'!$F$59*'Battery Design'!H330/1000+2*'Cost Input'!$G$59*('Cost Input'!$F294/H11)^(1-$F150)</f>
        <v>0.78748489522177789</v>
      </c>
      <c r="I150" s="159">
        <f ca="1">'Cost Input'!$F$59*'Battery Design'!I330/1000+2*'Cost Input'!$G$59*('Cost Input'!$F294/I11)^(1-$F150)</f>
        <v>0.78748489522177789</v>
      </c>
      <c r="J150" s="159">
        <f ca="1">'Cost Input'!$F$59*'Battery Design'!J330/1000+2*'Cost Input'!$G$59*('Cost Input'!$F294/J11)^(1-$F150)</f>
        <v>0.78748489522177789</v>
      </c>
      <c r="K150" s="159">
        <f ca="1">'Cost Input'!$F$59*'Battery Design'!K330/1000+2*'Cost Input'!$G$59*('Cost Input'!$F294/K11)^(1-$F150)</f>
        <v>0.78748489522177789</v>
      </c>
      <c r="L150" s="159">
        <f ca="1">'Cost Input'!$F$59*'Battery Design'!L330/1000+2*'Cost Input'!$G$59*('Cost Input'!$F294/L11)^(1-$F150)</f>
        <v>0.78748489522177789</v>
      </c>
      <c r="M150" s="159">
        <f ca="1">'Cost Input'!$F$59*'Battery Design'!M330/1000+2*'Cost Input'!$G$59*('Cost Input'!$F294/M11)^(1-$F150)</f>
        <v>0.78748489522177789</v>
      </c>
      <c r="T150" s="353"/>
      <c r="W150" s="159"/>
    </row>
    <row r="151" spans="2:23" x14ac:dyDescent="0.3">
      <c r="B151" s="325" t="str">
        <f>$B$145 &amp; ": " &amp; C148</f>
        <v>Cost of Module Purchased Items, $/module: Cell interconnects (copper) $/module</v>
      </c>
      <c r="C151" s="9" t="s">
        <v>1253</v>
      </c>
      <c r="D151" s="9"/>
      <c r="E151" s="9"/>
      <c r="F151" s="534">
        <f>'Cost Input'!G$74</f>
        <v>0.85</v>
      </c>
      <c r="G151" s="149">
        <f ca="1">'Battery Design'!G341/1000*'Cost Input'!$F60+'Cost Input'!$G60*('Cost Input'!$F294/G11)^(1-$F151)</f>
        <v>2.3557924962572168</v>
      </c>
      <c r="H151" s="149">
        <f ca="1">'Battery Design'!H341/1000*'Cost Input'!$F60+'Cost Input'!$G60*('Cost Input'!$F294/H11)^(1-$F151)</f>
        <v>2.3557924962572168</v>
      </c>
      <c r="I151" s="149">
        <f ca="1">'Battery Design'!I341/1000*'Cost Input'!$F60+'Cost Input'!$G60*('Cost Input'!$F294/I11)^(1-$F151)</f>
        <v>2.3593859270303179</v>
      </c>
      <c r="J151" s="149">
        <f ca="1">'Battery Design'!J341/1000*'Cost Input'!$F60+'Cost Input'!$G60*('Cost Input'!$F294/J11)^(1-$F151)</f>
        <v>2.3766865298132727</v>
      </c>
      <c r="K151" s="149">
        <f ca="1">'Battery Design'!K341/1000*'Cost Input'!$F60+'Cost Input'!$G60*('Cost Input'!$F294/K11)^(1-$F151)</f>
        <v>2.3842915255009363</v>
      </c>
      <c r="L151" s="168">
        <f ca="1">'Battery Design'!L341/1000*'Cost Input'!$F60+'Cost Input'!$G60*('Cost Input'!$F294/L11)^(1-$F151)</f>
        <v>2.4267376341546107</v>
      </c>
      <c r="M151" s="168">
        <f ca="1">'Battery Design'!M341/1000*'Cost Input'!$F60+'Cost Input'!$G60*('Cost Input'!$F294/M11)^(1-$F151)</f>
        <v>2.5462409852030867</v>
      </c>
      <c r="T151" s="353"/>
      <c r="W151" s="159"/>
    </row>
    <row r="152" spans="2:23" x14ac:dyDescent="0.3">
      <c r="B152" s="325" t="str">
        <f>$B$145 &amp; ": " &amp; C147</f>
        <v>Cost of Module Purchased Items, $/module: Module management system (MMS), $/module</v>
      </c>
      <c r="C152" s="353" t="s">
        <v>1254</v>
      </c>
      <c r="D152" s="353"/>
      <c r="E152" s="353"/>
      <c r="F152" s="534">
        <f>'Cost Input'!G$74</f>
        <v>0.85</v>
      </c>
      <c r="G152" s="159">
        <f>'Cost Input'!$G$61*('Cost Input'!$F294/G11)^(1-$F152)</f>
        <v>0.5</v>
      </c>
      <c r="H152" s="159">
        <f>'Cost Input'!$G$61*('Cost Input'!$F294/H11)^(1-$F152)</f>
        <v>0.5</v>
      </c>
      <c r="I152" s="159">
        <f>'Cost Input'!$G$61*('Cost Input'!$F294/I11)^(1-$F152)</f>
        <v>0.5</v>
      </c>
      <c r="J152" s="159">
        <f>'Cost Input'!$G$61*('Cost Input'!$F294/J11)^(1-$F152)</f>
        <v>0.5</v>
      </c>
      <c r="K152" s="159">
        <f>'Cost Input'!$G$61*('Cost Input'!$F294/K11)^(1-$F152)</f>
        <v>0.5</v>
      </c>
      <c r="L152" s="159">
        <f>'Cost Input'!$G$61*('Cost Input'!$F294/L11)^(1-$F152)</f>
        <v>0.5</v>
      </c>
      <c r="M152" s="159">
        <f>'Cost Input'!$G$61*('Cost Input'!$F294/M11)^(1-$F152)</f>
        <v>0.5</v>
      </c>
      <c r="T152" s="353"/>
      <c r="W152" s="159"/>
    </row>
    <row r="153" spans="2:23" ht="14" x14ac:dyDescent="0.3">
      <c r="B153" s="325" t="str">
        <f>$B$145 &amp; ": " &amp; C153</f>
        <v>Cost of Module Purchased Items, $/module: Total cost for module materials and purchased items, $/module</v>
      </c>
      <c r="C153" s="353" t="s">
        <v>1255</v>
      </c>
      <c r="D153" s="353"/>
      <c r="E153" s="353"/>
      <c r="F153" s="353"/>
      <c r="G153" s="197">
        <f t="shared" ref="G153:M153" ca="1" si="30">SUM(G146:G152)</f>
        <v>36.953091235562617</v>
      </c>
      <c r="H153" s="197">
        <f t="shared" ca="1" si="30"/>
        <v>36.953091235562617</v>
      </c>
      <c r="I153" s="159">
        <f t="shared" ca="1" si="30"/>
        <v>36.957398130800875</v>
      </c>
      <c r="J153" s="159">
        <f t="shared" ca="1" si="30"/>
        <v>36.994305723390298</v>
      </c>
      <c r="K153" s="159">
        <f t="shared" ca="1" si="30"/>
        <v>37.007467544890872</v>
      </c>
      <c r="L153" s="159">
        <f t="shared" ca="1" si="30"/>
        <v>37.105674704226367</v>
      </c>
      <c r="M153" s="159">
        <f t="shared" ca="1" si="30"/>
        <v>37.401015208504376</v>
      </c>
      <c r="R153" s="55"/>
      <c r="S153" s="55"/>
      <c r="T153" s="225"/>
      <c r="W153" s="159"/>
    </row>
    <row r="154" spans="2:23" ht="14" x14ac:dyDescent="0.3">
      <c r="B154" s="325"/>
      <c r="C154" s="353"/>
      <c r="D154" s="353"/>
      <c r="E154" s="353"/>
      <c r="F154" s="353"/>
      <c r="G154" s="197"/>
      <c r="H154" s="197"/>
      <c r="I154" s="159"/>
      <c r="J154" s="159"/>
      <c r="K154" s="159"/>
      <c r="L154" s="159"/>
      <c r="M154" s="159"/>
      <c r="R154" s="55"/>
      <c r="S154" s="55"/>
      <c r="T154" s="225"/>
      <c r="W154" s="159"/>
    </row>
    <row r="155" spans="2:23" ht="15.5" x14ac:dyDescent="0.35">
      <c r="B155" s="6" t="s">
        <v>1256</v>
      </c>
      <c r="C155" s="353"/>
      <c r="D155" s="353"/>
      <c r="E155" s="353"/>
      <c r="F155" s="353"/>
      <c r="G155" s="159"/>
      <c r="H155" s="159"/>
      <c r="I155" s="159"/>
      <c r="J155" s="159"/>
      <c r="K155" s="159"/>
      <c r="L155" s="159"/>
      <c r="M155" s="159"/>
      <c r="O155" s="55"/>
      <c r="P155" s="55"/>
      <c r="Q155" s="55"/>
      <c r="R155" s="55"/>
      <c r="S155" s="55"/>
      <c r="T155" s="225"/>
      <c r="W155" s="159"/>
    </row>
    <row r="156" spans="2:23" ht="14" x14ac:dyDescent="0.3">
      <c r="B156" s="325"/>
      <c r="C156" s="1051" t="s">
        <v>1257</v>
      </c>
      <c r="D156" s="353"/>
      <c r="E156" s="353"/>
      <c r="F156" s="534"/>
      <c r="G156" s="197">
        <f ca="1">'Battery Design'!G28*(('Battery Design'!G386-'Battery Design'!G385)*'Cost Input'!$F64+'Cost Input'!$G64*(G10/'Cost Input'!$F293)^(1-'Cost Input'!$G74))</f>
        <v>63.08264120601266</v>
      </c>
      <c r="H156" s="197">
        <f ca="1">'Battery Design'!H28*(('Battery Design'!H386-'Battery Design'!H385)*'Cost Input'!$F64+'Cost Input'!$G64*(H10/'Cost Input'!$F293)^(1-'Cost Input'!$G74))</f>
        <v>63.08264120601266</v>
      </c>
      <c r="I156" s="197">
        <f ca="1">'Battery Design'!I28*(('Battery Design'!I386-'Battery Design'!I385)*'Cost Input'!$F64+'Cost Input'!$G64*(I10/'Cost Input'!$F293)^(1-'Cost Input'!$G74))</f>
        <v>63.161918224840811</v>
      </c>
      <c r="J156" s="197">
        <f ca="1">'Battery Design'!J28*(('Battery Design'!J386-'Battery Design'!J385)*'Cost Input'!$F64+'Cost Input'!$G64*(J10/'Cost Input'!$F293)^(1-'Cost Input'!$G74))</f>
        <v>63.690082212973635</v>
      </c>
      <c r="K156" s="197">
        <f ca="1">'Battery Design'!K28*(('Battery Design'!K386-'Battery Design'!K385)*'Cost Input'!$F64+'Cost Input'!$G64*(K10/'Cost Input'!$F293)^(1-'Cost Input'!$G74))</f>
        <v>63.832282572043667</v>
      </c>
      <c r="L156" s="197">
        <f ca="1">'Battery Design'!L28*(('Battery Design'!L386-'Battery Design'!L385)*'Cost Input'!$F64+'Cost Input'!$G64*(L10/'Cost Input'!$F293)^(1-'Cost Input'!$G74))</f>
        <v>65.063106262811047</v>
      </c>
      <c r="M156" s="197">
        <f ca="1">'Battery Design'!M28*(('Battery Design'!M386-'Battery Design'!M385)*'Cost Input'!$F64+'Cost Input'!$G64*(M10/'Cost Input'!$F293)^(1-'Cost Input'!$G74))</f>
        <v>68.402310205543586</v>
      </c>
      <c r="O156" s="55"/>
      <c r="P156" s="55"/>
      <c r="Q156" s="55"/>
      <c r="R156" s="55"/>
      <c r="S156" s="55"/>
      <c r="T156" s="225"/>
      <c r="W156" s="159"/>
    </row>
    <row r="157" spans="2:23" ht="14" x14ac:dyDescent="0.3">
      <c r="B157" s="325"/>
      <c r="C157" s="90" t="s">
        <v>1258</v>
      </c>
      <c r="D157" s="353"/>
      <c r="E157" s="353"/>
      <c r="F157" s="534"/>
      <c r="G157" s="197">
        <f>'Battery Design'!G28*('Battery Design'!G27-1)*'Cost Input'!$G65</f>
        <v>3.2</v>
      </c>
      <c r="H157" s="197">
        <f>'Battery Design'!H28*('Battery Design'!H27-1)*'Cost Input'!$G65</f>
        <v>3.2</v>
      </c>
      <c r="I157" s="197">
        <f>'Battery Design'!I28*('Battery Design'!I27-1)*'Cost Input'!$G65</f>
        <v>3.2</v>
      </c>
      <c r="J157" s="197">
        <f>'Battery Design'!J28*('Battery Design'!J27-1)*'Cost Input'!$G65</f>
        <v>3.2</v>
      </c>
      <c r="K157" s="197">
        <f>'Battery Design'!K28*('Battery Design'!K27-1)*'Cost Input'!$G65</f>
        <v>3.2</v>
      </c>
      <c r="L157" s="197">
        <f>'Battery Design'!L28*('Battery Design'!L27-1)*'Cost Input'!$G65</f>
        <v>3.2</v>
      </c>
      <c r="M157" s="197">
        <f>'Battery Design'!M28*('Battery Design'!M27-1)*'Cost Input'!$G65</f>
        <v>3.2</v>
      </c>
      <c r="O157" s="55"/>
      <c r="P157" s="55"/>
      <c r="Q157" s="55"/>
      <c r="R157" s="55"/>
      <c r="S157" s="55"/>
      <c r="T157" s="225"/>
      <c r="W157" s="159"/>
    </row>
    <row r="158" spans="2:23" ht="14" x14ac:dyDescent="0.3">
      <c r="B158" s="325"/>
      <c r="C158" s="353" t="s">
        <v>1259</v>
      </c>
      <c r="D158" s="353"/>
      <c r="E158" s="353"/>
      <c r="F158" s="534"/>
      <c r="G158" s="197">
        <f ca="1">('Battery Design'!G29+'Battery Design'!G28)*('Cost Input'!$F66*'Battery Design'!G439/1000+'Cost Input'!$G66*(G11/'Cost Input'!$F294)^(1-'Cost Input'!$G74))</f>
        <v>19.34733415850927</v>
      </c>
      <c r="H158" s="197">
        <f ca="1">('Battery Design'!H29+'Battery Design'!H28)*('Cost Input'!$F66*'Battery Design'!H439/1000+'Cost Input'!$G66*(H11/'Cost Input'!$F294)^(1-'Cost Input'!$G74))</f>
        <v>19.34733415850927</v>
      </c>
      <c r="I158" s="197">
        <f ca="1">('Battery Design'!I29+'Battery Design'!I28)*('Cost Input'!$F66*'Battery Design'!I439/1000+'Cost Input'!$G66*(I11/'Cost Input'!$F294)^(1-'Cost Input'!$G74))</f>
        <v>19.34733415850927</v>
      </c>
      <c r="J158" s="197">
        <f ca="1">('Battery Design'!J29+'Battery Design'!J28)*('Cost Input'!$F66*'Battery Design'!J439/1000+'Cost Input'!$G66*(J11/'Cost Input'!$F294)^(1-'Cost Input'!$G74))</f>
        <v>19.34733415850927</v>
      </c>
      <c r="K158" s="197">
        <f ca="1">('Battery Design'!K29+'Battery Design'!K28)*('Cost Input'!$F66*'Battery Design'!K439/1000+'Cost Input'!$G66*(K11/'Cost Input'!$F294)^(1-'Cost Input'!$G74))</f>
        <v>19.34733415850927</v>
      </c>
      <c r="L158" s="197">
        <f ca="1">('Battery Design'!L29+'Battery Design'!L28)*('Cost Input'!$F66*'Battery Design'!L439/1000+'Cost Input'!$G66*(L11/'Cost Input'!$F294)^(1-'Cost Input'!$G74))</f>
        <v>19.34733415850927</v>
      </c>
      <c r="M158" s="197">
        <f ca="1">('Battery Design'!M29+'Battery Design'!M28)*('Cost Input'!$F66*'Battery Design'!M439/1000+'Cost Input'!$G66*(M11/'Cost Input'!$F294)^(1-'Cost Input'!$G74))</f>
        <v>19.34733415850927</v>
      </c>
      <c r="O158" s="55"/>
      <c r="P158" s="55"/>
      <c r="Q158" s="55"/>
      <c r="R158" s="55"/>
      <c r="S158" s="55"/>
      <c r="T158" s="225"/>
      <c r="W158" s="159"/>
    </row>
    <row r="159" spans="2:23" ht="14" x14ac:dyDescent="0.3">
      <c r="B159" s="325"/>
      <c r="C159" s="353" t="s">
        <v>1260</v>
      </c>
      <c r="D159" s="353"/>
      <c r="E159" s="353"/>
      <c r="F159" s="534"/>
      <c r="G159" s="197">
        <f ca="1">IF('Battery Design'!G440=0,0,1)*('Battery Design'!G440/1000*'Cost Input'!$F67+'Cost Input'!$G67)</f>
        <v>14.035507150777415</v>
      </c>
      <c r="H159" s="197">
        <f ca="1">IF('Battery Design'!H440=0,0,1)*('Battery Design'!H440/1000*'Cost Input'!$F67+'Cost Input'!$G67)</f>
        <v>14.035507150777415</v>
      </c>
      <c r="I159" s="197">
        <f ca="1">IF('Battery Design'!I440=0,0,1)*('Battery Design'!I440/1000*'Cost Input'!$F67+'Cost Input'!$G67)</f>
        <v>14.082824466042636</v>
      </c>
      <c r="J159" s="197">
        <f ca="1">IF('Battery Design'!J440=0,0,1)*('Battery Design'!J440/1000*'Cost Input'!$F67+'Cost Input'!$G67)</f>
        <v>14.132044249085064</v>
      </c>
      <c r="K159" s="197">
        <f ca="1">IF('Battery Design'!K440=0,0,1)*('Battery Design'!K440/1000*'Cost Input'!$F67+'Cost Input'!$G67)</f>
        <v>14.264054193711893</v>
      </c>
      <c r="L159" s="197">
        <f ca="1">IF('Battery Design'!L440=0,0,1)*('Battery Design'!L440/1000*'Cost Input'!$F67+'Cost Input'!$G67)</f>
        <v>14.462048842461064</v>
      </c>
      <c r="M159" s="197">
        <f ca="1">IF('Battery Design'!M440=0,0,1)*('Battery Design'!M440/1000*'Cost Input'!$F67+'Cost Input'!$G67)</f>
        <v>15.167632400679587</v>
      </c>
      <c r="O159" s="55"/>
      <c r="P159" s="55"/>
      <c r="Q159" s="55"/>
      <c r="R159" s="55"/>
      <c r="S159" s="55"/>
      <c r="T159" s="225"/>
      <c r="W159" s="159"/>
    </row>
    <row r="160" spans="2:23" ht="14" x14ac:dyDescent="0.3">
      <c r="B160" s="325"/>
      <c r="C160" s="1050" t="s">
        <v>1261</v>
      </c>
      <c r="D160" s="353"/>
      <c r="E160" s="353"/>
      <c r="F160" s="534"/>
      <c r="G160" s="197">
        <f ca="1">'Battery Design'!G394*'Cost Input'!$F68+2*'Battery Design'!G28*'Cost Input'!$G68*(G10/'Cost Input'!$F293)^(1-'Cost Input'!$G74)</f>
        <v>50.829321488100014</v>
      </c>
      <c r="H160" s="197">
        <f ca="1">'Battery Design'!H394*'Cost Input'!$F68+2*'Battery Design'!H28*'Cost Input'!$G68*(H10/'Cost Input'!$F293)^(1-'Cost Input'!$G74)</f>
        <v>50.829321488100014</v>
      </c>
      <c r="I160" s="197">
        <f ca="1">'Battery Design'!I394*'Cost Input'!$F68+2*'Battery Design'!I28*'Cost Input'!$G68*(I10/'Cost Input'!$F293)^(1-'Cost Input'!$G74)</f>
        <v>50.952502809625216</v>
      </c>
      <c r="J160" s="197">
        <f ca="1">'Battery Design'!J394*'Cost Input'!$F68+2*'Battery Design'!J28*'Cost Input'!$G68*(J10/'Cost Input'!$F293)^(1-'Cost Input'!$G74)</f>
        <v>51.390804090276042</v>
      </c>
      <c r="K160" s="197">
        <f ca="1">'Battery Design'!K394*'Cost Input'!$F68+2*'Battery Design'!K28*'Cost Input'!$G68*(K10/'Cost Input'!$F293)^(1-'Cost Input'!$G74)</f>
        <v>51.674832586772595</v>
      </c>
      <c r="L160" s="197">
        <f ca="1">'Battery Design'!L394*'Cost Input'!$F68+2*'Battery Design'!L28*'Cost Input'!$G68*(L10/'Cost Input'!$F293)^(1-'Cost Input'!$G74)</f>
        <v>52.813357010709005</v>
      </c>
      <c r="M160" s="197">
        <f ca="1">'Battery Design'!M394*'Cost Input'!$F68+2*'Battery Design'!M28*'Cost Input'!$G68*(M10/'Cost Input'!$F293)^(1-'Cost Input'!$G74)</f>
        <v>56.104552251971384</v>
      </c>
      <c r="O160" s="55"/>
      <c r="P160" s="55"/>
      <c r="Q160" s="55"/>
      <c r="R160" s="55"/>
      <c r="S160" s="55"/>
      <c r="T160" s="225"/>
      <c r="W160" s="159"/>
    </row>
    <row r="161" spans="2:23" ht="14" x14ac:dyDescent="0.3">
      <c r="B161" s="325"/>
      <c r="C161" s="1050" t="s">
        <v>1262</v>
      </c>
      <c r="D161" s="353"/>
      <c r="E161" s="353"/>
      <c r="F161" s="534"/>
      <c r="G161" s="197">
        <f ca="1">'Battery Design'!G401*'Cost Input'!$F69+'Cost Input'!$G69*(G9/'Cost Input'!$F292)^(1-'Cost Input'!$G74)</f>
        <v>8.6096433907787713</v>
      </c>
      <c r="H161" s="197">
        <f ca="1">'Battery Design'!H401*'Cost Input'!$F69+'Cost Input'!$G69*(H9/'Cost Input'!$F292)^(1-'Cost Input'!$G74)</f>
        <v>8.6096433907787713</v>
      </c>
      <c r="I161" s="197">
        <f ca="1">'Battery Design'!I401*'Cost Input'!$F69+'Cost Input'!$G69*(I9/'Cost Input'!$F292)^(1-'Cost Input'!$G74)</f>
        <v>8.6334149079839584</v>
      </c>
      <c r="J161" s="197">
        <f ca="1">'Battery Design'!J401*'Cost Input'!$F69+'Cost Input'!$G69*(J9/'Cost Input'!$F292)^(1-'Cost Input'!$G74)</f>
        <v>8.6569944304402142</v>
      </c>
      <c r="K161" s="197">
        <f ca="1">'Battery Design'!K401*'Cost Input'!$F69+'Cost Input'!$G69*(K9/'Cost Input'!$F292)^(1-'Cost Input'!$G74)</f>
        <v>8.7235082408544429</v>
      </c>
      <c r="L161" s="197">
        <f ca="1">'Battery Design'!L401*'Cost Input'!$F69+'Cost Input'!$G69*(L9/'Cost Input'!$F292)^(1-'Cost Input'!$G74)</f>
        <v>8.8206767253296086</v>
      </c>
      <c r="M161" s="197">
        <f ca="1">'Battery Design'!M401*'Cost Input'!$F69+'Cost Input'!$G69*(M9/'Cost Input'!$F292)^(1-'Cost Input'!$G74)</f>
        <v>9.1696616277117915</v>
      </c>
      <c r="O161" s="55"/>
      <c r="P161" s="55"/>
      <c r="Q161" s="55"/>
      <c r="R161" s="55"/>
      <c r="S161" s="55"/>
      <c r="T161" s="225"/>
      <c r="W161" s="159"/>
    </row>
    <row r="162" spans="2:23" ht="14" x14ac:dyDescent="0.3">
      <c r="B162" s="325"/>
      <c r="C162" s="1050" t="s">
        <v>1263</v>
      </c>
      <c r="D162" s="353"/>
      <c r="E162" s="353"/>
      <c r="F162" s="534"/>
      <c r="G162" s="197">
        <f ca="1">'Battery Design'!G441/1000*0.9*'Cost Input'!$F70+2*'Cost Input'!$G70*(G9/'Cost Input'!$F292)^(1-'Cost Input'!$G74)</f>
        <v>8.0495843606666675</v>
      </c>
      <c r="H162" s="197">
        <f ca="1">'Battery Design'!H441/1000*0.9*'Cost Input'!$F70+2*'Cost Input'!$G70*(H9/'Cost Input'!$F292)^(1-'Cost Input'!$G74)</f>
        <v>8.0495843606666675</v>
      </c>
      <c r="I162" s="197">
        <f ca="1">'Battery Design'!I441/1000*0.9*'Cost Input'!$F70+2*'Cost Input'!$G70*(I9/'Cost Input'!$F292)^(1-'Cost Input'!$G74)</f>
        <v>8.0495843606666675</v>
      </c>
      <c r="J162" s="197">
        <f ca="1">'Battery Design'!J441/1000*0.9*'Cost Input'!$F70+2*'Cost Input'!$G70*(J9/'Cost Input'!$F292)^(1-'Cost Input'!$G74)</f>
        <v>8.0495843606666675</v>
      </c>
      <c r="K162" s="197">
        <f ca="1">'Battery Design'!K441/1000*0.9*'Cost Input'!$F70+2*'Cost Input'!$G70*(K9/'Cost Input'!$F292)^(1-'Cost Input'!$G74)</f>
        <v>8.0495843606666675</v>
      </c>
      <c r="L162" s="197">
        <f ca="1">'Battery Design'!L441/1000*0.9*'Cost Input'!$F70+2*'Cost Input'!$G70*(L9/'Cost Input'!$F292)^(1-'Cost Input'!$G74)</f>
        <v>8.0495843606666675</v>
      </c>
      <c r="M162" s="197">
        <f ca="1">'Battery Design'!M441/1000*0.9*'Cost Input'!$F70+2*'Cost Input'!$G70*(M9/'Cost Input'!$F292)^(1-'Cost Input'!$G74)</f>
        <v>8.0495843606666675</v>
      </c>
      <c r="O162" s="55"/>
      <c r="P162" s="55"/>
      <c r="Q162" s="55"/>
      <c r="R162" s="55"/>
      <c r="S162" s="55"/>
      <c r="T162" s="225"/>
      <c r="W162" s="159"/>
    </row>
    <row r="163" spans="2:23" ht="14" x14ac:dyDescent="0.3">
      <c r="B163" s="325"/>
      <c r="C163" s="353" t="s">
        <v>1264</v>
      </c>
      <c r="D163" s="353"/>
      <c r="E163" s="353"/>
      <c r="F163" s="534"/>
      <c r="G163" s="197">
        <f ca="1">'Battery Design'!G422*'Cost Input'!$F71+'Cost Input'!$G71*(G9/'Cost Input'!$F292)^(1-'Cost Input'!$G74)</f>
        <v>25.295756497967581</v>
      </c>
      <c r="H163" s="197">
        <f ca="1">'Battery Design'!H422*'Cost Input'!$F71+'Cost Input'!$G71*(H9/'Cost Input'!$F292)^(1-'Cost Input'!$G74)</f>
        <v>25.295756497967581</v>
      </c>
      <c r="I163" s="197">
        <f ca="1">'Battery Design'!I422*'Cost Input'!$F71+'Cost Input'!$G71*(I9/'Cost Input'!$F292)^(1-'Cost Input'!$G74)</f>
        <v>25.280721524015068</v>
      </c>
      <c r="J163" s="197">
        <f ca="1">'Battery Design'!J422*'Cost Input'!$F71+'Cost Input'!$G71*(J9/'Cost Input'!$F292)^(1-'Cost Input'!$G74)</f>
        <v>25.387539037099174</v>
      </c>
      <c r="K163" s="197">
        <f ca="1">'Battery Design'!K422*'Cost Input'!$F71+'Cost Input'!$G71*(K9/'Cost Input'!$F292)^(1-'Cost Input'!$G74)</f>
        <v>25.32489791373747</v>
      </c>
      <c r="L163" s="197">
        <f ca="1">'Battery Design'!L422*'Cost Input'!$F71+'Cost Input'!$G71*(L9/'Cost Input'!$F292)^(1-'Cost Input'!$G74)</f>
        <v>25.507492414264682</v>
      </c>
      <c r="M163" s="197">
        <f ca="1">'Battery Design'!M422*'Cost Input'!$F71+'Cost Input'!$G71*(M9/'Cost Input'!$F292)^(1-'Cost Input'!$G74)</f>
        <v>25.869011163099383</v>
      </c>
      <c r="O163" s="55"/>
      <c r="P163" s="55"/>
      <c r="Q163" s="55"/>
      <c r="R163" s="55"/>
      <c r="S163" s="55"/>
      <c r="T163" s="225"/>
      <c r="W163" s="159"/>
    </row>
    <row r="164" spans="2:23" ht="14" x14ac:dyDescent="0.3">
      <c r="B164" s="325"/>
      <c r="C164" s="353" t="s">
        <v>1265</v>
      </c>
      <c r="D164" s="353"/>
      <c r="E164" s="353"/>
      <c r="F164" s="534"/>
      <c r="G164" s="197">
        <f ca="1">('Battery Design'!G424+'Battery Design'!G431)*'Cost Input'!$F72+'Cost Input'!$G72*(G9/'Cost Input'!$F292)^(1-'Cost Input'!$G74)</f>
        <v>96.620209665806328</v>
      </c>
      <c r="H164" s="197">
        <f ca="1">('Battery Design'!H424+'Battery Design'!H431)*'Cost Input'!$F72+'Cost Input'!$G72*(H9/'Cost Input'!$F292)^(1-'Cost Input'!$G74)</f>
        <v>96.620209665806328</v>
      </c>
      <c r="I164" s="197">
        <f ca="1">('Battery Design'!I424+'Battery Design'!I431)*'Cost Input'!$F72+'Cost Input'!$G72*(I9/'Cost Input'!$F292)^(1-'Cost Input'!$G74)</f>
        <v>96.705202660688897</v>
      </c>
      <c r="J164" s="197">
        <f ca="1">('Battery Design'!J424+'Battery Design'!J431)*'Cost Input'!$F72+'Cost Input'!$G72*(J9/'Cost Input'!$F292)^(1-'Cost Input'!$G74)</f>
        <v>97.531339973273361</v>
      </c>
      <c r="K164" s="197">
        <f ca="1">('Battery Design'!K424+'Battery Design'!K431)*'Cost Input'!$F72+'Cost Input'!$G72*(K9/'Cost Input'!$F292)^(1-'Cost Input'!$G74)</f>
        <v>97.635849086988031</v>
      </c>
      <c r="L164" s="197">
        <f ca="1">('Battery Design'!L424+'Battery Design'!L431)*'Cost Input'!$F72+'Cost Input'!$G72*(L9/'Cost Input'!$F292)^(1-'Cost Input'!$G74)</f>
        <v>99.474543121266336</v>
      </c>
      <c r="M164" s="197">
        <f ca="1">('Battery Design'!M424+'Battery Design'!M431)*'Cost Input'!$F72+'Cost Input'!$G72*(M9/'Cost Input'!$F292)^(1-'Cost Input'!$G74)</f>
        <v>104.26256514183</v>
      </c>
      <c r="O164" s="55"/>
      <c r="P164" s="55"/>
      <c r="Q164" s="55"/>
      <c r="R164" s="55"/>
      <c r="S164" s="55"/>
      <c r="T164" s="225"/>
      <c r="W164" s="159"/>
    </row>
    <row r="165" spans="2:23" ht="14" x14ac:dyDescent="0.3">
      <c r="B165" s="325"/>
      <c r="C165" s="353" t="s">
        <v>1266</v>
      </c>
      <c r="D165" s="353"/>
      <c r="E165" s="353"/>
      <c r="F165" s="534"/>
      <c r="G165" s="197">
        <f ca="1">('Battery Design'!G425+'Battery Design'!G432)*'Cost Input'!$E73</f>
        <v>17.053058434976315</v>
      </c>
      <c r="H165" s="197">
        <f ca="1">('Battery Design'!H425+'Battery Design'!H432)*'Cost Input'!$E73</f>
        <v>17.053058434976315</v>
      </c>
      <c r="I165" s="197">
        <f ca="1">('Battery Design'!I425+'Battery Design'!I432)*'Cost Input'!$E73</f>
        <v>17.066909006507696</v>
      </c>
      <c r="J165" s="197">
        <f ca="1">('Battery Design'!J425+'Battery Design'!J432)*'Cost Input'!$E73</f>
        <v>17.220697332259924</v>
      </c>
      <c r="K165" s="197">
        <f ca="1">('Battery Design'!K425+'Battery Design'!K432)*'Cost Input'!$E73</f>
        <v>17.234202478679304</v>
      </c>
      <c r="L165" s="197">
        <f ca="1">('Battery Design'!L425+'Battery Design'!L432)*'Cost Input'!$E73</f>
        <v>17.572168902841106</v>
      </c>
      <c r="M165" s="197">
        <f ca="1">('Battery Design'!M425+'Battery Design'!M432)*'Cost Input'!$E73</f>
        <v>18.442049789723875</v>
      </c>
      <c r="O165" s="55"/>
      <c r="P165" s="55"/>
      <c r="Q165" s="55"/>
      <c r="R165" s="55"/>
      <c r="S165" s="55"/>
      <c r="T165" s="225"/>
      <c r="W165" s="159"/>
    </row>
    <row r="166" spans="2:23" x14ac:dyDescent="0.3">
      <c r="B166" s="325"/>
      <c r="C166" s="353" t="s">
        <v>1267</v>
      </c>
      <c r="D166" s="353"/>
      <c r="E166" s="353"/>
      <c r="F166" s="534"/>
      <c r="G166" s="197">
        <f ca="1">Thermal!G146</f>
        <v>200</v>
      </c>
      <c r="H166" s="197">
        <f ca="1">Thermal!H146</f>
        <v>200</v>
      </c>
      <c r="I166" s="197">
        <f ca="1">Thermal!I146</f>
        <v>200</v>
      </c>
      <c r="J166" s="197">
        <f ca="1">Thermal!J146</f>
        <v>200</v>
      </c>
      <c r="K166" s="197">
        <f ca="1">Thermal!K146</f>
        <v>200</v>
      </c>
      <c r="L166" s="197">
        <f ca="1">Thermal!L146</f>
        <v>200</v>
      </c>
      <c r="M166" s="197">
        <f ca="1">Thermal!M146</f>
        <v>200</v>
      </c>
      <c r="N166" s="20">
        <f>Thermal!N146</f>
        <v>0</v>
      </c>
      <c r="O166" s="55"/>
      <c r="P166" s="55"/>
      <c r="Q166" s="55"/>
      <c r="R166" s="55"/>
      <c r="S166" s="55"/>
      <c r="T166" s="123"/>
      <c r="W166" s="159"/>
    </row>
    <row r="167" spans="2:23" x14ac:dyDescent="0.3">
      <c r="B167" s="325"/>
      <c r="C167" s="353" t="s">
        <v>1268</v>
      </c>
      <c r="D167" s="353"/>
      <c r="E167" s="353"/>
      <c r="F167" s="534"/>
      <c r="G167" s="197">
        <f>'Vehicle Considerations'!$B$31</f>
        <v>20</v>
      </c>
      <c r="H167" s="197">
        <f>'Vehicle Considerations'!$B$31</f>
        <v>20</v>
      </c>
      <c r="I167" s="197">
        <f>'Vehicle Considerations'!$B$31</f>
        <v>20</v>
      </c>
      <c r="J167" s="197">
        <f>'Vehicle Considerations'!$B$31</f>
        <v>20</v>
      </c>
      <c r="K167" s="197">
        <f>'Vehicle Considerations'!$B$31</f>
        <v>20</v>
      </c>
      <c r="L167" s="197">
        <f>'Vehicle Considerations'!$B$31</f>
        <v>20</v>
      </c>
      <c r="M167" s="197">
        <f>'Vehicle Considerations'!$B$31</f>
        <v>20</v>
      </c>
      <c r="N167" s="720" t="s">
        <v>1269</v>
      </c>
      <c r="O167" s="737"/>
      <c r="P167" s="55"/>
      <c r="Q167" s="55"/>
      <c r="R167" s="55"/>
      <c r="S167" s="55"/>
      <c r="T167" s="123"/>
      <c r="W167" s="159"/>
    </row>
    <row r="168" spans="2:23" x14ac:dyDescent="0.3">
      <c r="B168" s="325"/>
      <c r="C168" s="353" t="s">
        <v>1270</v>
      </c>
      <c r="D168" s="353"/>
      <c r="E168" s="353"/>
      <c r="F168" s="353"/>
      <c r="G168" s="197">
        <f t="shared" ref="G168:M168" ca="1" si="31">SUM(G156:G167)</f>
        <v>526.12305635359508</v>
      </c>
      <c r="H168" s="197">
        <f t="shared" ca="1" si="31"/>
        <v>526.12305635359508</v>
      </c>
      <c r="I168" s="197">
        <f t="shared" ca="1" si="31"/>
        <v>526.48041211888017</v>
      </c>
      <c r="J168" s="197">
        <f t="shared" ca="1" si="31"/>
        <v>528.60641984458334</v>
      </c>
      <c r="K168" s="197">
        <f t="shared" ca="1" si="31"/>
        <v>529.28654559196332</v>
      </c>
      <c r="L168" s="197">
        <f t="shared" ca="1" si="31"/>
        <v>534.31031179885872</v>
      </c>
      <c r="M168" s="197">
        <f t="shared" ca="1" si="31"/>
        <v>548.01470109973548</v>
      </c>
      <c r="N168" s="88"/>
      <c r="P168" s="55"/>
      <c r="Q168" s="55"/>
      <c r="R168" s="55"/>
      <c r="S168" s="55"/>
      <c r="T168" s="123"/>
      <c r="W168" s="159"/>
    </row>
    <row r="169" spans="2:23" ht="15.5" x14ac:dyDescent="0.35">
      <c r="B169" s="6"/>
      <c r="C169" s="353" t="s">
        <v>1271</v>
      </c>
      <c r="D169" s="353"/>
      <c r="E169" s="353"/>
      <c r="F169" s="353"/>
      <c r="G169" s="159">
        <f ca="1">BMS!G133</f>
        <v>355.60113966998904</v>
      </c>
      <c r="H169" s="159">
        <f ca="1">BMS!H133</f>
        <v>355.60113966998904</v>
      </c>
      <c r="I169" s="159">
        <f ca="1">BMS!I133</f>
        <v>355.60113966998904</v>
      </c>
      <c r="J169" s="159">
        <f ca="1">BMS!J133</f>
        <v>355.60113966998904</v>
      </c>
      <c r="K169" s="159">
        <f ca="1">BMS!K133</f>
        <v>355.60113966998904</v>
      </c>
      <c r="L169" s="159">
        <f ca="1">BMS!L133</f>
        <v>355.60113966998904</v>
      </c>
      <c r="M169" s="159">
        <f ca="1">BMS!M133</f>
        <v>355.60113966998904</v>
      </c>
      <c r="N169" s="353"/>
      <c r="O169" s="353"/>
      <c r="P169" s="353"/>
      <c r="Q169" s="353"/>
    </row>
    <row r="170" spans="2:23" ht="15.5" x14ac:dyDescent="0.35">
      <c r="B170" s="6"/>
      <c r="C170" s="353"/>
      <c r="D170" s="353"/>
      <c r="E170" s="353"/>
      <c r="F170" s="353"/>
      <c r="G170" s="159"/>
      <c r="H170" s="159"/>
      <c r="I170" s="159"/>
      <c r="J170" s="159"/>
      <c r="K170" s="159"/>
      <c r="L170" s="159"/>
      <c r="M170" s="159"/>
      <c r="N170" s="353"/>
      <c r="O170" s="353"/>
      <c r="P170" s="353"/>
      <c r="Q170" s="353"/>
    </row>
    <row r="171" spans="2:23" ht="15.5" x14ac:dyDescent="0.35">
      <c r="B171" s="6" t="s">
        <v>1272</v>
      </c>
      <c r="C171" s="353"/>
      <c r="D171" s="353"/>
      <c r="E171" s="353"/>
      <c r="F171" s="353"/>
      <c r="G171" s="159"/>
      <c r="H171" s="159"/>
      <c r="I171" s="159"/>
      <c r="J171" s="159"/>
      <c r="K171" s="159"/>
      <c r="L171" s="159"/>
      <c r="M171" s="159"/>
      <c r="N171" s="353"/>
      <c r="O171" s="353"/>
      <c r="P171" s="353"/>
      <c r="Q171" s="353"/>
    </row>
    <row r="172" spans="2:23" x14ac:dyDescent="0.3">
      <c r="C172" s="1051" t="s">
        <v>1273</v>
      </c>
      <c r="D172" s="353"/>
      <c r="E172" s="353"/>
      <c r="F172" s="353"/>
      <c r="G172" s="159">
        <f ca="1">ROUNDUP('Battery Design'!G451,-3)/1000*'Vehicle Considerations'!$B$30</f>
        <v>160</v>
      </c>
      <c r="H172" s="159">
        <f ca="1">ROUNDUP('Battery Design'!H451,-3)/1000*'Vehicle Considerations'!$B$30</f>
        <v>160</v>
      </c>
      <c r="I172" s="159">
        <f ca="1">ROUNDUP('Battery Design'!I451,-3)/1000*'Vehicle Considerations'!$B$30</f>
        <v>160</v>
      </c>
      <c r="J172" s="159">
        <f ca="1">ROUNDUP('Battery Design'!J451,-3)/1000*'Vehicle Considerations'!$B$30</f>
        <v>160</v>
      </c>
      <c r="K172" s="159">
        <f ca="1">ROUNDUP('Battery Design'!K451,-3)/1000*'Vehicle Considerations'!$B$30</f>
        <v>160</v>
      </c>
      <c r="L172" s="159">
        <f ca="1">ROUNDUP('Battery Design'!L451,-3)/1000*'Vehicle Considerations'!$B$30</f>
        <v>160</v>
      </c>
      <c r="M172" s="159">
        <f ca="1">ROUNDUP('Battery Design'!M451,-3)/1000*'Vehicle Considerations'!$B$30</f>
        <v>160</v>
      </c>
      <c r="N172" s="720" t="s">
        <v>1269</v>
      </c>
      <c r="O172" s="737"/>
    </row>
    <row r="173" spans="2:23" x14ac:dyDescent="0.3">
      <c r="C173" s="353" t="s">
        <v>1274</v>
      </c>
      <c r="D173" s="353"/>
      <c r="E173" s="353"/>
      <c r="F173" s="353"/>
      <c r="G173" s="159">
        <f>IF('Battery Design'!G12&gt;1,('Battery Design'!G12-1)*'Vehicle Considerations'!$B$21,0)</f>
        <v>0</v>
      </c>
      <c r="H173" s="159">
        <f>IF('Battery Design'!H12&gt;1,('Battery Design'!H12-1)*'Vehicle Considerations'!$B$21,0)</f>
        <v>0</v>
      </c>
      <c r="I173" s="159">
        <f>IF('Battery Design'!I12&gt;1,('Battery Design'!I12-1)*'Vehicle Considerations'!$B$21,0)</f>
        <v>0</v>
      </c>
      <c r="J173" s="159">
        <f>IF('Battery Design'!J12&gt;1,('Battery Design'!J12-1)*'Vehicle Considerations'!$B$21,0)</f>
        <v>0</v>
      </c>
      <c r="K173" s="159">
        <f>IF('Battery Design'!K12&gt;1,('Battery Design'!K12-1)*'Vehicle Considerations'!$B$21,0)</f>
        <v>0</v>
      </c>
      <c r="L173" s="159">
        <f>IF('Battery Design'!L12&gt;1,('Battery Design'!L12-1)*'Vehicle Considerations'!$B$21,0)</f>
        <v>0</v>
      </c>
      <c r="M173" s="159">
        <f>IF('Battery Design'!M12&gt;1,('Battery Design'!M12-1)*'Vehicle Considerations'!$B$21,0)</f>
        <v>0</v>
      </c>
    </row>
    <row r="174" spans="2:23" x14ac:dyDescent="0.3">
      <c r="B174" s="353"/>
      <c r="C174" s="353" t="s">
        <v>1275</v>
      </c>
      <c r="D174" s="353"/>
      <c r="E174" s="353"/>
      <c r="F174" s="353"/>
      <c r="G174" s="159">
        <f t="shared" ref="G174:M174" ca="1" si="32">SUM(G172:G173)</f>
        <v>160</v>
      </c>
      <c r="H174" s="159">
        <f t="shared" ca="1" si="32"/>
        <v>160</v>
      </c>
      <c r="I174" s="159">
        <f t="shared" ca="1" si="32"/>
        <v>160</v>
      </c>
      <c r="J174" s="159">
        <f t="shared" ca="1" si="32"/>
        <v>160</v>
      </c>
      <c r="K174" s="159">
        <f t="shared" ca="1" si="32"/>
        <v>160</v>
      </c>
      <c r="L174" s="159">
        <f t="shared" ca="1" si="32"/>
        <v>160</v>
      </c>
      <c r="M174" s="159">
        <f t="shared" ca="1" si="32"/>
        <v>160</v>
      </c>
    </row>
    <row r="175" spans="2:23" ht="16" thickBot="1" x14ac:dyDescent="0.4">
      <c r="B175" s="6"/>
      <c r="C175" s="353"/>
      <c r="D175" s="353"/>
      <c r="E175" s="353"/>
      <c r="F175" s="353"/>
      <c r="G175" s="159"/>
      <c r="H175" s="159"/>
      <c r="I175" s="159"/>
      <c r="J175" s="159"/>
      <c r="K175" s="159"/>
      <c r="L175" s="159"/>
      <c r="M175" s="159"/>
    </row>
    <row r="176" spans="2:23" ht="20.5" thickBot="1" x14ac:dyDescent="0.45">
      <c r="B176" s="1453" t="s">
        <v>1276</v>
      </c>
      <c r="C176" s="1454"/>
      <c r="D176" s="1454"/>
      <c r="E176" s="1454"/>
      <c r="F176" s="1454"/>
      <c r="G176" s="1454"/>
      <c r="H176" s="1454"/>
      <c r="I176" s="1454"/>
      <c r="J176" s="1454"/>
      <c r="K176" s="1454"/>
      <c r="L176" s="1454"/>
      <c r="M176" s="1455"/>
    </row>
    <row r="177" spans="2:16" ht="16" thickBot="1" x14ac:dyDescent="0.4">
      <c r="B177" s="1051"/>
      <c r="C177" s="6"/>
      <c r="D177" s="6"/>
      <c r="E177" s="353"/>
      <c r="F177" s="353"/>
      <c r="G177" s="104"/>
      <c r="H177" s="104"/>
      <c r="I177" s="104"/>
      <c r="J177" s="104"/>
      <c r="K177" s="104"/>
      <c r="L177" s="104"/>
      <c r="M177" s="104"/>
    </row>
    <row r="178" spans="2:16" ht="18.5" thickBot="1" x14ac:dyDescent="0.45">
      <c r="B178" s="1496" t="s">
        <v>1277</v>
      </c>
      <c r="C178" s="1497"/>
      <c r="D178" s="1497"/>
      <c r="E178" s="1497"/>
      <c r="F178" s="1497"/>
      <c r="G178" s="1497"/>
      <c r="H178" s="1497"/>
      <c r="I178" s="1497"/>
      <c r="J178" s="1497"/>
      <c r="K178" s="1497"/>
      <c r="L178" s="1497"/>
      <c r="M178" s="1498"/>
    </row>
    <row r="179" spans="2:16" ht="15.5" x14ac:dyDescent="0.35">
      <c r="B179" s="1051"/>
      <c r="C179" s="6"/>
      <c r="D179" s="6"/>
      <c r="E179" s="353"/>
      <c r="F179" s="353"/>
      <c r="G179" s="104"/>
      <c r="H179" s="104"/>
      <c r="I179" s="104"/>
      <c r="J179" s="104"/>
      <c r="K179" s="104"/>
      <c r="L179" s="104"/>
      <c r="M179" s="104"/>
    </row>
    <row r="180" spans="2:16" x14ac:dyDescent="0.3">
      <c r="B180" s="1499" t="s">
        <v>1278</v>
      </c>
      <c r="C180" s="1501"/>
      <c r="D180" s="882" t="s">
        <v>231</v>
      </c>
      <c r="F180" s="353"/>
      <c r="G180" s="104"/>
      <c r="H180" s="104"/>
      <c r="I180" s="104"/>
      <c r="J180" s="104"/>
      <c r="K180" s="104"/>
      <c r="L180" s="104"/>
      <c r="M180" s="104"/>
    </row>
    <row r="181" spans="2:16" ht="14" x14ac:dyDescent="0.3">
      <c r="B181" s="108"/>
      <c r="C181" s="1051"/>
      <c r="D181" s="1051"/>
      <c r="G181" s="1380"/>
      <c r="H181" s="1380"/>
      <c r="I181" s="1380"/>
      <c r="J181" s="1380"/>
      <c r="K181" s="1380"/>
      <c r="L181" s="1380"/>
      <c r="M181" s="1380"/>
    </row>
    <row r="182" spans="2:16" ht="15.5" x14ac:dyDescent="0.35">
      <c r="B182" s="27" t="s">
        <v>1109</v>
      </c>
      <c r="C182" s="130"/>
      <c r="D182" s="130"/>
      <c r="E182" s="113" t="s">
        <v>1031</v>
      </c>
      <c r="F182" s="32"/>
      <c r="G182" s="101"/>
      <c r="H182" s="101"/>
      <c r="I182" s="101"/>
      <c r="J182" s="101"/>
      <c r="K182" s="101"/>
      <c r="L182" s="101"/>
      <c r="M182" s="101"/>
      <c r="O182" s="51"/>
    </row>
    <row r="183" spans="2:16" ht="14" x14ac:dyDescent="0.3">
      <c r="B183" s="665" t="s">
        <v>1279</v>
      </c>
      <c r="C183" s="353"/>
      <c r="D183" s="353"/>
      <c r="E183" s="721" t="s">
        <v>1107</v>
      </c>
      <c r="F183" s="114" t="s">
        <v>1108</v>
      </c>
      <c r="G183" s="101"/>
      <c r="H183" s="101"/>
      <c r="I183" s="101"/>
      <c r="J183" s="101"/>
      <c r="K183" s="101"/>
      <c r="L183" s="101"/>
      <c r="M183" s="101"/>
      <c r="O183" s="51"/>
    </row>
    <row r="184" spans="2:16" x14ac:dyDescent="0.3">
      <c r="B184" s="327" t="s">
        <v>1280</v>
      </c>
      <c r="D184" s="353"/>
      <c r="G184" s="101"/>
      <c r="H184" s="101"/>
      <c r="I184" s="101"/>
      <c r="J184" s="101"/>
      <c r="K184" s="101"/>
      <c r="L184" s="101"/>
      <c r="M184" s="101"/>
      <c r="O184" s="51"/>
    </row>
    <row r="185" spans="2:16" x14ac:dyDescent="0.3">
      <c r="C185" s="353" t="s">
        <v>1281</v>
      </c>
      <c r="D185" s="353"/>
      <c r="E185" s="154"/>
      <c r="F185" s="157"/>
      <c r="G185" s="162">
        <f ca="1">G17/'Cost Input'!$F$300</f>
        <v>1.0052811193554818</v>
      </c>
      <c r="H185" s="162">
        <f ca="1">H17/'Cost Input'!$F$300</f>
        <v>1.0052811193554818</v>
      </c>
      <c r="I185" s="162">
        <f ca="1">I17/'Cost Input'!$F$300</f>
        <v>1.0040819673240426</v>
      </c>
      <c r="J185" s="162">
        <f ca="1">J17/'Cost Input'!$F$300</f>
        <v>1.0026064270452455</v>
      </c>
      <c r="K185" s="162">
        <f ca="1">K17/'Cost Input'!$F$300</f>
        <v>1.0009014308185058</v>
      </c>
      <c r="L185" s="162">
        <f ca="1">L17/'Cost Input'!$F$300</f>
        <v>0.99886000909453976</v>
      </c>
      <c r="M185" s="162">
        <f ca="1">M17/'Cost Input'!$F$300</f>
        <v>0.99616799406138068</v>
      </c>
      <c r="O185" s="51"/>
    </row>
    <row r="186" spans="2:16" x14ac:dyDescent="0.3">
      <c r="C186" s="353" t="s">
        <v>1113</v>
      </c>
      <c r="D186" s="628"/>
      <c r="E186" s="154">
        <f>'Cost Input'!F126</f>
        <v>200000</v>
      </c>
      <c r="F186" s="1312">
        <f>'Cost Input'!G126</f>
        <v>0.9</v>
      </c>
      <c r="G186" s="148">
        <f t="shared" ref="G186:M186" ca="1" si="33">$E186*(IF($D186 = "x", 1/G$401, 1)*G185)^$F186</f>
        <v>200950.3509567109</v>
      </c>
      <c r="H186" s="148">
        <f t="shared" ca="1" si="33"/>
        <v>200950.3509567109</v>
      </c>
      <c r="I186" s="148">
        <f t="shared" ca="1" si="33"/>
        <v>200734.60438018426</v>
      </c>
      <c r="J186" s="148">
        <f t="shared" ca="1" si="33"/>
        <v>200469.09578533887</v>
      </c>
      <c r="K186" s="148">
        <f t="shared" ca="1" si="33"/>
        <v>200162.25023654939</v>
      </c>
      <c r="L186" s="148">
        <f t="shared" ca="1" si="33"/>
        <v>199794.78993591186</v>
      </c>
      <c r="M186" s="148">
        <f t="shared" ca="1" si="33"/>
        <v>199310.10658655674</v>
      </c>
      <c r="N186" s="40"/>
      <c r="O186" s="51"/>
      <c r="P186" s="51"/>
    </row>
    <row r="187" spans="2:16" x14ac:dyDescent="0.3">
      <c r="C187" s="353" t="s">
        <v>1114</v>
      </c>
      <c r="D187" s="881" t="str">
        <f>IF($E$399&gt;2, "x", "")</f>
        <v/>
      </c>
      <c r="E187" s="1011">
        <f>'Cost Input'!F127</f>
        <v>200</v>
      </c>
      <c r="F187" s="1312">
        <f>'Cost Input'!G127</f>
        <v>0.9</v>
      </c>
      <c r="G187" s="161" cm="1">
        <f t="array" aca="1" ref="G187" ca="1">$E187*(IF($D187 = "x", 1/G$401, 1)*G185)^$F187*_p_days</f>
        <v>200.95035095671091</v>
      </c>
      <c r="H187" s="161" cm="1">
        <f t="array" aca="1" ref="H187" ca="1">$E187*(IF($D187 = "x", 1/H$401, 1)*H185)^$F187*_p_days</f>
        <v>200.95035095671091</v>
      </c>
      <c r="I187" s="161" cm="1">
        <f t="array" aca="1" ref="I187" ca="1">$E187*(IF($D187 = "x", 1/I$401, 1)*I185)^$F187*_p_days</f>
        <v>200.73460438018427</v>
      </c>
      <c r="J187" s="161" cm="1">
        <f t="array" aca="1" ref="J187" ca="1">$E187*(IF($D187 = "x", 1/J$401, 1)*J185)^$F187*_p_days</f>
        <v>200.46909578533888</v>
      </c>
      <c r="K187" s="161" cm="1">
        <f t="array" aca="1" ref="K187" ca="1">$E187*(IF($D187 = "x", 1/K$401, 1)*K185)^$F187*_p_days</f>
        <v>200.1622502365494</v>
      </c>
      <c r="L187" s="161" cm="1">
        <f t="array" aca="1" ref="L187" ca="1">$E187*(IF($D187 = "x", 1/L$401, 1)*L185)^$F187*_p_days</f>
        <v>199.79478993591187</v>
      </c>
      <c r="M187" s="161" cm="1">
        <f t="array" aca="1" ref="M187" ca="1">$E187*(IF($D187 = "x", 1/M$401, 1)*M185)^$F187*_p_days</f>
        <v>199.31010658655674</v>
      </c>
      <c r="O187" s="51"/>
      <c r="P187" s="51"/>
    </row>
    <row r="188" spans="2:16" x14ac:dyDescent="0.3">
      <c r="C188" s="353" t="s">
        <v>1115</v>
      </c>
      <c r="D188" s="881" t="str">
        <f>IF($E$399&gt;1, "x", "")</f>
        <v/>
      </c>
      <c r="E188" s="154">
        <f>'Cost Input'!F128</f>
        <v>8000</v>
      </c>
      <c r="F188" s="1312">
        <f>'Cost Input'!G128</f>
        <v>0.95</v>
      </c>
      <c r="G188" s="148" cm="1">
        <f t="array" aca="1" ref="G188" ca="1">$E188*(IF($D188 = "x", 1/G$401, 1)*G185)^$F188*_p_days</f>
        <v>8040.1312177280142</v>
      </c>
      <c r="H188" s="148" cm="1">
        <f t="array" aca="1" ref="H188" ca="1">$E188*(IF($D188 = "x", 1/H$401, 1)*H185)^$F188*_p_days</f>
        <v>8040.1312177280142</v>
      </c>
      <c r="I188" s="148" cm="1">
        <f t="array" aca="1" ref="I188" ca="1">$E188*(IF($D188 = "x", 1/I$401, 1)*I185)^$F188*_p_days</f>
        <v>8031.0197903094486</v>
      </c>
      <c r="J188" s="148" cm="1">
        <f t="array" aca="1" ref="J188" ca="1">$E188*(IF($D188 = "x", 1/J$401, 1)*J185)^$F188*_p_days</f>
        <v>8019.8075559620193</v>
      </c>
      <c r="K188" s="148" cm="1">
        <f t="array" aca="1" ref="K188" ca="1">$E188*(IF($D188 = "x", 1/K$401, 1)*K185)^$F188*_p_days</f>
        <v>8006.8507198796033</v>
      </c>
      <c r="L188" s="148" cm="1">
        <f t="array" aca="1" ref="L188" ca="1">$E188*(IF($D188 = "x", 1/L$401, 1)*L185)^$F188*_p_days</f>
        <v>7991.3358220998643</v>
      </c>
      <c r="M188" s="148" cm="1">
        <f t="array" aca="1" ref="M188" ca="1">$E188*(IF($D188 = "x", 1/M$401, 1)*M185)^$F188*_p_days</f>
        <v>7970.8739611059509</v>
      </c>
      <c r="O188" s="51"/>
      <c r="P188" s="51"/>
    </row>
    <row r="189" spans="2:16" x14ac:dyDescent="0.3">
      <c r="C189" s="353"/>
      <c r="D189" s="53"/>
      <c r="E189" s="154"/>
      <c r="F189" s="157"/>
      <c r="G189" s="148"/>
      <c r="H189" s="148"/>
      <c r="I189" s="148"/>
      <c r="J189" s="148"/>
      <c r="K189" s="148"/>
      <c r="L189" s="148"/>
      <c r="M189" s="148"/>
      <c r="O189" s="51"/>
      <c r="P189" s="51"/>
    </row>
    <row r="190" spans="2:16" x14ac:dyDescent="0.3">
      <c r="B190" s="327" t="s">
        <v>1282</v>
      </c>
      <c r="E190" s="154"/>
      <c r="F190" s="157"/>
      <c r="G190" s="101"/>
      <c r="H190" s="101"/>
      <c r="I190" s="101"/>
      <c r="J190" s="101"/>
      <c r="K190" s="101"/>
      <c r="L190" s="101"/>
      <c r="M190" s="101"/>
      <c r="O190" s="51"/>
      <c r="P190" s="51"/>
    </row>
    <row r="191" spans="2:16" x14ac:dyDescent="0.3">
      <c r="C191" s="353" t="s">
        <v>1281</v>
      </c>
      <c r="E191" s="154"/>
      <c r="F191" s="157"/>
      <c r="G191" s="162">
        <f ca="1">G18/'Cost Input'!$F301</f>
        <v>1.006916592159526</v>
      </c>
      <c r="H191" s="162">
        <f ca="1">H18/'Cost Input'!$F301</f>
        <v>1.006916592159526</v>
      </c>
      <c r="I191" s="162">
        <f ca="1">I18/'Cost Input'!$F301</f>
        <v>1.0054814425508627</v>
      </c>
      <c r="J191" s="162">
        <f ca="1">J18/'Cost Input'!$F301</f>
        <v>1.0038493455707145</v>
      </c>
      <c r="K191" s="162">
        <f ca="1">K18/'Cost Input'!$F301</f>
        <v>1.0014968496415433</v>
      </c>
      <c r="L191" s="162">
        <f ca="1">L18/'Cost Input'!$F301</f>
        <v>0.99870613937008357</v>
      </c>
      <c r="M191" s="162">
        <f ca="1">M18/'Cost Input'!$F301</f>
        <v>0.99341696474779728</v>
      </c>
      <c r="O191" s="51"/>
      <c r="P191" s="51"/>
    </row>
    <row r="192" spans="2:16" x14ac:dyDescent="0.3">
      <c r="C192" s="353" t="s">
        <v>1113</v>
      </c>
      <c r="D192" s="628"/>
      <c r="E192" s="154">
        <f>'Cost Input'!F132</f>
        <v>270000</v>
      </c>
      <c r="F192" s="1312">
        <f>'Cost Input'!G132</f>
        <v>0.9</v>
      </c>
      <c r="G192" s="148">
        <f t="shared" ref="G192:M192" ca="1" si="34">$E192*(IF($D192 = "x", 1/G$401, 1)*G191)^$F192</f>
        <v>271680.15211667336</v>
      </c>
      <c r="H192" s="148">
        <f t="shared" ca="1" si="34"/>
        <v>271680.15211667336</v>
      </c>
      <c r="I192" s="148">
        <f t="shared" ca="1" si="34"/>
        <v>271331.62620999746</v>
      </c>
      <c r="J192" s="148">
        <f t="shared" ca="1" si="34"/>
        <v>270935.21119511843</v>
      </c>
      <c r="K192" s="148">
        <f t="shared" ca="1" si="34"/>
        <v>270363.70725503436</v>
      </c>
      <c r="L192" s="148">
        <f t="shared" ca="1" si="34"/>
        <v>269685.57151725888</v>
      </c>
      <c r="M192" s="148">
        <f t="shared" ca="1" si="34"/>
        <v>268399.79462167015</v>
      </c>
      <c r="N192" s="51"/>
      <c r="O192" s="51"/>
      <c r="P192" s="51"/>
    </row>
    <row r="193" spans="2:16" x14ac:dyDescent="0.3">
      <c r="C193" s="353" t="s">
        <v>1114</v>
      </c>
      <c r="D193" s="881" t="str">
        <f>IF($E$399&gt;2, "x", "")</f>
        <v/>
      </c>
      <c r="E193" s="1011">
        <f>'Cost Input'!F133</f>
        <v>280</v>
      </c>
      <c r="F193" s="1312">
        <f>'Cost Input'!G133</f>
        <v>0.9</v>
      </c>
      <c r="G193" s="161" cm="1">
        <f t="array" aca="1" ref="G193" ca="1">$E193*(IF($D193 = "x", 1/G$401, 1)*G191)^$F193*_p_days</f>
        <v>281.74237997284644</v>
      </c>
      <c r="H193" s="161" cm="1">
        <f t="array" aca="1" ref="H193" ca="1">$E193*(IF($D193 = "x", 1/H$401, 1)*H191)^$F193*_p_days</f>
        <v>281.74237997284644</v>
      </c>
      <c r="I193" s="161" cm="1">
        <f t="array" aca="1" ref="I193" ca="1">$E193*(IF($D193 = "x", 1/I$401, 1)*I191)^$F193*_p_days</f>
        <v>281.38094569925664</v>
      </c>
      <c r="J193" s="161" cm="1">
        <f t="array" aca="1" ref="J193" ca="1">$E193*(IF($D193 = "x", 1/J$401, 1)*J191)^$F193*_p_days</f>
        <v>280.9698486467895</v>
      </c>
      <c r="K193" s="161" cm="1">
        <f t="array" aca="1" ref="K193" ca="1">$E193*(IF($D193 = "x", 1/K$401, 1)*K191)^$F193*_p_days</f>
        <v>280.37717789410971</v>
      </c>
      <c r="L193" s="161" cm="1">
        <f t="array" aca="1" ref="L193" ca="1">$E193*(IF($D193 = "x", 1/L$401, 1)*L191)^$F193*_p_days</f>
        <v>279.67392601789805</v>
      </c>
      <c r="M193" s="161" cm="1">
        <f t="array" aca="1" ref="M193" ca="1">$E193*(IF($D193 = "x", 1/M$401, 1)*M191)^$F193*_p_days</f>
        <v>278.34052775580608</v>
      </c>
      <c r="N193" s="51"/>
      <c r="O193" s="51"/>
      <c r="P193" s="51"/>
    </row>
    <row r="194" spans="2:16" x14ac:dyDescent="0.3">
      <c r="C194" s="353" t="s">
        <v>1115</v>
      </c>
      <c r="D194" s="881" t="str">
        <f>IF($E$399&gt;1, "x", "")</f>
        <v/>
      </c>
      <c r="E194" s="154">
        <f>'Cost Input'!F134</f>
        <v>8800</v>
      </c>
      <c r="F194" s="1312">
        <f>'Cost Input'!G134</f>
        <v>0.95</v>
      </c>
      <c r="G194" s="148" cm="1">
        <f t="array" aca="1" ref="G194" ca="1">$E194*(IF($D194 = "x", 1/G$401, 1)*G191)^$F194*_p_days</f>
        <v>8857.8127361697625</v>
      </c>
      <c r="H194" s="148" cm="1">
        <f t="array" aca="1" ref="H194" ca="1">$E194*(IF($D194 = "x", 1/H$401, 1)*H191)^$F194*_p_days</f>
        <v>8857.8127361697625</v>
      </c>
      <c r="I194" s="148" cm="1">
        <f t="array" aca="1" ref="I194" ca="1">$E194*(IF($D194 = "x", 1/I$401, 1)*I191)^$F194*_p_days</f>
        <v>8845.8185920806354</v>
      </c>
      <c r="J194" s="148" cm="1">
        <f t="array" aca="1" ref="J194" ca="1">$E194*(IF($D194 = "x", 1/J$401, 1)*J191)^$F194*_p_days</f>
        <v>8832.1774362858396</v>
      </c>
      <c r="K194" s="148" cm="1">
        <f t="array" aca="1" ref="K194" ca="1">$E194*(IF($D194 = "x", 1/K$401, 1)*K191)^$F194*_p_days</f>
        <v>8812.5131949716433</v>
      </c>
      <c r="L194" s="148" cm="1">
        <f t="array" aca="1" ref="L194" ca="1">$E194*(IF($D194 = "x", 1/L$401, 1)*L191)^$F194*_p_days</f>
        <v>8789.1829750936049</v>
      </c>
      <c r="M194" s="148" cm="1">
        <f t="array" aca="1" ref="M194" ca="1">$E194*(IF($D194 = "x", 1/M$401, 1)*M191)^$F194*_p_days</f>
        <v>8744.9567470545117</v>
      </c>
      <c r="N194" s="51"/>
      <c r="O194" s="51"/>
      <c r="P194" s="51"/>
    </row>
    <row r="195" spans="2:16" x14ac:dyDescent="0.3">
      <c r="C195" s="353"/>
      <c r="D195" s="53"/>
      <c r="E195" s="154"/>
      <c r="F195" s="1016"/>
      <c r="G195" s="148"/>
      <c r="H195" s="148"/>
      <c r="I195" s="148"/>
      <c r="J195" s="148"/>
      <c r="K195" s="148"/>
      <c r="L195" s="148"/>
      <c r="M195" s="148"/>
      <c r="N195" s="51"/>
      <c r="O195" s="51"/>
      <c r="P195" s="51"/>
    </row>
    <row r="196" spans="2:16" ht="14" x14ac:dyDescent="0.3">
      <c r="B196" s="665" t="s">
        <v>1283</v>
      </c>
      <c r="E196" s="154"/>
      <c r="F196" s="1016"/>
      <c r="G196" s="101"/>
      <c r="H196" s="101"/>
      <c r="I196" s="101"/>
      <c r="J196" s="101"/>
      <c r="K196" s="101"/>
      <c r="L196" s="101"/>
      <c r="M196" s="101"/>
      <c r="N196" s="51"/>
      <c r="O196" s="51"/>
      <c r="P196" s="51"/>
    </row>
    <row r="197" spans="2:16" x14ac:dyDescent="0.3">
      <c r="B197" s="327" t="s">
        <v>1284</v>
      </c>
      <c r="E197" s="154"/>
      <c r="F197" s="1016"/>
      <c r="G197" s="101"/>
      <c r="H197" s="101"/>
      <c r="I197" s="101"/>
      <c r="J197" s="101"/>
      <c r="K197" s="101"/>
      <c r="L197" s="101"/>
      <c r="M197" s="101"/>
      <c r="N197" s="51"/>
      <c r="O197" s="545"/>
      <c r="P197" s="545"/>
    </row>
    <row r="198" spans="2:16" x14ac:dyDescent="0.3">
      <c r="C198" s="353" t="s">
        <v>1285</v>
      </c>
      <c r="E198" s="154"/>
      <c r="F198" s="1016"/>
      <c r="G198" s="162">
        <f ca="1">G15/'Cost Input'!$F$298</f>
        <v>0.58706358916359047</v>
      </c>
      <c r="H198" s="162">
        <f ca="1">H15/'Cost Input'!$F$298</f>
        <v>0.58706358916359047</v>
      </c>
      <c r="I198" s="162">
        <f ca="1">I15/'Cost Input'!$F$298</f>
        <v>0.64978907806794073</v>
      </c>
      <c r="J198" s="162">
        <f ca="1">J15/'Cost Input'!$F$298</f>
        <v>0.74857071669958286</v>
      </c>
      <c r="K198" s="162">
        <f ca="1">K15/'Cost Input'!$F$298</f>
        <v>0.90977432666511759</v>
      </c>
      <c r="L198" s="162">
        <f ca="1">L15/'Cost Input'!$F$298</f>
        <v>1.2284753495780496</v>
      </c>
      <c r="M198" s="162">
        <f ca="1">M15/'Cost Input'!$F$298</f>
        <v>2.3031799342097345</v>
      </c>
      <c r="N198" s="51"/>
      <c r="O198" s="51"/>
      <c r="P198" s="51"/>
    </row>
    <row r="199" spans="2:16" ht="15" x14ac:dyDescent="0.3">
      <c r="C199" s="353" t="s">
        <v>1286</v>
      </c>
      <c r="E199" s="163">
        <f>'Cost Input'!F139</f>
        <v>0.11950458192929046</v>
      </c>
      <c r="F199" s="1016"/>
      <c r="G199" s="162">
        <f ca="1">G88/G15</f>
        <v>0.13657666506204627</v>
      </c>
      <c r="H199" s="162">
        <f t="shared" ref="H199:M199" ca="1" si="35">H88/H15</f>
        <v>0.13657666506204627</v>
      </c>
      <c r="I199" s="162">
        <f t="shared" ca="1" si="35"/>
        <v>0.12324544679441946</v>
      </c>
      <c r="J199" s="162">
        <f t="shared" ca="1" si="35"/>
        <v>0.10682472257977012</v>
      </c>
      <c r="K199" s="162">
        <f t="shared" ca="1" si="35"/>
        <v>8.7746894757528407E-2</v>
      </c>
      <c r="L199" s="162">
        <f t="shared" ca="1" si="35"/>
        <v>6.4850346779767504E-2</v>
      </c>
      <c r="M199" s="162">
        <f t="shared" ca="1" si="35"/>
        <v>3.4496802260450737E-2</v>
      </c>
      <c r="N199" s="51"/>
      <c r="O199" s="545"/>
      <c r="P199" s="545"/>
    </row>
    <row r="200" spans="2:16" x14ac:dyDescent="0.3">
      <c r="C200" s="353" t="s">
        <v>1113</v>
      </c>
      <c r="D200" s="628"/>
      <c r="E200" s="154">
        <f>'Cost Input'!F140</f>
        <v>59000</v>
      </c>
      <c r="F200" s="1312">
        <f>'Cost Input'!G140</f>
        <v>0.7</v>
      </c>
      <c r="G200" s="148">
        <f ca="1">$E200*G$198^$F200</f>
        <v>40637.933324412545</v>
      </c>
      <c r="H200" s="148">
        <f t="shared" ref="H200:M200" ca="1" si="36">$E200*H$198^$F200</f>
        <v>40637.933324412545</v>
      </c>
      <c r="I200" s="148">
        <f t="shared" ca="1" si="36"/>
        <v>43630.751836344134</v>
      </c>
      <c r="J200" s="148">
        <f t="shared" ca="1" si="36"/>
        <v>48174.253698800094</v>
      </c>
      <c r="K200" s="148">
        <f t="shared" ca="1" si="36"/>
        <v>55221.167659796367</v>
      </c>
      <c r="L200" s="148">
        <f t="shared" ca="1" si="36"/>
        <v>68141.003354773478</v>
      </c>
      <c r="M200" s="148">
        <f t="shared" ca="1" si="36"/>
        <v>105798.98942240285</v>
      </c>
      <c r="N200" s="51"/>
      <c r="O200" s="51"/>
      <c r="P200" s="51"/>
    </row>
    <row r="201" spans="2:16" x14ac:dyDescent="0.3">
      <c r="C201" s="353" t="s">
        <v>1114</v>
      </c>
      <c r="D201" s="881" t="str">
        <f>IF($E$399&gt;2, "x", "")</f>
        <v/>
      </c>
      <c r="E201" s="1011">
        <f>'Cost Input'!F141</f>
        <v>90</v>
      </c>
      <c r="F201" s="1312">
        <f>'Cost Input'!G141</f>
        <v>0.9</v>
      </c>
      <c r="G201" s="161" cm="1">
        <f t="array" aca="1" ref="G201" ca="1">$E201*G$198^$F201*(G199/$E199)^0.2*_p_days</f>
        <v>57.234452099286408</v>
      </c>
      <c r="H201" s="1013" cm="1">
        <f t="array" aca="1" ref="H201" ca="1">$E201*H$198^$F201*(H199/$E199)^0.2*_p_days</f>
        <v>57.234452099286408</v>
      </c>
      <c r="I201" s="1013" cm="1">
        <f t="array" aca="1" ref="I201" ca="1">$E201*I$198^$F201*(I199/$E199)^0.2*_p_days</f>
        <v>61.434869673921675</v>
      </c>
      <c r="J201" s="1013" cm="1">
        <f t="array" aca="1" ref="J201" ca="1">$E201*J$198^$F201*(J199/$E199)^0.2*_p_days</f>
        <v>67.812460624932555</v>
      </c>
      <c r="K201" s="1013" cm="1">
        <f t="array" aca="1" ref="K201" ca="1">$E201*K$198^$F201*(K199/$E199)^0.2*_p_days</f>
        <v>77.705589362858916</v>
      </c>
      <c r="L201" s="1013" cm="1">
        <f t="array" aca="1" ref="L201" ca="1">$E201*L$198^$F201*(L199/$E199)^0.2*_p_days</f>
        <v>95.846853528636373</v>
      </c>
      <c r="M201" s="1013" cm="1">
        <f t="array" aca="1" ref="M201" ca="1">$E201*M$198^$F201*(M199/$E199)^0.2*_p_days</f>
        <v>148.73611973381821</v>
      </c>
      <c r="N201" s="51"/>
      <c r="O201" s="51"/>
      <c r="P201" s="51"/>
    </row>
    <row r="202" spans="2:16" x14ac:dyDescent="0.3">
      <c r="C202" s="353" t="s">
        <v>1115</v>
      </c>
      <c r="D202" s="881" t="str">
        <f>IF($E$399&gt;1, "x", "")</f>
        <v/>
      </c>
      <c r="E202" s="154">
        <f>'Cost Input'!F142</f>
        <v>16000</v>
      </c>
      <c r="F202" s="1312">
        <f>'Cost Input'!G142</f>
        <v>0.95</v>
      </c>
      <c r="G202" s="148" cm="1">
        <f t="array" aca="1" ref="G202" ca="1">$E202*(IF($D292 = "x", 1/G$401, 1)*G$198)^$F202*_p_days</f>
        <v>9646.5244811544508</v>
      </c>
      <c r="H202" s="80" cm="1">
        <f t="array" aca="1" ref="H202" ca="1">$E202*(IF($D292 = "x", 1/H$401, 1)*H$198)^$F202*_p_days</f>
        <v>9646.5244811544508</v>
      </c>
      <c r="I202" s="80" cm="1">
        <f t="array" aca="1" ref="I202" ca="1">$E202*(IF($D292 = "x", 1/I$401, 1)*I$198)^$F202*_p_days</f>
        <v>10623.16114799993</v>
      </c>
      <c r="J202" s="80" cm="1">
        <f t="array" aca="1" ref="J202" ca="1">$E202*(IF($D292 = "x", 1/J$401, 1)*J$198)^$F202*_p_days</f>
        <v>12151.81572038197</v>
      </c>
      <c r="K202" s="80" cm="1">
        <f t="array" aca="1" ref="K202" ca="1">$E202*(IF($D292 = "x", 1/K$401, 1)*K$198)^$F202*_p_days</f>
        <v>14625.373839737618</v>
      </c>
      <c r="L202" s="80" cm="1">
        <f t="array" aca="1" ref="L202" ca="1">$E202*(IF($D292 = "x", 1/L$401, 1)*L$198)^$F202*_p_days</f>
        <v>19454.41189886527</v>
      </c>
      <c r="M202" s="80" cm="1">
        <f t="array" aca="1" ref="M202" ca="1">$E202*(IF($D292 = "x", 1/M$401, 1)*M$198)^$F202*_p_days</f>
        <v>35345.282526163137</v>
      </c>
      <c r="N202" s="51"/>
      <c r="O202" s="51"/>
      <c r="P202" s="51"/>
    </row>
    <row r="203" spans="2:16" x14ac:dyDescent="0.3">
      <c r="C203" s="353"/>
      <c r="D203" s="53"/>
      <c r="E203" s="154"/>
      <c r="F203" s="157"/>
      <c r="G203" s="148"/>
      <c r="H203" s="148"/>
      <c r="I203" s="148"/>
      <c r="J203" s="148"/>
      <c r="K203" s="148"/>
      <c r="L203" s="148"/>
      <c r="M203" s="148"/>
      <c r="N203" s="51"/>
      <c r="O203" s="51"/>
      <c r="P203" s="51"/>
    </row>
    <row r="204" spans="2:16" x14ac:dyDescent="0.3">
      <c r="B204" s="327" t="s">
        <v>1287</v>
      </c>
      <c r="E204" s="154"/>
      <c r="F204" s="157"/>
      <c r="G204" s="101"/>
      <c r="H204" s="101"/>
      <c r="I204" s="101"/>
      <c r="J204" s="101"/>
      <c r="K204" s="101"/>
      <c r="L204" s="101"/>
      <c r="M204" s="101"/>
      <c r="N204" s="51"/>
      <c r="O204" s="51"/>
      <c r="P204" s="51"/>
    </row>
    <row r="205" spans="2:16" x14ac:dyDescent="0.3">
      <c r="C205" s="353" t="s">
        <v>1285</v>
      </c>
      <c r="E205" s="154"/>
      <c r="F205" s="157"/>
      <c r="G205" s="162">
        <f ca="1">G16/'Cost Input'!$F$299</f>
        <v>0.58756717541342396</v>
      </c>
      <c r="H205" s="162">
        <f ca="1">H16/'Cost Input'!$F$299</f>
        <v>0.58756717541342396</v>
      </c>
      <c r="I205" s="162">
        <f ca="1">I16/'Cost Input'!$F$299</f>
        <v>0.65019512414760305</v>
      </c>
      <c r="J205" s="162">
        <f ca="1">J16/'Cost Input'!$F$299</f>
        <v>0.7489232253146475</v>
      </c>
      <c r="K205" s="162">
        <f ca="1">K16/'Cost Input'!$F$299</f>
        <v>0.90961657107642846</v>
      </c>
      <c r="L205" s="162">
        <f ca="1">L16/'Cost Input'!$F$299</f>
        <v>1.227342997931544</v>
      </c>
      <c r="M205" s="162">
        <f ca="1">M16/'Cost Input'!$F$299</f>
        <v>2.2950558861930133</v>
      </c>
      <c r="N205" s="1012">
        <f>N15/'Cost Input'!$F$298</f>
        <v>0</v>
      </c>
      <c r="O205" s="51"/>
      <c r="P205" s="51"/>
    </row>
    <row r="206" spans="2:16" ht="15" x14ac:dyDescent="0.3">
      <c r="C206" s="353" t="s">
        <v>1288</v>
      </c>
      <c r="E206" s="163">
        <f>'Cost Input'!F146</f>
        <v>7.9307577715231503E-2</v>
      </c>
      <c r="F206" s="157"/>
      <c r="G206" s="164">
        <f ca="1">G89/G16</f>
        <v>0.21805739579364231</v>
      </c>
      <c r="H206" s="164">
        <f t="shared" ref="H206:N206" ca="1" si="37">H89/H16</f>
        <v>0.21805739579364231</v>
      </c>
      <c r="I206" s="164">
        <f t="shared" ca="1" si="37"/>
        <v>0.19677286130252189</v>
      </c>
      <c r="J206" s="164">
        <f t="shared" ca="1" si="37"/>
        <v>0.17055564214824431</v>
      </c>
      <c r="K206" s="164">
        <f t="shared" ca="1" si="37"/>
        <v>0.14009610903233743</v>
      </c>
      <c r="L206" s="164">
        <f t="shared" ca="1" si="37"/>
        <v>0.10353963269410972</v>
      </c>
      <c r="M206" s="164">
        <f t="shared" ca="1" si="37"/>
        <v>5.5077365234425524E-2</v>
      </c>
      <c r="N206" s="164" t="e">
        <f t="shared" si="37"/>
        <v>#VALUE!</v>
      </c>
      <c r="O206" s="51"/>
      <c r="P206" s="51"/>
    </row>
    <row r="207" spans="2:16" x14ac:dyDescent="0.3">
      <c r="C207" s="353" t="s">
        <v>1113</v>
      </c>
      <c r="D207" s="628"/>
      <c r="E207" s="154">
        <f>'Cost Input'!F147</f>
        <v>59000</v>
      </c>
      <c r="F207" s="1312">
        <f>'Cost Input'!G147</f>
        <v>0.7</v>
      </c>
      <c r="G207" s="148">
        <f t="shared" ref="G207:M207" ca="1" si="38">$E207*G$205^$F207</f>
        <v>40662.331789609627</v>
      </c>
      <c r="H207" s="148">
        <f t="shared" ca="1" si="38"/>
        <v>40662.331789609627</v>
      </c>
      <c r="I207" s="148">
        <f t="shared" ca="1" si="38"/>
        <v>43649.835113265675</v>
      </c>
      <c r="J207" s="148">
        <f t="shared" ca="1" si="38"/>
        <v>48190.132556800934</v>
      </c>
      <c r="K207" s="148">
        <f t="shared" ca="1" si="38"/>
        <v>55214.464709502172</v>
      </c>
      <c r="L207" s="148">
        <f t="shared" ca="1" si="38"/>
        <v>68097.030820065178</v>
      </c>
      <c r="M207" s="148">
        <f t="shared" ca="1" si="38"/>
        <v>105537.62031904177</v>
      </c>
      <c r="N207" s="51"/>
      <c r="O207" s="51"/>
      <c r="P207" s="51"/>
    </row>
    <row r="208" spans="2:16" x14ac:dyDescent="0.3">
      <c r="C208" s="353" t="s">
        <v>1114</v>
      </c>
      <c r="D208" s="881" t="str">
        <f>IF($E$399&gt;2, "x", "")</f>
        <v/>
      </c>
      <c r="E208" s="1011">
        <f>'Cost Input'!F148</f>
        <v>78</v>
      </c>
      <c r="F208" s="1312">
        <f>'Cost Input'!G148</f>
        <v>0.9</v>
      </c>
      <c r="G208" s="161" cm="1">
        <f t="array" aca="1" ref="G208" ca="1">$E208*G$205^$F208*(G206/$E206)^0.2*_p_days</f>
        <v>59.169459629884351</v>
      </c>
      <c r="H208" s="1013" cm="1">
        <f t="array" aca="1" ref="H208" ca="1">$E208*H$205^$F208*(H206/$E206)^0.2*_p_days</f>
        <v>59.169459629884351</v>
      </c>
      <c r="I208" s="1013" cm="1">
        <f t="array" aca="1" ref="I208" ca="1">$E208*I$205^$F208*(I206/$E206)^0.2*_p_days</f>
        <v>63.498584370702417</v>
      </c>
      <c r="J208" s="1013" cm="1">
        <f t="array" aca="1" ref="J208" ca="1">$E208*J$205^$F208*(J206/$E206)^0.2*_p_days</f>
        <v>70.080703504322301</v>
      </c>
      <c r="K208" s="1013" cm="1">
        <f t="array" aca="1" ref="K208" ca="1">$E208*K$205^$F208*(K206/$E206)^0.2*_p_days</f>
        <v>80.258198560349939</v>
      </c>
      <c r="L208" s="1013" cm="1">
        <f t="array" aca="1" ref="L208" ca="1">$E208*L$205^$F208*(L206/$E206)^0.2*_p_days</f>
        <v>98.928709520586551</v>
      </c>
      <c r="M208" s="1013" cm="1">
        <f t="array" aca="1" ref="M208" ca="1">$E208*M$205^$F208*(M206/$E206)^0.2*_p_days</f>
        <v>153.15819368654371</v>
      </c>
      <c r="N208" s="51"/>
      <c r="O208" s="51"/>
      <c r="P208" s="51"/>
    </row>
    <row r="209" spans="2:16" x14ac:dyDescent="0.3">
      <c r="C209" s="353" t="s">
        <v>1115</v>
      </c>
      <c r="D209" s="881" t="str">
        <f>IF($E$399&gt;1, "x", "")</f>
        <v/>
      </c>
      <c r="E209" s="154">
        <f>'Cost Input'!F149</f>
        <v>16000</v>
      </c>
      <c r="F209" s="1312">
        <f>'Cost Input'!G149</f>
        <v>0.95</v>
      </c>
      <c r="G209" s="148" cm="1">
        <f t="array" aca="1" ref="G209" ca="1">$E209*(IF($D292 = "x", 1/G$401, 1)*G$205)^$F209*_p_days</f>
        <v>9654.3854103270132</v>
      </c>
      <c r="H209" s="80" cm="1">
        <f t="array" aca="1" ref="H209" ca="1">$E209*(IF($D292 = "x", 1/H$401, 1)*H$205)^$F209*_p_days</f>
        <v>9654.3854103270132</v>
      </c>
      <c r="I209" s="80" cm="1">
        <f t="array" aca="1" ref="I209" ca="1">$E209*(IF($D292 = "x", 1/I$401, 1)*I$205)^$F209*_p_days</f>
        <v>10629.467431725127</v>
      </c>
      <c r="J209" s="80" cm="1">
        <f t="array" aca="1" ref="J209" ca="1">$E209*(IF($D292 = "x", 1/J$401, 1)*J$205)^$F209*_p_days</f>
        <v>12157.251934693249</v>
      </c>
      <c r="K209" s="80" cm="1">
        <f t="array" aca="1" ref="K209" ca="1">$E209*(IF($D292 = "x", 1/K$401, 1)*K$205)^$F209*_p_days</f>
        <v>14622.964580457556</v>
      </c>
      <c r="L209" s="80" cm="1">
        <f t="array" aca="1" ref="L209" ca="1">$E209*(IF($D292 = "x", 1/L$401, 1)*L$205)^$F209*_p_days</f>
        <v>19437.375939619244</v>
      </c>
      <c r="M209" s="80" cm="1">
        <f t="array" aca="1" ref="M209" ca="1">$E209*(IF($D292 = "x", 1/M$401, 1)*M$205)^$F209*_p_days</f>
        <v>35226.831720447452</v>
      </c>
      <c r="N209" s="51"/>
      <c r="O209" s="51"/>
      <c r="P209" s="51"/>
    </row>
    <row r="210" spans="2:16" x14ac:dyDescent="0.3">
      <c r="C210" s="353"/>
      <c r="D210" s="53"/>
      <c r="E210" s="154"/>
      <c r="F210" s="157"/>
      <c r="G210" s="148"/>
      <c r="H210" s="148"/>
      <c r="I210" s="148"/>
      <c r="J210" s="148"/>
      <c r="K210" s="148"/>
      <c r="L210" s="148"/>
      <c r="M210" s="148"/>
      <c r="N210" s="51"/>
      <c r="O210" s="51"/>
      <c r="P210" s="51"/>
    </row>
    <row r="211" spans="2:16" ht="14" x14ac:dyDescent="0.3">
      <c r="B211" s="665" t="s">
        <v>1122</v>
      </c>
      <c r="E211" s="154"/>
      <c r="F211" s="157"/>
      <c r="G211" s="101"/>
      <c r="H211" s="101"/>
      <c r="I211" s="101"/>
      <c r="J211" s="101"/>
      <c r="K211" s="101"/>
      <c r="L211" s="101"/>
      <c r="M211" s="101"/>
      <c r="N211" s="51"/>
      <c r="O211" s="51"/>
      <c r="P211" s="51"/>
    </row>
    <row r="212" spans="2:16" x14ac:dyDescent="0.3">
      <c r="B212" s="327" t="s">
        <v>1284</v>
      </c>
      <c r="E212" s="154"/>
      <c r="F212" s="157"/>
      <c r="G212" s="101"/>
      <c r="H212" s="101"/>
      <c r="I212" s="101"/>
      <c r="J212" s="101"/>
      <c r="K212" s="101"/>
      <c r="L212" s="101"/>
      <c r="M212" s="101"/>
      <c r="N212" s="51"/>
      <c r="O212" s="51"/>
      <c r="P212" s="51"/>
    </row>
    <row r="213" spans="2:16" x14ac:dyDescent="0.3">
      <c r="C213" s="353" t="s">
        <v>1285</v>
      </c>
      <c r="E213" s="154"/>
      <c r="F213" s="157"/>
      <c r="G213" s="162">
        <f ca="1">G15/'Cost Input'!$F$298</f>
        <v>0.58706358916359047</v>
      </c>
      <c r="H213" s="162">
        <f ca="1">H15/'Cost Input'!$F$298</f>
        <v>0.58706358916359047</v>
      </c>
      <c r="I213" s="162">
        <f ca="1">I15/'Cost Input'!$F$298</f>
        <v>0.64978907806794073</v>
      </c>
      <c r="J213" s="162">
        <f ca="1">J15/'Cost Input'!$F$298</f>
        <v>0.74857071669958286</v>
      </c>
      <c r="K213" s="162">
        <f ca="1">K15/'Cost Input'!$F$298</f>
        <v>0.90977432666511759</v>
      </c>
      <c r="L213" s="162">
        <f ca="1">L15/'Cost Input'!$F$298</f>
        <v>1.2284753495780496</v>
      </c>
      <c r="M213" s="162">
        <f ca="1">M15/'Cost Input'!$F$298</f>
        <v>2.3031799342097345</v>
      </c>
      <c r="N213" s="1012">
        <f>N15/'Cost Input'!$F$298</f>
        <v>0</v>
      </c>
      <c r="O213" s="51"/>
      <c r="P213" s="51"/>
    </row>
    <row r="214" spans="2:16" x14ac:dyDescent="0.3">
      <c r="C214" s="353" t="s">
        <v>1113</v>
      </c>
      <c r="D214" s="628"/>
      <c r="E214" s="154">
        <f>'Cost Input'!F154</f>
        <v>61000</v>
      </c>
      <c r="F214" s="1312">
        <f>'Cost Input'!G154</f>
        <v>0.7</v>
      </c>
      <c r="G214" s="148">
        <f t="shared" ref="G214:M214" ca="1" si="39">$E214*(IF($D214 = "x", 1/G$401, 1)*G213)^$F214</f>
        <v>42015.490386257035</v>
      </c>
      <c r="H214" s="148">
        <f t="shared" ca="1" si="39"/>
        <v>42015.490386257035</v>
      </c>
      <c r="I214" s="148">
        <f t="shared" ca="1" si="39"/>
        <v>45109.76037316936</v>
      </c>
      <c r="J214" s="148">
        <f t="shared" ca="1" si="39"/>
        <v>49807.279247911967</v>
      </c>
      <c r="K214" s="148">
        <f t="shared" ca="1" si="39"/>
        <v>57093.071648264035</v>
      </c>
      <c r="L214" s="148">
        <f t="shared" ca="1" si="39"/>
        <v>70450.867875274271</v>
      </c>
      <c r="M214" s="148">
        <f t="shared" ca="1" si="39"/>
        <v>109385.39584350125</v>
      </c>
      <c r="N214" s="51"/>
      <c r="O214" s="51"/>
      <c r="P214" s="51"/>
    </row>
    <row r="215" spans="2:16" x14ac:dyDescent="0.3">
      <c r="C215" s="353" t="s">
        <v>1114</v>
      </c>
      <c r="D215" s="881" t="str">
        <f>IF($E$399&gt;2, "x", "")</f>
        <v/>
      </c>
      <c r="E215" s="1011">
        <f>'Cost Input'!F155</f>
        <v>25</v>
      </c>
      <c r="F215" s="1312">
        <f>'Cost Input'!G155</f>
        <v>0.9</v>
      </c>
      <c r="G215" s="161" cm="1">
        <f t="array" aca="1" ref="G215" ca="1">$E215*(IF($D215 = "x", 1/G$401, 1)*G213)^$F215*_p_days</f>
        <v>15.479489700145582</v>
      </c>
      <c r="H215" s="161" cm="1">
        <f t="array" aca="1" ref="H215" ca="1">$E215*(IF($D215 = "x", 1/H$401, 1)*H213)^$F215*_p_days</f>
        <v>15.479489700145582</v>
      </c>
      <c r="I215" s="161" cm="1">
        <f t="array" aca="1" ref="I215" ca="1">$E215*(IF($D215 = "x", 1/I$401, 1)*I213)^$F215*_p_days</f>
        <v>16.960364251714292</v>
      </c>
      <c r="J215" s="161" cm="1">
        <f t="array" aca="1" ref="J215" ca="1">$E215*(IF($D215 = "x", 1/J$401, 1)*J213)^$F215*_p_days</f>
        <v>19.264137048721427</v>
      </c>
      <c r="K215" s="161" cm="1">
        <f t="array" aca="1" ref="K215" ca="1">$E215*(IF($D215 = "x", 1/K$401, 1)*K213)^$F215*_p_days</f>
        <v>22.960445906009287</v>
      </c>
      <c r="L215" s="161" cm="1">
        <f t="array" aca="1" ref="L215" ca="1">$E215*(IF($D215 = "x", 1/L$401, 1)*L213)^$F215*_p_days</f>
        <v>30.086371268807639</v>
      </c>
      <c r="M215" s="161" cm="1">
        <f t="array" aca="1" ref="M215" ca="1">$E215*(IF($D215 = "x", 1/M$401, 1)*M213)^$F215*_p_days</f>
        <v>52.970624130117272</v>
      </c>
      <c r="N215" s="51"/>
      <c r="O215" s="51"/>
      <c r="P215" s="51"/>
    </row>
    <row r="216" spans="2:16" x14ac:dyDescent="0.3">
      <c r="C216" s="353" t="s">
        <v>1115</v>
      </c>
      <c r="D216" s="881" t="str">
        <f>IF($E$399&gt;1, "x", "")</f>
        <v/>
      </c>
      <c r="E216" s="154">
        <f>'Cost Input'!F156</f>
        <v>2100</v>
      </c>
      <c r="F216" s="1312">
        <f>'Cost Input'!G156</f>
        <v>0.95</v>
      </c>
      <c r="G216" s="148" cm="1">
        <f t="array" aca="1" ref="G216" ca="1">$E216*(IF($D216 = "x", 1/G$401, 1)*G213)^$F216*_p_days</f>
        <v>1266.1063381515216</v>
      </c>
      <c r="H216" s="148" cm="1">
        <f t="array" aca="1" ref="H216" ca="1">$E216*(IF($D216 = "x", 1/H$401, 1)*H213)^$F216*_p_days</f>
        <v>1266.1063381515216</v>
      </c>
      <c r="I216" s="148" cm="1">
        <f t="array" aca="1" ref="I216" ca="1">$E216*(IF($D216 = "x", 1/I$401, 1)*I213)^$F216*_p_days</f>
        <v>1394.2899006749908</v>
      </c>
      <c r="J216" s="148" cm="1">
        <f t="array" aca="1" ref="J216" ca="1">$E216*(IF($D216 = "x", 1/J$401, 1)*J213)^$F216*_p_days</f>
        <v>1594.9258133001335</v>
      </c>
      <c r="K216" s="148" cm="1">
        <f t="array" aca="1" ref="K216" ca="1">$E216*(IF($D216 = "x", 1/K$401, 1)*K213)^$F216*_p_days</f>
        <v>1919.5803164655624</v>
      </c>
      <c r="L216" s="148" cm="1">
        <f t="array" aca="1" ref="L216" ca="1">$E216*(IF($D216 = "x", 1/L$401, 1)*L213)^$F216*_p_days</f>
        <v>2553.3915617260668</v>
      </c>
      <c r="M216" s="148" cm="1">
        <f t="array" aca="1" ref="M216" ca="1">$E216*(IF($D216 = "x", 1/M$401, 1)*M213)^$F216*_p_days</f>
        <v>4639.0683315589122</v>
      </c>
      <c r="N216" s="51"/>
      <c r="O216" s="51"/>
      <c r="P216" s="51"/>
    </row>
    <row r="217" spans="2:16" x14ac:dyDescent="0.3">
      <c r="C217" s="353"/>
      <c r="D217" s="53"/>
      <c r="E217" s="154"/>
      <c r="F217" s="157"/>
      <c r="G217" s="148"/>
      <c r="H217" s="148"/>
      <c r="I217" s="148"/>
      <c r="J217" s="148"/>
      <c r="K217" s="148"/>
      <c r="L217" s="148"/>
      <c r="M217" s="148"/>
      <c r="N217" s="51"/>
      <c r="O217" s="51"/>
      <c r="P217" s="51"/>
    </row>
    <row r="218" spans="2:16" x14ac:dyDescent="0.3">
      <c r="B218" s="327" t="s">
        <v>1287</v>
      </c>
      <c r="E218" s="154"/>
      <c r="F218" s="157"/>
      <c r="G218" s="353"/>
      <c r="H218" s="353"/>
      <c r="I218" s="353"/>
      <c r="J218" s="353"/>
      <c r="K218" s="353"/>
      <c r="L218" s="353"/>
      <c r="M218" s="353"/>
      <c r="N218" s="51"/>
      <c r="O218" s="51"/>
      <c r="P218" s="51"/>
    </row>
    <row r="219" spans="2:16" x14ac:dyDescent="0.3">
      <c r="C219" s="353" t="s">
        <v>1285</v>
      </c>
      <c r="E219" s="154"/>
      <c r="F219" s="157"/>
      <c r="G219" s="165">
        <f ca="1">G16/'Cost Input'!$F$299</f>
        <v>0.58756717541342396</v>
      </c>
      <c r="H219" s="165">
        <f ca="1">H16/'Cost Input'!$F$299</f>
        <v>0.58756717541342396</v>
      </c>
      <c r="I219" s="165">
        <f ca="1">I16/'Cost Input'!$F$299</f>
        <v>0.65019512414760305</v>
      </c>
      <c r="J219" s="165">
        <f ca="1">J16/'Cost Input'!$F$299</f>
        <v>0.7489232253146475</v>
      </c>
      <c r="K219" s="165">
        <f ca="1">K16/'Cost Input'!$F$299</f>
        <v>0.90961657107642846</v>
      </c>
      <c r="L219" s="165">
        <f ca="1">L16/'Cost Input'!$F$299</f>
        <v>1.227342997931544</v>
      </c>
      <c r="M219" s="165">
        <f ca="1">M16/'Cost Input'!$F$299</f>
        <v>2.2950558861930133</v>
      </c>
      <c r="N219" s="51"/>
      <c r="O219" s="51"/>
      <c r="P219" s="51"/>
    </row>
    <row r="220" spans="2:16" x14ac:dyDescent="0.3">
      <c r="C220" s="353" t="s">
        <v>1113</v>
      </c>
      <c r="D220" s="628"/>
      <c r="E220" s="154">
        <f>'Cost Input'!F160</f>
        <v>69000</v>
      </c>
      <c r="F220" s="1312">
        <f>'Cost Input'!G160</f>
        <v>0.7</v>
      </c>
      <c r="G220" s="148">
        <f t="shared" ref="G220:M220" ca="1" si="40">$E220*(IF($D220 = "x", 1/G$401, 1)*G219)^$F220</f>
        <v>47554.252431916342</v>
      </c>
      <c r="H220" s="148">
        <f t="shared" ca="1" si="40"/>
        <v>47554.252431916342</v>
      </c>
      <c r="I220" s="148">
        <f t="shared" ca="1" si="40"/>
        <v>51048.112251107319</v>
      </c>
      <c r="J220" s="148">
        <f t="shared" ca="1" si="40"/>
        <v>56357.951634224817</v>
      </c>
      <c r="K220" s="148">
        <f t="shared" ca="1" si="40"/>
        <v>64572.848558570338</v>
      </c>
      <c r="L220" s="148">
        <f t="shared" ca="1" si="40"/>
        <v>79638.900450584697</v>
      </c>
      <c r="M220" s="148">
        <f t="shared" ca="1" si="40"/>
        <v>123425.35257650648</v>
      </c>
      <c r="N220" s="51"/>
      <c r="O220" s="51"/>
      <c r="P220" s="51"/>
    </row>
    <row r="221" spans="2:16" x14ac:dyDescent="0.3">
      <c r="C221" s="353" t="s">
        <v>1114</v>
      </c>
      <c r="D221" s="881" t="str">
        <f>IF($E$399&gt;2, "x", "")</f>
        <v/>
      </c>
      <c r="E221" s="1011">
        <f>'Cost Input'!F161</f>
        <v>25</v>
      </c>
      <c r="F221" s="1312">
        <f>'Cost Input'!G161</f>
        <v>0.9</v>
      </c>
      <c r="G221" s="161" cm="1">
        <f t="array" aca="1" ref="G221" ca="1">$E221*(IF($D221 = "x", 1/G$401, 1)*G219)^$F221*_p_days</f>
        <v>15.491439737020924</v>
      </c>
      <c r="H221" s="161" cm="1">
        <f t="array" aca="1" ref="H221" ca="1">$E221*(IF($D221 = "x", 1/H$401, 1)*H219)^$F221*_p_days</f>
        <v>15.491439737020924</v>
      </c>
      <c r="I221" s="161" cm="1">
        <f t="array" aca="1" ref="I221" ca="1">$E221*(IF($D221 = "x", 1/I$401, 1)*I219)^$F221*_p_days</f>
        <v>16.969902465070657</v>
      </c>
      <c r="J221" s="161" cm="1">
        <f t="array" aca="1" ref="J221" ca="1">$E221*(IF($D221 = "x", 1/J$401, 1)*J219)^$F221*_p_days</f>
        <v>19.27230134479953</v>
      </c>
      <c r="K221" s="161" cm="1">
        <f t="array" aca="1" ref="K221" ca="1">$E221*(IF($D221 = "x", 1/K$401, 1)*K219)^$F221*_p_days</f>
        <v>22.956862651388501</v>
      </c>
      <c r="L221" s="161" cm="1">
        <f t="array" aca="1" ref="L221" ca="1">$E221*(IF($D221 = "x", 1/L$401, 1)*L219)^$F221*_p_days</f>
        <v>30.061411117636617</v>
      </c>
      <c r="M221" s="161" cm="1">
        <f t="array" aca="1" ref="M221" ca="1">$E221*(IF($D221 = "x", 1/M$401, 1)*M219)^$F221*_p_days</f>
        <v>52.802434622127812</v>
      </c>
      <c r="N221" s="51"/>
      <c r="O221" s="51"/>
      <c r="P221" s="51"/>
    </row>
    <row r="222" spans="2:16" x14ac:dyDescent="0.3">
      <c r="C222" s="353" t="s">
        <v>1115</v>
      </c>
      <c r="D222" s="881" t="str">
        <f>IF($E$399&gt;1, "x", "")</f>
        <v/>
      </c>
      <c r="E222" s="154">
        <f>'Cost Input'!F162</f>
        <v>2100</v>
      </c>
      <c r="F222" s="1312">
        <f>'Cost Input'!G162</f>
        <v>0.95</v>
      </c>
      <c r="G222" s="148" cm="1">
        <f t="array" aca="1" ref="G222" ca="1">$E222*(IF($D222 = "x", 1/G$401, 1)*G219)^$F222*_p_days</f>
        <v>1267.1380851054205</v>
      </c>
      <c r="H222" s="148" cm="1">
        <f t="array" aca="1" ref="H222" ca="1">$E222*(IF($D222 = "x", 1/H$401, 1)*H219)^$F222*_p_days</f>
        <v>1267.1380851054205</v>
      </c>
      <c r="I222" s="148" cm="1">
        <f t="array" aca="1" ref="I222" ca="1">$E222*(IF($D222 = "x", 1/I$401, 1)*I219)^$F222*_p_days</f>
        <v>1395.1176004139229</v>
      </c>
      <c r="J222" s="148" cm="1">
        <f t="array" aca="1" ref="J222" ca="1">$E222*(IF($D222 = "x", 1/J$401, 1)*J219)^$F222*_p_days</f>
        <v>1595.6393164284891</v>
      </c>
      <c r="K222" s="148" cm="1">
        <f t="array" aca="1" ref="K222" ca="1">$E222*(IF($D222 = "x", 1/K$401, 1)*K219)^$F222*_p_days</f>
        <v>1919.2641011850542</v>
      </c>
      <c r="L222" s="148" cm="1">
        <f t="array" aca="1" ref="L222" ca="1">$E222*(IF($D222 = "x", 1/L$401, 1)*L219)^$F222*_p_days</f>
        <v>2551.1555920750257</v>
      </c>
      <c r="M222" s="148" cm="1">
        <f t="array" aca="1" ref="M222" ca="1">$E222*(IF($D222 = "x", 1/M$401, 1)*M219)^$F222*_p_days</f>
        <v>4623.5216633087275</v>
      </c>
      <c r="N222" s="51"/>
      <c r="O222" s="51"/>
      <c r="P222" s="51"/>
    </row>
    <row r="223" spans="2:16" x14ac:dyDescent="0.3">
      <c r="C223" s="353"/>
      <c r="D223" s="53"/>
      <c r="E223" s="154"/>
      <c r="F223" s="157"/>
      <c r="G223" s="148"/>
      <c r="H223" s="148"/>
      <c r="I223" s="148"/>
      <c r="J223" s="148"/>
      <c r="K223" s="148"/>
      <c r="L223" s="148"/>
      <c r="M223" s="148"/>
      <c r="N223" s="51"/>
      <c r="O223" s="51"/>
      <c r="P223" s="51"/>
    </row>
    <row r="224" spans="2:16" ht="14" x14ac:dyDescent="0.3">
      <c r="B224" s="665" t="s">
        <v>1123</v>
      </c>
      <c r="E224" s="1011"/>
      <c r="F224" s="1312"/>
      <c r="G224" s="30"/>
      <c r="H224" s="30"/>
      <c r="I224" s="30"/>
      <c r="J224" s="30"/>
      <c r="K224" s="30"/>
      <c r="L224" s="30"/>
      <c r="M224" s="30"/>
      <c r="N224" s="51"/>
      <c r="O224" s="51"/>
      <c r="P224" s="51"/>
    </row>
    <row r="225" spans="2:16" x14ac:dyDescent="0.3">
      <c r="B225" s="327" t="s">
        <v>1284</v>
      </c>
      <c r="E225" s="1011"/>
      <c r="F225" s="1312"/>
      <c r="G225" s="30"/>
      <c r="H225" s="30"/>
      <c r="I225" s="30"/>
      <c r="J225" s="30"/>
      <c r="K225" s="30"/>
      <c r="L225" s="30"/>
      <c r="M225" s="30"/>
      <c r="N225" s="51"/>
      <c r="O225" s="51"/>
      <c r="P225" s="51"/>
    </row>
    <row r="226" spans="2:16" x14ac:dyDescent="0.3">
      <c r="C226" s="353" t="s">
        <v>1285</v>
      </c>
      <c r="E226" s="1011"/>
      <c r="F226" s="1312"/>
      <c r="G226" s="1012">
        <f ca="1">G15/'Cost Input'!$F$298</f>
        <v>0.58706358916359047</v>
      </c>
      <c r="H226" s="1012">
        <f ca="1">H15/'Cost Input'!$F$298</f>
        <v>0.58706358916359047</v>
      </c>
      <c r="I226" s="1012">
        <f ca="1">I15/'Cost Input'!$F$298</f>
        <v>0.64978907806794073</v>
      </c>
      <c r="J226" s="1012">
        <f ca="1">J15/'Cost Input'!$F$298</f>
        <v>0.74857071669958286</v>
      </c>
      <c r="K226" s="1012">
        <f ca="1">K15/'Cost Input'!$F$298</f>
        <v>0.90977432666511759</v>
      </c>
      <c r="L226" s="1012">
        <f ca="1">L15/'Cost Input'!$F$298</f>
        <v>1.2284753495780496</v>
      </c>
      <c r="M226" s="1012">
        <f ca="1">M15/'Cost Input'!$F$298</f>
        <v>2.3031799342097345</v>
      </c>
      <c r="N226" s="51"/>
      <c r="O226" s="51"/>
      <c r="P226" s="51"/>
    </row>
    <row r="227" spans="2:16" x14ac:dyDescent="0.3">
      <c r="C227" s="353" t="s">
        <v>1113</v>
      </c>
      <c r="D227" s="628"/>
      <c r="E227" s="1011">
        <f>'Cost Input'!F167</f>
        <v>250000</v>
      </c>
      <c r="F227" s="1312">
        <f>'Cost Input'!G167</f>
        <v>0.7</v>
      </c>
      <c r="G227" s="80">
        <f t="shared" ref="G227:M227" ca="1" si="41">$E227*(IF($D227 = "x", 1/G$401, 1)*G226)^$F227</f>
        <v>172194.63273056163</v>
      </c>
      <c r="H227" s="80">
        <f t="shared" ca="1" si="41"/>
        <v>172194.63273056163</v>
      </c>
      <c r="I227" s="80">
        <f t="shared" ca="1" si="41"/>
        <v>184876.06710315309</v>
      </c>
      <c r="J227" s="80">
        <f t="shared" ca="1" si="41"/>
        <v>204128.19363898347</v>
      </c>
      <c r="K227" s="80">
        <f t="shared" ca="1" si="41"/>
        <v>233987.99855845916</v>
      </c>
      <c r="L227" s="80">
        <f t="shared" ca="1" si="41"/>
        <v>288733.06506259949</v>
      </c>
      <c r="M227" s="80">
        <f t="shared" ca="1" si="41"/>
        <v>448300.80263730022</v>
      </c>
      <c r="N227" s="51"/>
      <c r="O227" s="51"/>
      <c r="P227" s="51"/>
    </row>
    <row r="228" spans="2:16" x14ac:dyDescent="0.3">
      <c r="C228" s="353" t="s">
        <v>1114</v>
      </c>
      <c r="D228" s="628" t="str">
        <f>IF($E$399&gt;2, "x", "")</f>
        <v/>
      </c>
      <c r="E228" s="1011">
        <f>'Cost Input'!F168</f>
        <v>29</v>
      </c>
      <c r="F228" s="1312">
        <f>'Cost Input'!G168</f>
        <v>0.9</v>
      </c>
      <c r="G228" s="1013" cm="1">
        <f t="array" aca="1" ref="G228" ca="1">$E228*(IF($D228 = "x", 1/G$401, 1)*G226)^$F228*_p_days</f>
        <v>17.956208052168876</v>
      </c>
      <c r="H228" s="1013" cm="1">
        <f t="array" aca="1" ref="H228" ca="1">$E228*(IF($D228 = "x", 1/H$401, 1)*H226)^$F228*_p_days</f>
        <v>17.956208052168876</v>
      </c>
      <c r="I228" s="1013" cm="1">
        <f t="array" aca="1" ref="I228" ca="1">$E228*(IF($D228 = "x", 1/I$401, 1)*I226)^$F228*_p_days</f>
        <v>19.674022531988577</v>
      </c>
      <c r="J228" s="1013" cm="1">
        <f t="array" aca="1" ref="J228" ca="1">$E228*(IF($D228 = "x", 1/J$401, 1)*J226)^$F228*_p_days</f>
        <v>22.346398976516856</v>
      </c>
      <c r="K228" s="1013" cm="1">
        <f t="array" aca="1" ref="K228" ca="1">$E228*(IF($D228 = "x", 1/K$401, 1)*K226)^$F228*_p_days</f>
        <v>26.634117250970775</v>
      </c>
      <c r="L228" s="1013" cm="1">
        <f t="array" aca="1" ref="L228" ca="1">$E228*(IF($D228 = "x", 1/L$401, 1)*L226)^$F228*_p_days</f>
        <v>34.900190671816858</v>
      </c>
      <c r="M228" s="1013" cm="1">
        <f t="array" aca="1" ref="M228" ca="1">$E228*(IF($D228 = "x", 1/M$401, 1)*M226)^$F228*_p_days</f>
        <v>61.445923990936038</v>
      </c>
      <c r="N228" s="51"/>
      <c r="O228" s="51"/>
      <c r="P228" s="51"/>
    </row>
    <row r="229" spans="2:16" x14ac:dyDescent="0.3">
      <c r="C229" s="353" t="s">
        <v>1115</v>
      </c>
      <c r="D229" s="628" t="str">
        <f>IF($E$399&gt;1, "x", "")</f>
        <v/>
      </c>
      <c r="E229" s="1011">
        <f>'Cost Input'!F169</f>
        <v>3200</v>
      </c>
      <c r="F229" s="1312">
        <f>'Cost Input'!G169</f>
        <v>0.95</v>
      </c>
      <c r="G229" s="80" cm="1">
        <f t="array" aca="1" ref="G229" ca="1">$E229*(IF($D229 = "x", 1/G$401, 1)*G226)^$F229*_p_days</f>
        <v>1929.3048962308901</v>
      </c>
      <c r="H229" s="80" cm="1">
        <f t="array" aca="1" ref="H229" ca="1">$E229*(IF($D229 = "x", 1/H$401, 1)*H226)^$F229*_p_days</f>
        <v>1929.3048962308901</v>
      </c>
      <c r="I229" s="80" cm="1">
        <f t="array" aca="1" ref="I229" ca="1">$E229*(IF($D229 = "x", 1/I$401, 1)*I226)^$F229*_p_days</f>
        <v>2124.6322295999862</v>
      </c>
      <c r="J229" s="80" cm="1">
        <f t="array" aca="1" ref="J229" ca="1">$E229*(IF($D229 = "x", 1/J$401, 1)*J226)^$F229*_p_days</f>
        <v>2430.3631440763938</v>
      </c>
      <c r="K229" s="80" cm="1">
        <f t="array" aca="1" ref="K229" ca="1">$E229*(IF($D229 = "x", 1/K$401, 1)*K226)^$F229*_p_days</f>
        <v>2925.0747679475235</v>
      </c>
      <c r="L229" s="80" cm="1">
        <f t="array" aca="1" ref="L229" ca="1">$E229*(IF($D229 = "x", 1/L$401, 1)*L226)^$F229*_p_days</f>
        <v>3890.8823797730543</v>
      </c>
      <c r="M229" s="80" cm="1">
        <f t="array" aca="1" ref="M229" ca="1">$E229*(IF($D229 = "x", 1/M$401, 1)*M226)^$F229*_p_days</f>
        <v>7069.0565052326274</v>
      </c>
      <c r="N229" s="51"/>
      <c r="O229" s="51"/>
      <c r="P229" s="51"/>
    </row>
    <row r="230" spans="2:16" x14ac:dyDescent="0.3">
      <c r="C230" s="353"/>
      <c r="D230" s="85"/>
      <c r="E230" s="1011"/>
      <c r="F230" s="1312"/>
      <c r="G230" s="80"/>
      <c r="H230" s="80"/>
      <c r="I230" s="80"/>
      <c r="J230" s="80"/>
      <c r="K230" s="80"/>
      <c r="L230" s="80"/>
      <c r="M230" s="80"/>
      <c r="N230" s="51"/>
      <c r="O230" s="51"/>
      <c r="P230" s="51"/>
    </row>
    <row r="231" spans="2:16" x14ac:dyDescent="0.3">
      <c r="B231" s="327" t="s">
        <v>1287</v>
      </c>
      <c r="E231" s="1011"/>
      <c r="F231" s="1312"/>
      <c r="N231" s="51"/>
      <c r="O231" s="51"/>
      <c r="P231" s="51"/>
    </row>
    <row r="232" spans="2:16" x14ac:dyDescent="0.3">
      <c r="C232" s="353" t="s">
        <v>1285</v>
      </c>
      <c r="E232" s="1011"/>
      <c r="F232" s="1312"/>
      <c r="G232" s="38">
        <f ca="1">G16/'Cost Input'!$F$299</f>
        <v>0.58756717541342396</v>
      </c>
      <c r="H232" s="38">
        <f ca="1">H16/'Cost Input'!$F$299</f>
        <v>0.58756717541342396</v>
      </c>
      <c r="I232" s="38">
        <f ca="1">I16/'Cost Input'!$F$299</f>
        <v>0.65019512414760305</v>
      </c>
      <c r="J232" s="38">
        <f ca="1">J16/'Cost Input'!$F$299</f>
        <v>0.7489232253146475</v>
      </c>
      <c r="K232" s="38">
        <f ca="1">K16/'Cost Input'!$F$299</f>
        <v>0.90961657107642846</v>
      </c>
      <c r="L232" s="38">
        <f ca="1">L16/'Cost Input'!$F$299</f>
        <v>1.227342997931544</v>
      </c>
      <c r="M232" s="38">
        <f ca="1">M16/'Cost Input'!$F$299</f>
        <v>2.2950558861930133</v>
      </c>
      <c r="N232" s="51"/>
      <c r="O232" s="51"/>
      <c r="P232" s="51"/>
    </row>
    <row r="233" spans="2:16" x14ac:dyDescent="0.3">
      <c r="C233" s="353" t="s">
        <v>1113</v>
      </c>
      <c r="D233" s="628"/>
      <c r="E233" s="1011">
        <f>'Cost Input'!F173</f>
        <v>250000</v>
      </c>
      <c r="F233" s="1312">
        <f>'Cost Input'!G173</f>
        <v>0.7</v>
      </c>
      <c r="G233" s="80">
        <f t="shared" ref="G233:M233" ca="1" si="42">$E233*(IF($D233 = "x", 1/G$401, 1)*G232)^$F233</f>
        <v>172298.0160576679</v>
      </c>
      <c r="H233" s="80">
        <f t="shared" ca="1" si="42"/>
        <v>172298.0160576679</v>
      </c>
      <c r="I233" s="80">
        <f t="shared" ca="1" si="42"/>
        <v>184956.92844604101</v>
      </c>
      <c r="J233" s="80">
        <f t="shared" ca="1" si="42"/>
        <v>204195.47693559717</v>
      </c>
      <c r="K233" s="80">
        <f t="shared" ca="1" si="42"/>
        <v>233959.59622670413</v>
      </c>
      <c r="L233" s="80">
        <f t="shared" ca="1" si="42"/>
        <v>288546.74076298805</v>
      </c>
      <c r="M233" s="80">
        <f t="shared" ca="1" si="42"/>
        <v>447193.30643661768</v>
      </c>
      <c r="N233" s="51"/>
      <c r="O233" s="51"/>
      <c r="P233" s="51"/>
    </row>
    <row r="234" spans="2:16" x14ac:dyDescent="0.3">
      <c r="C234" s="353" t="s">
        <v>1114</v>
      </c>
      <c r="D234" s="628" t="str">
        <f>IF($E$399&gt;2, "x", "")</f>
        <v/>
      </c>
      <c r="E234" s="1011">
        <f>'Cost Input'!F174</f>
        <v>29</v>
      </c>
      <c r="F234" s="1312">
        <f>'Cost Input'!G174</f>
        <v>0.9</v>
      </c>
      <c r="G234" s="1013" cm="1">
        <f t="array" aca="1" ref="G234" ca="1">$E234*(IF($D234 = "x", 1/G$401, 1)*G232)^$F234*_p_days</f>
        <v>17.970070094944273</v>
      </c>
      <c r="H234" s="1013" cm="1">
        <f t="array" aca="1" ref="H234" ca="1">$E234*(IF($D234 = "x", 1/H$401, 1)*H232)^$F234*_p_days</f>
        <v>17.970070094944273</v>
      </c>
      <c r="I234" s="1013" cm="1">
        <f t="array" aca="1" ref="I234" ca="1">$E234*(IF($D234 = "x", 1/I$401, 1)*I232)^$F234*_p_days</f>
        <v>19.685086859481963</v>
      </c>
      <c r="J234" s="1013" cm="1">
        <f t="array" aca="1" ref="J234" ca="1">$E234*(IF($D234 = "x", 1/J$401, 1)*J232)^$F234*_p_days</f>
        <v>22.355869559967456</v>
      </c>
      <c r="K234" s="1013" cm="1">
        <f t="array" aca="1" ref="K234" ca="1">$E234*(IF($D234 = "x", 1/K$401, 1)*K232)^$F234*_p_days</f>
        <v>26.629960675610661</v>
      </c>
      <c r="L234" s="1013" cm="1">
        <f t="array" aca="1" ref="L234" ca="1">$E234*(IF($D234 = "x", 1/L$401, 1)*L232)^$F234*_p_days</f>
        <v>34.871236896458477</v>
      </c>
      <c r="M234" s="1013" cm="1">
        <f t="array" aca="1" ref="M234" ca="1">$E234*(IF($D234 = "x", 1/M$401, 1)*M232)^$F234*_p_days</f>
        <v>61.250824161668262</v>
      </c>
      <c r="N234" s="51"/>
      <c r="O234" s="51"/>
      <c r="P234" s="51"/>
    </row>
    <row r="235" spans="2:16" x14ac:dyDescent="0.3">
      <c r="C235" s="353" t="s">
        <v>1115</v>
      </c>
      <c r="D235" s="628" t="str">
        <f>IF($E$399&gt;1, "x", "")</f>
        <v/>
      </c>
      <c r="E235" s="1011">
        <f>'Cost Input'!F175</f>
        <v>3200</v>
      </c>
      <c r="F235" s="1312">
        <f>'Cost Input'!G175</f>
        <v>0.95</v>
      </c>
      <c r="G235" s="80" cm="1">
        <f t="array" aca="1" ref="G235" ca="1">$E235*(IF($D235 = "x", 1/G$401, 1)*G232)^$F235*_p_days</f>
        <v>1930.8770820654026</v>
      </c>
      <c r="H235" s="80" cm="1">
        <f t="array" aca="1" ref="H235" ca="1">$E235*(IF($D235 = "x", 1/H$401, 1)*H232)^$F235*_p_days</f>
        <v>1930.8770820654026</v>
      </c>
      <c r="I235" s="80" cm="1">
        <f t="array" aca="1" ref="I235" ca="1">$E235*(IF($D235 = "x", 1/I$401, 1)*I232)^$F235*_p_days</f>
        <v>2125.8934863450254</v>
      </c>
      <c r="J235" s="80" cm="1">
        <f t="array" aca="1" ref="J235" ca="1">$E235*(IF($D235 = "x", 1/J$401, 1)*J232)^$F235*_p_days</f>
        <v>2431.4503869386499</v>
      </c>
      <c r="K235" s="80" cm="1">
        <f t="array" aca="1" ref="K235" ca="1">$E235*(IF($D235 = "x", 1/K$401, 1)*K232)^$F235*_p_days</f>
        <v>2924.5929160915111</v>
      </c>
      <c r="L235" s="80" cm="1">
        <f t="array" aca="1" ref="L235" ca="1">$E235*(IF($D235 = "x", 1/L$401, 1)*L232)^$F235*_p_days</f>
        <v>3887.4751879238488</v>
      </c>
      <c r="M235" s="80" cm="1">
        <f t="array" aca="1" ref="M235" ca="1">$E235*(IF($D235 = "x", 1/M$401, 1)*M232)^$F235*_p_days</f>
        <v>7045.3663440894898</v>
      </c>
      <c r="N235" s="51"/>
      <c r="O235" s="51"/>
      <c r="P235" s="51"/>
    </row>
    <row r="236" spans="2:16" x14ac:dyDescent="0.3">
      <c r="F236" s="1313"/>
    </row>
    <row r="237" spans="2:16" ht="14" x14ac:dyDescent="0.3">
      <c r="B237" s="665" t="s">
        <v>1124</v>
      </c>
      <c r="C237" s="353"/>
      <c r="D237" s="353"/>
      <c r="E237" s="148"/>
      <c r="F237" s="1314"/>
      <c r="G237" s="148"/>
      <c r="H237" s="148"/>
      <c r="I237" s="148"/>
      <c r="J237" s="148"/>
      <c r="K237" s="148"/>
      <c r="L237" s="148"/>
      <c r="M237" s="148"/>
      <c r="N237" s="51"/>
      <c r="O237" s="51"/>
      <c r="P237" s="51"/>
    </row>
    <row r="238" spans="2:16" x14ac:dyDescent="0.3">
      <c r="B238" s="327" t="s">
        <v>1284</v>
      </c>
      <c r="D238" s="353"/>
      <c r="E238" s="148"/>
      <c r="F238" s="1314"/>
      <c r="G238" s="148"/>
      <c r="H238" s="148"/>
      <c r="I238" s="148"/>
      <c r="J238" s="148"/>
      <c r="K238" s="148"/>
      <c r="L238" s="148"/>
      <c r="M238" s="148"/>
      <c r="N238" s="51"/>
      <c r="O238" s="51"/>
      <c r="P238" s="51"/>
    </row>
    <row r="239" spans="2:16" x14ac:dyDescent="0.3">
      <c r="C239" s="353" t="s">
        <v>1285</v>
      </c>
      <c r="D239" s="353"/>
      <c r="E239" s="148"/>
      <c r="F239" s="1314"/>
      <c r="G239" s="162">
        <f ca="1">G15/'Cost Input'!$F$298</f>
        <v>0.58706358916359047</v>
      </c>
      <c r="H239" s="162">
        <f ca="1">H15/'Cost Input'!$F$298</f>
        <v>0.58706358916359047</v>
      </c>
      <c r="I239" s="162">
        <f ca="1">I15/'Cost Input'!$F$298</f>
        <v>0.64978907806794073</v>
      </c>
      <c r="J239" s="162">
        <f ca="1">J15/'Cost Input'!$F$298</f>
        <v>0.74857071669958286</v>
      </c>
      <c r="K239" s="162">
        <f ca="1">K15/'Cost Input'!$F$298</f>
        <v>0.90977432666511759</v>
      </c>
      <c r="L239" s="162">
        <f ca="1">L15/'Cost Input'!$F$298</f>
        <v>1.2284753495780496</v>
      </c>
      <c r="M239" s="162">
        <f ca="1">M15/'Cost Input'!$F$298</f>
        <v>2.3031799342097345</v>
      </c>
      <c r="N239" s="51"/>
      <c r="O239" s="51"/>
      <c r="P239" s="51"/>
    </row>
    <row r="240" spans="2:16" x14ac:dyDescent="0.3">
      <c r="C240" s="353" t="s">
        <v>1113</v>
      </c>
      <c r="D240" s="628"/>
      <c r="E240" s="148">
        <f>'Cost Input'!F180</f>
        <v>41000</v>
      </c>
      <c r="F240" s="1312">
        <f>'Cost Input'!G180</f>
        <v>0.7</v>
      </c>
      <c r="G240" s="148">
        <f t="shared" ref="G240:M240" ca="1" si="43">$E240*(IF($D240 = "x", 1/G$401, 1)*G239)^$F240</f>
        <v>28239.919767812105</v>
      </c>
      <c r="H240" s="148">
        <f t="shared" ca="1" si="43"/>
        <v>28239.919767812105</v>
      </c>
      <c r="I240" s="148">
        <f t="shared" ca="1" si="43"/>
        <v>30319.67500491711</v>
      </c>
      <c r="J240" s="148">
        <f t="shared" ca="1" si="43"/>
        <v>33477.023756793285</v>
      </c>
      <c r="K240" s="148">
        <f t="shared" ca="1" si="43"/>
        <v>38374.031763587307</v>
      </c>
      <c r="L240" s="148">
        <f t="shared" ca="1" si="43"/>
        <v>47352.222670266317</v>
      </c>
      <c r="M240" s="148">
        <f t="shared" ca="1" si="43"/>
        <v>73521.331632517235</v>
      </c>
      <c r="N240" s="51"/>
      <c r="O240" s="51"/>
      <c r="P240" s="51"/>
    </row>
    <row r="241" spans="2:16" x14ac:dyDescent="0.3">
      <c r="C241" s="353" t="s">
        <v>1114</v>
      </c>
      <c r="D241" s="881" t="str">
        <f>IF($E$399&gt;2, "x", "")</f>
        <v/>
      </c>
      <c r="E241" s="80">
        <f>'Cost Input'!F181</f>
        <v>14</v>
      </c>
      <c r="F241" s="1312">
        <f>'Cost Input'!G181</f>
        <v>0.9</v>
      </c>
      <c r="G241" s="161" cm="1">
        <f t="array" aca="1" ref="G241" ca="1">$E241*(IF($D241 = "x", 1/G$401, 1)*G239)^$F241*_p_days</f>
        <v>8.6685142320815256</v>
      </c>
      <c r="H241" s="161" cm="1">
        <f t="array" aca="1" ref="H241" ca="1">$E241*(IF($D241 = "x", 1/H$401, 1)*H239)^$F241*_p_days</f>
        <v>8.6685142320815256</v>
      </c>
      <c r="I241" s="161" cm="1">
        <f t="array" aca="1" ref="I241" ca="1">$E241*(IF($D241 = "x", 1/I$401, 1)*I239)^$F241*_p_days</f>
        <v>9.4978039809600023</v>
      </c>
      <c r="J241" s="161" cm="1">
        <f t="array" aca="1" ref="J241" ca="1">$E241*(IF($D241 = "x", 1/J$401, 1)*J239)^$F241*_p_days</f>
        <v>10.787916747283999</v>
      </c>
      <c r="K241" s="161" cm="1">
        <f t="array" aca="1" ref="K241" ca="1">$E241*(IF($D241 = "x", 1/K$401, 1)*K239)^$F241*_p_days</f>
        <v>12.857849707365201</v>
      </c>
      <c r="L241" s="161" cm="1">
        <f t="array" aca="1" ref="L241" ca="1">$E241*(IF($D241 = "x", 1/L$401, 1)*L239)^$F241*_p_days</f>
        <v>16.848367910532279</v>
      </c>
      <c r="M241" s="161" cm="1">
        <f t="array" aca="1" ref="M241" ca="1">$E241*(IF($D241 = "x", 1/M$401, 1)*M239)^$F241*_p_days</f>
        <v>29.663549512865671</v>
      </c>
      <c r="N241" s="51"/>
      <c r="O241" s="51"/>
      <c r="P241" s="51"/>
    </row>
    <row r="242" spans="2:16" x14ac:dyDescent="0.3">
      <c r="C242" s="353" t="s">
        <v>1115</v>
      </c>
      <c r="D242" s="881" t="str">
        <f>IF($E$399&gt;1, "x", "")</f>
        <v/>
      </c>
      <c r="E242" s="148">
        <f>'Cost Input'!F182</f>
        <v>2000</v>
      </c>
      <c r="F242" s="1312">
        <f>'Cost Input'!G182</f>
        <v>0.95</v>
      </c>
      <c r="G242" s="148" cm="1">
        <f t="array" aca="1" ref="G242" ca="1">$E242*(IF($D242 = "x", 1/G$401, 1)*G239)^$F242*_p_days</f>
        <v>1205.8155601443063</v>
      </c>
      <c r="H242" s="148" cm="1">
        <f t="array" aca="1" ref="H242" ca="1">$E242*(IF($D242 = "x", 1/H$401, 1)*H239)^$F242*_p_days</f>
        <v>1205.8155601443063</v>
      </c>
      <c r="I242" s="148" cm="1">
        <f t="array" aca="1" ref="I242" ca="1">$E242*(IF($D242 = "x", 1/I$401, 1)*I239)^$F242*_p_days</f>
        <v>1327.8951434999913</v>
      </c>
      <c r="J242" s="148" cm="1">
        <f t="array" aca="1" ref="J242" ca="1">$E242*(IF($D242 = "x", 1/J$401, 1)*J239)^$F242*_p_days</f>
        <v>1518.9769650477463</v>
      </c>
      <c r="K242" s="148" cm="1">
        <f t="array" aca="1" ref="K242" ca="1">$E242*(IF($D242 = "x", 1/K$401, 1)*K239)^$F242*_p_days</f>
        <v>1828.1717299672023</v>
      </c>
      <c r="L242" s="148" cm="1">
        <f t="array" aca="1" ref="L242" ca="1">$E242*(IF($D242 = "x", 1/L$401, 1)*L239)^$F242*_p_days</f>
        <v>2431.8014873581587</v>
      </c>
      <c r="M242" s="148" cm="1">
        <f t="array" aca="1" ref="M242" ca="1">$E242*(IF($D242 = "x", 1/M$401, 1)*M239)^$F242*_p_days</f>
        <v>4418.1603157703921</v>
      </c>
      <c r="N242" s="51"/>
      <c r="O242" s="51"/>
      <c r="P242" s="51"/>
    </row>
    <row r="243" spans="2:16" x14ac:dyDescent="0.3">
      <c r="C243" s="353"/>
      <c r="D243" s="53"/>
      <c r="E243" s="148"/>
      <c r="F243" s="1312"/>
      <c r="G243" s="148"/>
      <c r="H243" s="148"/>
      <c r="I243" s="148"/>
      <c r="J243" s="148"/>
      <c r="K243" s="148"/>
      <c r="L243" s="148"/>
      <c r="M243" s="148"/>
      <c r="N243" s="51"/>
      <c r="O243" s="51"/>
      <c r="P243" s="51"/>
    </row>
    <row r="244" spans="2:16" x14ac:dyDescent="0.3">
      <c r="B244" s="327" t="s">
        <v>1287</v>
      </c>
      <c r="D244" s="353"/>
      <c r="E244" s="148"/>
      <c r="F244" s="1314"/>
      <c r="G244" s="148"/>
      <c r="H244" s="148"/>
      <c r="I244" s="148"/>
      <c r="J244" s="148"/>
      <c r="K244" s="148"/>
      <c r="L244" s="148"/>
      <c r="M244" s="148"/>
      <c r="N244" s="51"/>
      <c r="O244" s="51"/>
      <c r="P244" s="51"/>
    </row>
    <row r="245" spans="2:16" x14ac:dyDescent="0.3">
      <c r="C245" s="353" t="s">
        <v>1285</v>
      </c>
      <c r="D245" s="353"/>
      <c r="E245" s="148"/>
      <c r="F245" s="1314"/>
      <c r="G245" s="162">
        <f ca="1">G16/'Cost Input'!$F$299</f>
        <v>0.58756717541342396</v>
      </c>
      <c r="H245" s="162">
        <f ca="1">H16/'Cost Input'!$F$299</f>
        <v>0.58756717541342396</v>
      </c>
      <c r="I245" s="162">
        <f ca="1">I16/'Cost Input'!$F$299</f>
        <v>0.65019512414760305</v>
      </c>
      <c r="J245" s="162">
        <f ca="1">J16/'Cost Input'!$F$299</f>
        <v>0.7489232253146475</v>
      </c>
      <c r="K245" s="162">
        <f ca="1">K16/'Cost Input'!$F$299</f>
        <v>0.90961657107642846</v>
      </c>
      <c r="L245" s="162">
        <f ca="1">L16/'Cost Input'!$F$299</f>
        <v>1.227342997931544</v>
      </c>
      <c r="M245" s="162">
        <f ca="1">M16/'Cost Input'!$F$299</f>
        <v>2.2950558861930133</v>
      </c>
      <c r="N245" s="51"/>
      <c r="O245" s="51"/>
      <c r="P245" s="51"/>
    </row>
    <row r="246" spans="2:16" x14ac:dyDescent="0.3">
      <c r="C246" s="353" t="s">
        <v>1113</v>
      </c>
      <c r="D246" s="628"/>
      <c r="E246" s="148">
        <f>'Cost Input'!F186</f>
        <v>35000</v>
      </c>
      <c r="F246" s="1312">
        <f>'Cost Input'!G186</f>
        <v>0.7</v>
      </c>
      <c r="G246" s="148">
        <f t="shared" ref="G246:M246" ca="1" si="44">$E246*(IF($D246 = "x", 1/G$401, 1)*G245)^$F246</f>
        <v>24121.722248073507</v>
      </c>
      <c r="H246" s="148">
        <f t="shared" ca="1" si="44"/>
        <v>24121.722248073507</v>
      </c>
      <c r="I246" s="148">
        <f t="shared" ca="1" si="44"/>
        <v>25893.969982445742</v>
      </c>
      <c r="J246" s="148">
        <f t="shared" ca="1" si="44"/>
        <v>28587.366770983605</v>
      </c>
      <c r="K246" s="148">
        <f t="shared" ca="1" si="44"/>
        <v>32754.343471738575</v>
      </c>
      <c r="L246" s="148">
        <f t="shared" ca="1" si="44"/>
        <v>40396.543706818324</v>
      </c>
      <c r="M246" s="148">
        <f t="shared" ca="1" si="44"/>
        <v>62607.062901126475</v>
      </c>
      <c r="N246" s="51"/>
      <c r="O246" s="51"/>
      <c r="P246" s="51"/>
    </row>
    <row r="247" spans="2:16" x14ac:dyDescent="0.3">
      <c r="C247" s="353" t="s">
        <v>1114</v>
      </c>
      <c r="D247" s="881" t="str">
        <f>IF($E$399&gt;2, "x", "")</f>
        <v/>
      </c>
      <c r="E247" s="80">
        <f>'Cost Input'!F187</f>
        <v>11</v>
      </c>
      <c r="F247" s="1312">
        <f>'Cost Input'!G187</f>
        <v>0.9</v>
      </c>
      <c r="G247" s="161" cm="1">
        <f t="array" aca="1" ref="G247" ca="1">$E247*(IF($D247 = "x", 1/G$401, 1)*G245)^$F247*_p_days</f>
        <v>6.8162334842892065</v>
      </c>
      <c r="H247" s="161" cm="1">
        <f t="array" aca="1" ref="H247" ca="1">$E247*(IF($D247 = "x", 1/H$401, 1)*H245)^$F247*_p_days</f>
        <v>6.8162334842892065</v>
      </c>
      <c r="I247" s="161" cm="1">
        <f t="array" aca="1" ref="I247" ca="1">$E247*(IF($D247 = "x", 1/I$401, 1)*I245)^$F247*_p_days</f>
        <v>7.4667570846310891</v>
      </c>
      <c r="J247" s="161" cm="1">
        <f t="array" aca="1" ref="J247" ca="1">$E247*(IF($D247 = "x", 1/J$401, 1)*J245)^$F247*_p_days</f>
        <v>8.4798125917117932</v>
      </c>
      <c r="K247" s="161" cm="1">
        <f t="array" aca="1" ref="K247" ca="1">$E247*(IF($D247 = "x", 1/K$401, 1)*K245)^$F247*_p_days</f>
        <v>10.10101956661094</v>
      </c>
      <c r="L247" s="161" cm="1">
        <f t="array" aca="1" ref="L247" ca="1">$E247*(IF($D247 = "x", 1/L$401, 1)*L245)^$F247*_p_days</f>
        <v>13.227020891760111</v>
      </c>
      <c r="M247" s="161" cm="1">
        <f t="array" aca="1" ref="M247" ca="1">$E247*(IF($D247 = "x", 1/M$401, 1)*M245)^$F247*_p_days</f>
        <v>23.23307123373624</v>
      </c>
      <c r="N247" s="51"/>
      <c r="O247" s="51"/>
      <c r="P247" s="51"/>
    </row>
    <row r="248" spans="2:16" x14ac:dyDescent="0.3">
      <c r="C248" s="353" t="s">
        <v>1115</v>
      </c>
      <c r="D248" s="881" t="str">
        <f>IF($E$399&gt;1, "x", "")</f>
        <v/>
      </c>
      <c r="E248" s="148">
        <f>'Cost Input'!F188</f>
        <v>1600</v>
      </c>
      <c r="F248" s="1312">
        <f>'Cost Input'!G188</f>
        <v>0.95</v>
      </c>
      <c r="G248" s="148" cm="1">
        <f t="array" aca="1" ref="G248" ca="1">$E248*(IF($D248 = "x", 1/G$401, 1)*G245)^$F248*_p_days</f>
        <v>965.43854103270132</v>
      </c>
      <c r="H248" s="148" cm="1">
        <f t="array" aca="1" ref="H248" ca="1">$E248*(IF($D248 = "x", 1/H$401, 1)*H245)^$F248*_p_days</f>
        <v>965.43854103270132</v>
      </c>
      <c r="I248" s="148" cm="1">
        <f t="array" aca="1" ref="I248" ca="1">$E248*(IF($D248 = "x", 1/I$401, 1)*I245)^$F248*_p_days</f>
        <v>1062.9467431725127</v>
      </c>
      <c r="J248" s="148" cm="1">
        <f t="array" aca="1" ref="J248" ca="1">$E248*(IF($D248 = "x", 1/J$401, 1)*J245)^$F248*_p_days</f>
        <v>1215.7251934693249</v>
      </c>
      <c r="K248" s="148" cm="1">
        <f t="array" aca="1" ref="K248" ca="1">$E248*(IF($D248 = "x", 1/K$401, 1)*K245)^$F248*_p_days</f>
        <v>1462.2964580457556</v>
      </c>
      <c r="L248" s="148" cm="1">
        <f t="array" aca="1" ref="L248" ca="1">$E248*(IF($D248 = "x", 1/L$401, 1)*L245)^$F248*_p_days</f>
        <v>1943.7375939619244</v>
      </c>
      <c r="M248" s="148" cm="1">
        <f t="array" aca="1" ref="M248" ca="1">$E248*(IF($D248 = "x", 1/M$401, 1)*M245)^$F248*_p_days</f>
        <v>3522.6831720447449</v>
      </c>
    </row>
    <row r="249" spans="2:16" x14ac:dyDescent="0.3">
      <c r="C249" s="353"/>
      <c r="D249" s="53"/>
      <c r="E249" s="148"/>
      <c r="F249" s="1312"/>
      <c r="G249" s="148"/>
      <c r="H249" s="148"/>
      <c r="I249" s="148"/>
      <c r="J249" s="148"/>
      <c r="K249" s="148"/>
      <c r="L249" s="148"/>
      <c r="M249" s="148"/>
    </row>
    <row r="250" spans="2:16" ht="15.5" x14ac:dyDescent="0.35">
      <c r="B250" s="6" t="s">
        <v>1125</v>
      </c>
      <c r="C250" s="353"/>
      <c r="D250" s="353"/>
      <c r="E250" s="109"/>
      <c r="F250" s="109"/>
      <c r="G250" s="148"/>
      <c r="H250" s="148"/>
      <c r="I250" s="148"/>
      <c r="J250" s="148"/>
      <c r="K250" s="148"/>
      <c r="L250" s="148"/>
      <c r="M250" s="148"/>
      <c r="N250" s="51"/>
      <c r="O250" s="51"/>
      <c r="P250" s="51"/>
    </row>
    <row r="251" spans="2:16" ht="14" x14ac:dyDescent="0.3">
      <c r="B251" s="665" t="s">
        <v>1289</v>
      </c>
      <c r="E251" s="148"/>
      <c r="F251" s="161"/>
      <c r="G251" s="101"/>
      <c r="H251" s="101"/>
      <c r="I251" s="101"/>
      <c r="J251" s="101"/>
      <c r="K251" s="101"/>
      <c r="L251" s="101"/>
      <c r="M251" s="101"/>
      <c r="N251" s="51"/>
      <c r="O251" s="51"/>
      <c r="P251" s="51"/>
    </row>
    <row r="252" spans="2:16" x14ac:dyDescent="0.3">
      <c r="C252" s="353" t="s">
        <v>1285</v>
      </c>
      <c r="E252" s="148"/>
      <c r="F252" s="161"/>
      <c r="G252" s="162">
        <f ca="1">(G15+G16)/('Cost Input'!$F$298+'Cost Input'!$F$299)</f>
        <v>0.58732027147539878</v>
      </c>
      <c r="H252" s="162">
        <f ca="1">(H15+H16)/('Cost Input'!$F$298+'Cost Input'!$F$299)</f>
        <v>0.58732027147539878</v>
      </c>
      <c r="I252" s="162">
        <f ca="1">(I15+I16)/('Cost Input'!$F$298+'Cost Input'!$F$299)</f>
        <v>0.64999604330271998</v>
      </c>
      <c r="J252" s="162">
        <f ca="1">(J15+J16)/('Cost Input'!$F$298+'Cost Input'!$F$299)</f>
        <v>0.7487503934208537</v>
      </c>
      <c r="K252" s="162">
        <f ca="1">(K15+K16)/('Cost Input'!$F$298+'Cost Input'!$F$299)</f>
        <v>0.90969391726311588</v>
      </c>
      <c r="L252" s="162">
        <f ca="1">(L15+L16)/('Cost Input'!$F$298+'Cost Input'!$F$299)</f>
        <v>1.227898180049491</v>
      </c>
      <c r="M252" s="162">
        <f ca="1">(M15+M16)/('Cost Input'!$F$298+'Cost Input'!$F$299)</f>
        <v>2.299039035948784</v>
      </c>
      <c r="N252" s="51"/>
      <c r="O252" s="51"/>
      <c r="P252" s="51"/>
    </row>
    <row r="253" spans="2:16" x14ac:dyDescent="0.3">
      <c r="C253" s="353" t="s">
        <v>1113</v>
      </c>
      <c r="D253" s="628"/>
      <c r="E253" s="148">
        <f>'Cost Input'!F193</f>
        <v>260000</v>
      </c>
      <c r="F253" s="1311">
        <f>'Cost Input'!G193</f>
        <v>0.7</v>
      </c>
      <c r="G253" s="148">
        <f ca="1">$E253*(IF($D253 = "x", 1/G$401, 1)*G252)^$F253</f>
        <v>179137.22469619583</v>
      </c>
      <c r="H253" s="148">
        <f t="shared" ref="H253:M253" ca="1" si="45">$E253*(IF($D253 = "x", 1/H$401, 1)*H252)^$F253</f>
        <v>179137.22469619583</v>
      </c>
      <c r="I253" s="148">
        <f t="shared" ca="1" si="45"/>
        <v>192313.97611890751</v>
      </c>
      <c r="J253" s="148">
        <f t="shared" ca="1" si="45"/>
        <v>212328.98929903569</v>
      </c>
      <c r="K253" s="148">
        <f t="shared" ca="1" si="45"/>
        <v>243332.46269947829</v>
      </c>
      <c r="L253" s="148">
        <f t="shared" ca="1" si="45"/>
        <v>300183.62439521874</v>
      </c>
      <c r="M253" s="148">
        <f t="shared" ca="1" si="45"/>
        <v>465645.90679967217</v>
      </c>
      <c r="N253" s="51"/>
      <c r="O253" s="51"/>
      <c r="P253" s="51"/>
    </row>
    <row r="254" spans="2:16" x14ac:dyDescent="0.3">
      <c r="C254" s="353" t="s">
        <v>1114</v>
      </c>
      <c r="D254" s="881" t="str">
        <f>IF($E$399&gt;2, "x", "")</f>
        <v/>
      </c>
      <c r="E254" s="148">
        <f>'Cost Input'!F194</f>
        <v>30</v>
      </c>
      <c r="F254" s="1311">
        <f>'Cost Input'!G194</f>
        <v>0.9</v>
      </c>
      <c r="G254" s="161" cm="1">
        <f t="array" aca="1" ref="G254" ca="1">$E254*(IF($D254 = "x", 1/G$401, 1)*G252)^$F254*_p_days</f>
        <v>18.582697039668226</v>
      </c>
      <c r="H254" s="161" cm="1">
        <f t="array" aca="1" ref="H254" ca="1">$E254*(IF($D254 = "x", 1/H$401, 1)*H252)^$F254*_p_days</f>
        <v>18.582697039668226</v>
      </c>
      <c r="I254" s="161" cm="1">
        <f t="array" aca="1" ref="I254" ca="1">$E254*(IF($D254 = "x", 1/I$401, 1)*I252)^$F254*_p_days</f>
        <v>20.358271244229822</v>
      </c>
      <c r="J254" s="161" cm="1">
        <f t="array" aca="1" ref="J254" ca="1">$E254*(IF($D254 = "x", 1/J$401, 1)*J252)^$F254*_p_days</f>
        <v>23.121958211759321</v>
      </c>
      <c r="K254" s="161" cm="1">
        <f t="array" aca="1" ref="K254" ca="1">$E254*(IF($D254 = "x", 1/K$401, 1)*K252)^$F254*_p_days</f>
        <v>27.550343397100285</v>
      </c>
      <c r="L254" s="161" cm="1">
        <f t="array" aca="1" ref="L254" ca="1">$E254*(IF($D254 = "x", 1/L$401, 1)*L252)^$F254*_p_days</f>
        <v>36.088378979125586</v>
      </c>
      <c r="M254" s="161" cm="1">
        <f t="array" aca="1" ref="M254" ca="1">$E254*(IF($D254 = "x", 1/M$401, 1)*M252)^$F254*_p_days</f>
        <v>63.461884673279833</v>
      </c>
      <c r="N254" s="51"/>
      <c r="O254" s="51"/>
      <c r="P254" s="51"/>
    </row>
    <row r="255" spans="2:16" x14ac:dyDescent="0.3">
      <c r="C255" s="353" t="s">
        <v>1115</v>
      </c>
      <c r="D255" s="881" t="str">
        <f>IF($E$399&gt;1, "x", "")</f>
        <v/>
      </c>
      <c r="E255" s="148">
        <f>'Cost Input'!F195</f>
        <v>0</v>
      </c>
      <c r="F255" s="1311">
        <f>'Cost Input'!G195</f>
        <v>0.95</v>
      </c>
      <c r="G255" s="148" cm="1">
        <f t="array" aca="1" ref="G255" ca="1">$E255*(IF($D255 = "x", 1/G$401, 1)*G252)^$F255*_p_days</f>
        <v>0</v>
      </c>
      <c r="H255" s="148" cm="1">
        <f t="array" aca="1" ref="H255" ca="1">$E255*(IF($D255 = "x", 1/H$401, 1)*H252)^$F255*_p_days</f>
        <v>0</v>
      </c>
      <c r="I255" s="148" cm="1">
        <f t="array" aca="1" ref="I255" ca="1">$E255*(IF($D255 = "x", 1/I$401, 1)*I252)^$F255*_p_days</f>
        <v>0</v>
      </c>
      <c r="J255" s="148" cm="1">
        <f t="array" aca="1" ref="J255" ca="1">$E255*(IF($D255 = "x", 1/J$401, 1)*J252)^$F255*_p_days</f>
        <v>0</v>
      </c>
      <c r="K255" s="148" cm="1">
        <f t="array" aca="1" ref="K255" ca="1">$E255*(IF($D255 = "x", 1/K$401, 1)*K252)^$F255*_p_days</f>
        <v>0</v>
      </c>
      <c r="L255" s="148" cm="1">
        <f t="array" aca="1" ref="L255" ca="1">$E255*(IF($D255 = "x", 1/L$401, 1)*L252)^$F255*_p_days</f>
        <v>0</v>
      </c>
      <c r="M255" s="148" cm="1">
        <f t="array" aca="1" ref="M255" ca="1">$E255*(IF($D255 = "x", 1/M$401, 1)*M252)^$F255*_p_days</f>
        <v>0</v>
      </c>
      <c r="N255" s="51"/>
      <c r="O255" s="51"/>
      <c r="P255" s="51"/>
    </row>
    <row r="256" spans="2:16" x14ac:dyDescent="0.3">
      <c r="C256" s="353"/>
      <c r="D256" s="53"/>
      <c r="E256" s="148"/>
      <c r="F256" s="1311"/>
      <c r="G256" s="148"/>
      <c r="H256" s="148"/>
      <c r="I256" s="148"/>
      <c r="J256" s="148"/>
      <c r="K256" s="148"/>
      <c r="L256" s="148"/>
      <c r="M256" s="148"/>
      <c r="N256" s="51"/>
      <c r="O256" s="51"/>
      <c r="P256" s="51"/>
    </row>
    <row r="257" spans="2:16" ht="14" x14ac:dyDescent="0.3">
      <c r="B257" s="665" t="s">
        <v>1290</v>
      </c>
      <c r="C257" s="353"/>
      <c r="D257" s="353"/>
      <c r="E257" s="148"/>
      <c r="F257" s="1311"/>
      <c r="G257" s="101"/>
      <c r="H257" s="101"/>
      <c r="I257" s="101"/>
      <c r="J257" s="101"/>
      <c r="K257" s="101"/>
      <c r="L257" s="101"/>
      <c r="M257" s="101"/>
      <c r="N257" s="51"/>
      <c r="O257" s="51"/>
      <c r="P257" s="51"/>
    </row>
    <row r="258" spans="2:16" x14ac:dyDescent="0.3">
      <c r="C258" s="353" t="s">
        <v>1291</v>
      </c>
      <c r="D258" s="353"/>
      <c r="E258" s="148"/>
      <c r="F258" s="1311"/>
      <c r="G258" s="162">
        <f>G14/'Cost Input'!$F297</f>
        <v>0.99775505113494622</v>
      </c>
      <c r="H258" s="162">
        <f>H14/'Cost Input'!$F297</f>
        <v>0.99775505113494622</v>
      </c>
      <c r="I258" s="162">
        <f>I14/'Cost Input'!$F297</f>
        <v>0.99775505113494622</v>
      </c>
      <c r="J258" s="162">
        <f>J14/'Cost Input'!$F297</f>
        <v>0.99775505113494622</v>
      </c>
      <c r="K258" s="162">
        <f>K14/'Cost Input'!$F297</f>
        <v>0.99775505113494622</v>
      </c>
      <c r="L258" s="162">
        <f>L14/'Cost Input'!$F297</f>
        <v>0.99775505113494622</v>
      </c>
      <c r="M258" s="162">
        <f>M14/'Cost Input'!$F297</f>
        <v>0.99775505113494622</v>
      </c>
      <c r="N258" s="51"/>
      <c r="O258" s="51"/>
      <c r="P258" s="51"/>
    </row>
    <row r="259" spans="2:16" x14ac:dyDescent="0.3">
      <c r="C259" s="353" t="s">
        <v>1292</v>
      </c>
      <c r="D259" s="353"/>
      <c r="E259" s="161">
        <f>'Cost Input'!F199</f>
        <v>68</v>
      </c>
      <c r="F259" s="168">
        <f>'Cost Input'!G199</f>
        <v>0.95</v>
      </c>
      <c r="G259" s="168">
        <f ca="1">'Battery Design'!G35</f>
        <v>68.179107463097623</v>
      </c>
      <c r="H259" s="168">
        <f ca="1">'Battery Design'!H35</f>
        <v>68.179107463097623</v>
      </c>
      <c r="I259" s="168">
        <f ca="1">'Battery Design'!I35</f>
        <v>68.097779848719952</v>
      </c>
      <c r="J259" s="168">
        <f ca="1">'Battery Design'!J35</f>
        <v>67.997707324430706</v>
      </c>
      <c r="K259" s="168">
        <f ca="1">'Battery Design'!K35</f>
        <v>67.882072882751757</v>
      </c>
      <c r="L259" s="168">
        <f ca="1">'Battery Design'!L35</f>
        <v>67.743621748620214</v>
      </c>
      <c r="M259" s="168">
        <f ca="1">'Battery Design'!M35</f>
        <v>67.561046766653277</v>
      </c>
      <c r="N259" s="51"/>
      <c r="O259" s="51"/>
      <c r="P259" s="51"/>
    </row>
    <row r="260" spans="2:16" x14ac:dyDescent="0.3">
      <c r="C260" s="353" t="s">
        <v>1113</v>
      </c>
      <c r="D260" s="628"/>
      <c r="E260" s="148">
        <f>'Cost Input'!F200</f>
        <v>700000</v>
      </c>
      <c r="F260" s="1311">
        <f>'Cost Input'!G200</f>
        <v>0.9</v>
      </c>
      <c r="G260" s="148">
        <f ca="1">$E260*(IF($D260 = "x", 1/G$401, 1)*(G259/$E259))^$F259*(G258)^$F260</f>
        <v>700333.4346084313</v>
      </c>
      <c r="H260" s="148">
        <f t="shared" ref="H260:N260" ca="1" si="46">$E260*(IF($D260 = "x", 1/H$401, 1)*(H259/$E259))^$F259*(H258)^$F260</f>
        <v>700333.4346084313</v>
      </c>
      <c r="I260" s="148">
        <f t="shared" ca="1" si="46"/>
        <v>699539.78621073358</v>
      </c>
      <c r="J260" s="148">
        <f t="shared" ca="1" si="46"/>
        <v>698563.14759905834</v>
      </c>
      <c r="K260" s="148">
        <f t="shared" ca="1" si="46"/>
        <v>697434.54592956707</v>
      </c>
      <c r="L260" s="148">
        <f t="shared" ca="1" si="46"/>
        <v>696083.12499433069</v>
      </c>
      <c r="M260" s="148">
        <f t="shared" ca="1" si="46"/>
        <v>694300.80017894087</v>
      </c>
      <c r="N260" s="148">
        <f t="shared" si="46"/>
        <v>0</v>
      </c>
      <c r="O260" s="51"/>
      <c r="P260" s="51"/>
    </row>
    <row r="261" spans="2:16" x14ac:dyDescent="0.3">
      <c r="C261" s="353" t="s">
        <v>1114</v>
      </c>
      <c r="D261" s="881" t="str">
        <f>IF($E$399&gt;2, "x", "")</f>
        <v/>
      </c>
      <c r="E261" s="161">
        <f>'Cost Input'!F201</f>
        <v>170</v>
      </c>
      <c r="F261" s="1311">
        <f>'Cost Input'!G201</f>
        <v>0.9</v>
      </c>
      <c r="G261" s="161" cm="1">
        <f t="array" aca="1" ref="G261" ca="1">$E261*(IF($D261="x",1/G$401,1)*(G259/$E259))^$F259*_p_days*(G258^$F261)</f>
        <v>170.08097697633329</v>
      </c>
      <c r="H261" s="161" cm="1">
        <f t="array" aca="1" ref="H261" ca="1">$E261*(IF($D261="x",1/H$401,1)*(H259/$E259))^$F259*_p_days*(H258^$F261)</f>
        <v>170.08097697633329</v>
      </c>
      <c r="I261" s="161" cm="1">
        <f t="array" aca="1" ref="I261" ca="1">$E261*(IF($D261="x",1/I$401,1)*(I259/$E259))^$F259*_p_days*(I258^$F261)</f>
        <v>169.88823379403527</v>
      </c>
      <c r="J261" s="161" cm="1">
        <f t="array" aca="1" ref="J261" ca="1">$E261*(IF($D261="x",1/J$401,1)*(J259/$E259))^$F259*_p_days*(J258^$F261)</f>
        <v>169.65105013119987</v>
      </c>
      <c r="K261" s="161" cm="1">
        <f t="array" aca="1" ref="K261" ca="1">$E261*(IF($D261="x",1/K$401,1)*(K259/$E259))^$F259*_p_days*(K258^$F261)</f>
        <v>169.37696115432342</v>
      </c>
      <c r="L261" s="161" cm="1">
        <f t="array" aca="1" ref="L261" ca="1">$E261*(IF($D261="x",1/L$401,1)*(L259/$E259))^$F259*_p_days*(L258^$F261)</f>
        <v>169.0487589271946</v>
      </c>
      <c r="M261" s="161" cm="1">
        <f t="array" aca="1" ref="M261" ca="1">$E261*(IF($D261="x",1/M$401,1)*(M259/$E259))^$F259*_p_days*(M258^$F261)</f>
        <v>168.61590861488563</v>
      </c>
      <c r="N261" s="161" cm="1">
        <f t="array" ref="N261">$E261*(IF($D261="x",1/N$401,1)*(N259/$E259))^$F259*_p_days*(N258^$F261)</f>
        <v>0</v>
      </c>
      <c r="O261" s="51"/>
      <c r="P261" s="51"/>
    </row>
    <row r="262" spans="2:16" x14ac:dyDescent="0.3">
      <c r="C262" s="353" t="s">
        <v>1115</v>
      </c>
      <c r="D262" s="881" t="str">
        <f>IF($E$399&gt;1, "x", "")</f>
        <v/>
      </c>
      <c r="E262" s="161">
        <f>'Cost Input'!F202</f>
        <v>0</v>
      </c>
      <c r="F262" s="1311">
        <f>'Cost Input'!G202</f>
        <v>0.95</v>
      </c>
      <c r="G262" s="148" cm="1">
        <f t="array" aca="1" ref="G262" ca="1">$E262*(IF($D262 = "x", 1/G$401, 1)*G259)^$F262*_p_days</f>
        <v>0</v>
      </c>
      <c r="H262" s="148" cm="1">
        <f t="array" aca="1" ref="H262" ca="1">$E262*(IF($D262 = "x", 1/H$401, 1)*H259)^$F262*_p_days</f>
        <v>0</v>
      </c>
      <c r="I262" s="148" cm="1">
        <f t="array" aca="1" ref="I262" ca="1">$E262*(IF($D262 = "x", 1/I$401, 1)*I259)^$F262*_p_days</f>
        <v>0</v>
      </c>
      <c r="J262" s="148" cm="1">
        <f t="array" aca="1" ref="J262" ca="1">$E262*(IF($D262 = "x", 1/J$401, 1)*J259)^$F262*_p_days</f>
        <v>0</v>
      </c>
      <c r="K262" s="148" cm="1">
        <f t="array" aca="1" ref="K262" ca="1">$E262*(IF($D262 = "x", 1/K$401, 1)*K259)^$F262*_p_days</f>
        <v>0</v>
      </c>
      <c r="L262" s="148" cm="1">
        <f t="array" aca="1" ref="L262" ca="1">$E262*(IF($D262 = "x", 1/L$401, 1)*L259)^$F262*_p_days</f>
        <v>0</v>
      </c>
      <c r="M262" s="148" cm="1">
        <f t="array" aca="1" ref="M262" ca="1">$E262*(IF($D262 = "x", 1/M$401, 1)*M259)^$F262*_p_days</f>
        <v>0</v>
      </c>
      <c r="N262" s="51"/>
      <c r="O262" s="51"/>
      <c r="P262" s="51"/>
    </row>
    <row r="263" spans="2:16" x14ac:dyDescent="0.3">
      <c r="C263" s="353"/>
      <c r="D263" s="53"/>
      <c r="E263" s="148"/>
      <c r="F263" s="1286"/>
      <c r="G263" s="148"/>
      <c r="H263" s="148"/>
      <c r="I263" s="148"/>
      <c r="J263" s="148"/>
      <c r="K263" s="148"/>
      <c r="L263" s="148"/>
      <c r="M263" s="148"/>
      <c r="N263" s="51"/>
      <c r="O263" s="51"/>
      <c r="P263" s="51"/>
    </row>
    <row r="264" spans="2:16" ht="14" x14ac:dyDescent="0.3">
      <c r="B264" s="665" t="s">
        <v>1293</v>
      </c>
      <c r="C264" s="353"/>
      <c r="D264" s="353"/>
      <c r="E264" s="148"/>
      <c r="F264" s="1286"/>
      <c r="G264" s="101"/>
      <c r="H264" s="101"/>
      <c r="I264" s="101"/>
      <c r="J264" s="101"/>
      <c r="K264" s="101"/>
      <c r="L264" s="101"/>
      <c r="M264" s="101"/>
      <c r="N264" s="51"/>
      <c r="O264" s="51"/>
      <c r="P264" s="51"/>
    </row>
    <row r="265" spans="2:16" x14ac:dyDescent="0.3">
      <c r="C265" s="353" t="s">
        <v>1291</v>
      </c>
      <c r="D265" s="353"/>
      <c r="E265" s="148"/>
      <c r="F265" s="1286"/>
      <c r="G265" s="162">
        <f>G14/'Cost Input'!$F297</f>
        <v>0.99775505113494622</v>
      </c>
      <c r="H265" s="162">
        <f>H14/'Cost Input'!$F297</f>
        <v>0.99775505113494622</v>
      </c>
      <c r="I265" s="162">
        <f>I14/'Cost Input'!$F297</f>
        <v>0.99775505113494622</v>
      </c>
      <c r="J265" s="162">
        <f>J14/'Cost Input'!$F297</f>
        <v>0.99775505113494622</v>
      </c>
      <c r="K265" s="162">
        <f>K14/'Cost Input'!$F297</f>
        <v>0.99775505113494622</v>
      </c>
      <c r="L265" s="162">
        <f>L14/'Cost Input'!$F297</f>
        <v>0.99775505113494622</v>
      </c>
      <c r="M265" s="162">
        <f>M14/'Cost Input'!$F297</f>
        <v>0.99775505113494622</v>
      </c>
      <c r="N265" s="51"/>
      <c r="O265" s="51"/>
      <c r="P265" s="51"/>
    </row>
    <row r="266" spans="2:16" x14ac:dyDescent="0.3">
      <c r="C266" s="353" t="s">
        <v>1113</v>
      </c>
      <c r="D266" s="628"/>
      <c r="E266" s="148">
        <f>'Cost Input'!F206</f>
        <v>190000</v>
      </c>
      <c r="F266" s="1315">
        <f>'Cost Input'!G206</f>
        <v>0.9</v>
      </c>
      <c r="G266" s="148">
        <f t="shared" ref="G266:M266" si="47">$E266*(IF($D266 = "x", 1/G$401, 1)*G265)^$F266</f>
        <v>189616.07061831356</v>
      </c>
      <c r="H266" s="148">
        <f t="shared" si="47"/>
        <v>189616.07061831356</v>
      </c>
      <c r="I266" s="148">
        <f t="shared" si="47"/>
        <v>189616.07061831356</v>
      </c>
      <c r="J266" s="148">
        <f t="shared" si="47"/>
        <v>189616.07061831356</v>
      </c>
      <c r="K266" s="148">
        <f t="shared" si="47"/>
        <v>189616.07061831356</v>
      </c>
      <c r="L266" s="148">
        <f t="shared" si="47"/>
        <v>189616.07061831356</v>
      </c>
      <c r="M266" s="148">
        <f t="shared" si="47"/>
        <v>189616.07061831356</v>
      </c>
      <c r="N266" s="51"/>
      <c r="O266" s="51"/>
      <c r="P266" s="51"/>
    </row>
    <row r="267" spans="2:16" x14ac:dyDescent="0.3">
      <c r="C267" s="353" t="s">
        <v>1114</v>
      </c>
      <c r="D267" s="881" t="str">
        <f>IF($E$399&gt;2, "x", "")</f>
        <v/>
      </c>
      <c r="E267" s="148">
        <f>'Cost Input'!F207</f>
        <v>190</v>
      </c>
      <c r="F267" s="1315">
        <f>'Cost Input'!G207</f>
        <v>0.9</v>
      </c>
      <c r="G267" s="161" cm="1">
        <f t="array" ref="G267">$E267*(IF($D267 = "x", 1/G$401, 1)*G265)^$F267*_p_days</f>
        <v>189.61607061831356</v>
      </c>
      <c r="H267" s="161" cm="1">
        <f t="array" ref="H267">$E267*(IF($D267 = "x", 1/H$401, 1)*H265)^$F267*_p_days</f>
        <v>189.61607061831356</v>
      </c>
      <c r="I267" s="161" cm="1">
        <f t="array" ref="I267">$E267*(IF($D267 = "x", 1/I$401, 1)*I265)^$F267*_p_days</f>
        <v>189.61607061831356</v>
      </c>
      <c r="J267" s="161" cm="1">
        <f t="array" ref="J267">$E267*(IF($D267 = "x", 1/J$401, 1)*J265)^$F267*_p_days</f>
        <v>189.61607061831356</v>
      </c>
      <c r="K267" s="161" cm="1">
        <f t="array" ref="K267">$E267*(IF($D267 = "x", 1/K$401, 1)*K265)^$F267*_p_days</f>
        <v>189.61607061831356</v>
      </c>
      <c r="L267" s="161" cm="1">
        <f t="array" ref="L267">$E267*(IF($D267 = "x", 1/L$401, 1)*L265)^$F267*_p_days</f>
        <v>189.61607061831356</v>
      </c>
      <c r="M267" s="161" cm="1">
        <f t="array" ref="M267">$E267*(IF($D267 = "x", 1/M$401, 1)*M265)^$F267*_p_days</f>
        <v>189.61607061831356</v>
      </c>
      <c r="N267" s="51"/>
      <c r="O267" s="51"/>
      <c r="P267" s="51"/>
    </row>
    <row r="268" spans="2:16" x14ac:dyDescent="0.3">
      <c r="C268" s="353" t="s">
        <v>1294</v>
      </c>
      <c r="D268" s="881" t="str">
        <f>IF($E$399&gt;1, "x", "")</f>
        <v/>
      </c>
      <c r="E268" s="148">
        <f>'Cost Input'!F208</f>
        <v>0</v>
      </c>
      <c r="F268" s="1315">
        <f>'Cost Input'!G208</f>
        <v>0.95</v>
      </c>
      <c r="G268" s="148" cm="1">
        <f t="array" ref="G268">$E268*(IF($D268 = "x", 1/G$401, 1)*G265)^$F268*_p_days</f>
        <v>0</v>
      </c>
      <c r="H268" s="148" cm="1">
        <f t="array" ref="H268">$E268*(IF($D268 = "x", 1/H$401, 1)*H265)^$F268*_p_days</f>
        <v>0</v>
      </c>
      <c r="I268" s="148" cm="1">
        <f t="array" ref="I268">$E268*(IF($D268 = "x", 1/I$401, 1)*I265)^$F268*_p_days</f>
        <v>0</v>
      </c>
      <c r="J268" s="148" cm="1">
        <f t="array" ref="J268">$E268*(IF($D268 = "x", 1/J$401, 1)*J265)^$F268*_p_days</f>
        <v>0</v>
      </c>
      <c r="K268" s="148" cm="1">
        <f t="array" ref="K268">$E268*(IF($D268 = "x", 1/K$401, 1)*K265)^$F268*_p_days</f>
        <v>0</v>
      </c>
      <c r="L268" s="148" cm="1">
        <f t="array" ref="L268">$E268*(IF($D268 = "x", 1/L$401, 1)*L265)^$F268*_p_days</f>
        <v>0</v>
      </c>
      <c r="M268" s="148" cm="1">
        <f t="array" ref="M268">$E268*(IF($D268 = "x", 1/M$401, 1)*M265)^$F268*_p_days</f>
        <v>0</v>
      </c>
      <c r="N268" s="51"/>
      <c r="O268" s="51"/>
      <c r="P268" s="51"/>
    </row>
    <row r="269" spans="2:16" x14ac:dyDescent="0.3">
      <c r="C269" s="353"/>
      <c r="E269" s="148"/>
      <c r="F269" s="1315"/>
      <c r="G269" s="148"/>
      <c r="H269" s="148"/>
      <c r="I269" s="148"/>
      <c r="J269" s="148"/>
      <c r="K269" s="148"/>
      <c r="L269" s="148"/>
      <c r="M269" s="148"/>
      <c r="N269" s="51"/>
      <c r="O269" s="51"/>
      <c r="P269" s="51"/>
    </row>
    <row r="270" spans="2:16" ht="14" x14ac:dyDescent="0.3">
      <c r="B270" s="665" t="s">
        <v>1295</v>
      </c>
      <c r="E270" s="80"/>
      <c r="F270" s="1316"/>
      <c r="G270" s="30"/>
      <c r="H270" s="30"/>
      <c r="I270" s="30"/>
      <c r="J270" s="30"/>
      <c r="K270" s="30"/>
      <c r="L270" s="30"/>
      <c r="M270" s="30"/>
      <c r="N270" s="51"/>
      <c r="O270" s="51"/>
      <c r="P270" s="51"/>
    </row>
    <row r="271" spans="2:16" x14ac:dyDescent="0.3">
      <c r="C271" s="353" t="s">
        <v>1291</v>
      </c>
      <c r="E271" s="80"/>
      <c r="F271" s="1316"/>
      <c r="G271" s="1012">
        <f>G14/'Cost Input'!$F297</f>
        <v>0.99775505113494622</v>
      </c>
      <c r="H271" s="1012">
        <f>H14/'Cost Input'!$F297</f>
        <v>0.99775505113494622</v>
      </c>
      <c r="I271" s="1012">
        <f>I14/'Cost Input'!$F297</f>
        <v>0.99775505113494622</v>
      </c>
      <c r="J271" s="1012">
        <f>J14/'Cost Input'!$F297</f>
        <v>0.99775505113494622</v>
      </c>
      <c r="K271" s="1012">
        <f>K14/'Cost Input'!$F297</f>
        <v>0.99775505113494622</v>
      </c>
      <c r="L271" s="1012">
        <f>L14/'Cost Input'!$F297</f>
        <v>0.99775505113494622</v>
      </c>
      <c r="M271" s="1012">
        <f>M14/'Cost Input'!$F297</f>
        <v>0.99775505113494622</v>
      </c>
      <c r="N271" s="51"/>
      <c r="O271" s="51"/>
      <c r="P271" s="51"/>
    </row>
    <row r="272" spans="2:16" x14ac:dyDescent="0.3">
      <c r="C272" t="s">
        <v>1113</v>
      </c>
      <c r="D272" s="628"/>
      <c r="E272" s="80">
        <f>'Cost Input'!F212</f>
        <v>190000</v>
      </c>
      <c r="F272" s="1316">
        <f>'Cost Input'!G212</f>
        <v>0.9</v>
      </c>
      <c r="G272" s="80">
        <f t="shared" ref="G272:M272" si="48">$E272*(IF($D272 = "x", 1/G$401, 1)*G271)^$F272</f>
        <v>189616.07061831356</v>
      </c>
      <c r="H272" s="80">
        <f t="shared" si="48"/>
        <v>189616.07061831356</v>
      </c>
      <c r="I272" s="80">
        <f t="shared" si="48"/>
        <v>189616.07061831356</v>
      </c>
      <c r="J272" s="80">
        <f t="shared" si="48"/>
        <v>189616.07061831356</v>
      </c>
      <c r="K272" s="80">
        <f t="shared" si="48"/>
        <v>189616.07061831356</v>
      </c>
      <c r="L272" s="80">
        <f t="shared" si="48"/>
        <v>189616.07061831356</v>
      </c>
      <c r="M272" s="80">
        <f t="shared" si="48"/>
        <v>189616.07061831356</v>
      </c>
      <c r="N272" s="51"/>
      <c r="O272" s="51"/>
      <c r="P272" s="51"/>
    </row>
    <row r="273" spans="2:16" x14ac:dyDescent="0.3">
      <c r="C273" t="s">
        <v>1114</v>
      </c>
      <c r="D273" s="628" t="str">
        <f>IF($E$399&gt;2, "x", "")</f>
        <v/>
      </c>
      <c r="E273" s="80">
        <f>'Cost Input'!F213</f>
        <v>14</v>
      </c>
      <c r="F273" s="1316">
        <f>'Cost Input'!G213</f>
        <v>0.9</v>
      </c>
      <c r="G273" s="1013" cm="1">
        <f t="array" ref="G273">$E273*(IF($D273 = "x", 1/G$401, 1)*G271)^$F273*_p_days</f>
        <v>13.971710466612578</v>
      </c>
      <c r="H273" s="1013" cm="1">
        <f t="array" ref="H273">$E273*(IF($D273 = "x", 1/H$401, 1)*H271)^$F273*_p_days</f>
        <v>13.971710466612578</v>
      </c>
      <c r="I273" s="1013" cm="1">
        <f t="array" ref="I273">$E273*(IF($D273 = "x", 1/I$401, 1)*I271)^$F273*_p_days</f>
        <v>13.971710466612578</v>
      </c>
      <c r="J273" s="1013" cm="1">
        <f t="array" ref="J273">$E273*(IF($D273 = "x", 1/J$401, 1)*J271)^$F273*_p_days</f>
        <v>13.971710466612578</v>
      </c>
      <c r="K273" s="1013" cm="1">
        <f t="array" ref="K273">$E273*(IF($D273 = "x", 1/K$401, 1)*K271)^$F273*_p_days</f>
        <v>13.971710466612578</v>
      </c>
      <c r="L273" s="1013" cm="1">
        <f t="array" ref="L273">$E273*(IF($D273 = "x", 1/L$401, 1)*L271)^$F273*_p_days</f>
        <v>13.971710466612578</v>
      </c>
      <c r="M273" s="1013" cm="1">
        <f t="array" ref="M273">$E273*(IF($D273 = "x", 1/M$401, 1)*M271)^$F273*_p_days</f>
        <v>13.971710466612578</v>
      </c>
      <c r="N273" s="51"/>
      <c r="O273" s="51"/>
      <c r="P273" s="51"/>
    </row>
    <row r="274" spans="2:16" x14ac:dyDescent="0.3">
      <c r="C274" s="353" t="s">
        <v>1115</v>
      </c>
      <c r="D274" s="628" t="str">
        <f>IF($E$399&gt;1, "x", "")</f>
        <v/>
      </c>
      <c r="E274" s="80">
        <f>'Cost Input'!F214</f>
        <v>0</v>
      </c>
      <c r="F274" s="1316">
        <f>'Cost Input'!G214</f>
        <v>0.95</v>
      </c>
      <c r="G274" s="80" cm="1">
        <f t="array" ref="G274">$E274*(IF($D274 = "x", 1/G$401, 1)*G271)^$F274*_p_days</f>
        <v>0</v>
      </c>
      <c r="H274" s="80" cm="1">
        <f t="array" ref="H274">$E274*(IF($D274 = "x", 1/H$401, 1)*H271)^$F274*_p_days</f>
        <v>0</v>
      </c>
      <c r="I274" s="80" cm="1">
        <f t="array" ref="I274">$E274*(IF($D274 = "x", 1/I$401, 1)*I271)^$F274*_p_days</f>
        <v>0</v>
      </c>
      <c r="J274" s="80" cm="1">
        <f t="array" ref="J274">$E274*(IF($D274 = "x", 1/J$401, 1)*J271)^$F274*_p_days</f>
        <v>0</v>
      </c>
      <c r="K274" s="80" cm="1">
        <f t="array" ref="K274">$E274*(IF($D274 = "x", 1/K$401, 1)*K271)^$F274*_p_days</f>
        <v>0</v>
      </c>
      <c r="L274" s="80" cm="1">
        <f t="array" ref="L274">$E274*(IF($D274 = "x", 1/L$401, 1)*L271)^$F274*_p_days</f>
        <v>0</v>
      </c>
      <c r="M274" s="80" cm="1">
        <f t="array" ref="M274">$E274*(IF($D274 = "x", 1/M$401, 1)*M271)^$F274*_p_days</f>
        <v>0</v>
      </c>
      <c r="N274" s="51"/>
      <c r="O274" s="51"/>
      <c r="P274" s="51"/>
    </row>
    <row r="275" spans="2:16" x14ac:dyDescent="0.3">
      <c r="C275" s="353"/>
      <c r="D275" s="53"/>
      <c r="E275" s="148"/>
      <c r="F275" s="1315"/>
      <c r="G275" s="148"/>
      <c r="H275" s="148"/>
      <c r="I275" s="148"/>
      <c r="J275" s="148"/>
      <c r="K275" s="148"/>
      <c r="L275" s="148"/>
      <c r="M275" s="148"/>
      <c r="N275" s="51"/>
      <c r="O275" s="51"/>
      <c r="P275" s="51"/>
    </row>
    <row r="276" spans="2:16" ht="14" x14ac:dyDescent="0.3">
      <c r="B276" s="665" t="s">
        <v>1296</v>
      </c>
      <c r="C276" s="353"/>
      <c r="D276" s="353"/>
      <c r="E276" s="148"/>
      <c r="F276" s="1315"/>
      <c r="G276" s="101"/>
      <c r="H276" s="101"/>
      <c r="I276" s="101"/>
      <c r="J276" s="101"/>
      <c r="K276" s="101"/>
      <c r="L276" s="101"/>
      <c r="M276" s="101"/>
      <c r="N276" s="51"/>
      <c r="O276" s="51"/>
      <c r="P276" s="51"/>
    </row>
    <row r="277" spans="2:16" x14ac:dyDescent="0.3">
      <c r="C277" s="353" t="s">
        <v>1291</v>
      </c>
      <c r="D277" s="353"/>
      <c r="E277" s="148"/>
      <c r="F277" s="1315"/>
      <c r="G277" s="162">
        <f>G14/'Cost Input'!$F297</f>
        <v>0.99775505113494622</v>
      </c>
      <c r="H277" s="162">
        <f>H14/'Cost Input'!$F297</f>
        <v>0.99775505113494622</v>
      </c>
      <c r="I277" s="162">
        <f>I14/'Cost Input'!$F297</f>
        <v>0.99775505113494622</v>
      </c>
      <c r="J277" s="162">
        <f>J14/'Cost Input'!$F297</f>
        <v>0.99775505113494622</v>
      </c>
      <c r="K277" s="162">
        <f>K14/'Cost Input'!$F297</f>
        <v>0.99775505113494622</v>
      </c>
      <c r="L277" s="162">
        <f>L14/'Cost Input'!$F297</f>
        <v>0.99775505113494622</v>
      </c>
      <c r="M277" s="162">
        <f>M14/'Cost Input'!$F297</f>
        <v>0.99775505113494622</v>
      </c>
      <c r="N277" s="51"/>
      <c r="O277" s="51"/>
      <c r="P277" s="51"/>
    </row>
    <row r="278" spans="2:16" x14ac:dyDescent="0.3">
      <c r="C278" s="353" t="s">
        <v>1113</v>
      </c>
      <c r="D278" s="628"/>
      <c r="E278" s="148">
        <f>'Cost Input'!F218</f>
        <v>49000</v>
      </c>
      <c r="F278" s="1315">
        <f>'Cost Input'!G218</f>
        <v>0.9</v>
      </c>
      <c r="G278" s="148">
        <f t="shared" ref="G278:M278" si="49">$E278*(IF($D278 = "x", 1/G$401, 1)*G277)^$F278</f>
        <v>48900.986633144021</v>
      </c>
      <c r="H278" s="148">
        <f t="shared" si="49"/>
        <v>48900.986633144021</v>
      </c>
      <c r="I278" s="148">
        <f t="shared" si="49"/>
        <v>48900.986633144021</v>
      </c>
      <c r="J278" s="148">
        <f t="shared" si="49"/>
        <v>48900.986633144021</v>
      </c>
      <c r="K278" s="148">
        <f t="shared" si="49"/>
        <v>48900.986633144021</v>
      </c>
      <c r="L278" s="148">
        <f t="shared" si="49"/>
        <v>48900.986633144021</v>
      </c>
      <c r="M278" s="148">
        <f t="shared" si="49"/>
        <v>48900.986633144021</v>
      </c>
      <c r="N278" s="51"/>
      <c r="O278" s="51"/>
      <c r="P278" s="51"/>
    </row>
    <row r="279" spans="2:16" x14ac:dyDescent="0.3">
      <c r="C279" s="353" t="s">
        <v>1114</v>
      </c>
      <c r="D279" s="881" t="str">
        <f>IF($E$399&gt;2, "x", "")</f>
        <v/>
      </c>
      <c r="E279" s="148">
        <f>'Cost Input'!F219</f>
        <v>11</v>
      </c>
      <c r="F279" s="1315">
        <f>'Cost Input'!G219</f>
        <v>0.9</v>
      </c>
      <c r="G279" s="161" cm="1">
        <f t="array" ref="G279">$E279*(IF($D279 = "x", 1/G$401, 1)*G277)^$F279*_p_days</f>
        <v>10.977772509481312</v>
      </c>
      <c r="H279" s="161" cm="1">
        <f t="array" ref="H279">$E279*(IF($D279 = "x", 1/H$401, 1)*H277)^$F279*_p_days</f>
        <v>10.977772509481312</v>
      </c>
      <c r="I279" s="161" cm="1">
        <f t="array" ref="I279">$E279*(IF($D279 = "x", 1/I$401, 1)*I277)^$F279*_p_days</f>
        <v>10.977772509481312</v>
      </c>
      <c r="J279" s="161" cm="1">
        <f t="array" ref="J279">$E279*(IF($D279 = "x", 1/J$401, 1)*J277)^$F279*_p_days</f>
        <v>10.977772509481312</v>
      </c>
      <c r="K279" s="161" cm="1">
        <f t="array" ref="K279">$E279*(IF($D279 = "x", 1/K$401, 1)*K277)^$F279*_p_days</f>
        <v>10.977772509481312</v>
      </c>
      <c r="L279" s="161" cm="1">
        <f t="array" ref="L279">$E279*(IF($D279 = "x", 1/L$401, 1)*L277)^$F279*_p_days</f>
        <v>10.977772509481312</v>
      </c>
      <c r="M279" s="161" cm="1">
        <f t="array" ref="M279">$E279*(IF($D279 = "x", 1/M$401, 1)*M277)^$F279*_p_days</f>
        <v>10.977772509481312</v>
      </c>
      <c r="N279" s="51"/>
      <c r="O279" s="51"/>
      <c r="P279" s="51"/>
    </row>
    <row r="280" spans="2:16" x14ac:dyDescent="0.3">
      <c r="C280" s="353" t="s">
        <v>1115</v>
      </c>
      <c r="D280" s="881" t="str">
        <f>IF($E$399&gt;1, "x", "")</f>
        <v/>
      </c>
      <c r="E280" s="148">
        <f>'Cost Input'!F220</f>
        <v>0</v>
      </c>
      <c r="F280" s="1315">
        <f>'Cost Input'!G220</f>
        <v>0.95</v>
      </c>
      <c r="G280" s="148" cm="1">
        <f t="array" ref="G280">$E280*(IF($D280 = "x", 1/G$401, 1)*G277)^$F280*_p_days</f>
        <v>0</v>
      </c>
      <c r="H280" s="148" cm="1">
        <f t="array" ref="H280">$E280*(IF($D280 = "x", 1/H$401, 1)*H277)^$F280*_p_days</f>
        <v>0</v>
      </c>
      <c r="I280" s="148" cm="1">
        <f t="array" ref="I280">$E280*(IF($D280 = "x", 1/I$401, 1)*I277)^$F280*_p_days</f>
        <v>0</v>
      </c>
      <c r="J280" s="148" cm="1">
        <f t="array" ref="J280">$E280*(IF($D280 = "x", 1/J$401, 1)*J277)^$F280*_p_days</f>
        <v>0</v>
      </c>
      <c r="K280" s="148" cm="1">
        <f t="array" ref="K280">$E280*(IF($D280 = "x", 1/K$401, 1)*K277)^$F280*_p_days</f>
        <v>0</v>
      </c>
      <c r="L280" s="148" cm="1">
        <f t="array" ref="L280">$E280*(IF($D280 = "x", 1/L$401, 1)*L277)^$F280*_p_days</f>
        <v>0</v>
      </c>
      <c r="M280" s="148" cm="1">
        <f t="array" ref="M280">$E280*(IF($D280 = "x", 1/M$401, 1)*M277)^$F280*_p_days</f>
        <v>0</v>
      </c>
      <c r="N280" s="51"/>
      <c r="O280" s="51"/>
      <c r="P280" s="51"/>
    </row>
    <row r="281" spans="2:16" x14ac:dyDescent="0.3">
      <c r="C281" s="353"/>
      <c r="D281" s="53"/>
      <c r="E281" s="148"/>
      <c r="F281" s="1315"/>
      <c r="G281" s="148"/>
      <c r="H281" s="148"/>
      <c r="I281" s="148"/>
      <c r="J281" s="148"/>
      <c r="K281" s="148"/>
      <c r="L281" s="148"/>
      <c r="M281" s="148"/>
      <c r="N281" s="51"/>
      <c r="O281" s="51"/>
      <c r="P281" s="51"/>
    </row>
    <row r="282" spans="2:16" ht="14" x14ac:dyDescent="0.3">
      <c r="B282" s="665" t="s">
        <v>1297</v>
      </c>
      <c r="C282" s="353"/>
      <c r="D282" s="353"/>
      <c r="E282" s="148"/>
      <c r="F282" s="1315"/>
      <c r="G282" s="101"/>
      <c r="H282" s="101"/>
      <c r="I282" s="101"/>
      <c r="J282" s="101"/>
      <c r="K282" s="101"/>
      <c r="L282" s="101"/>
      <c r="M282" s="101"/>
      <c r="N282" s="51"/>
      <c r="O282" s="51"/>
      <c r="P282" s="51"/>
    </row>
    <row r="283" spans="2:16" x14ac:dyDescent="0.3">
      <c r="C283" s="353" t="s">
        <v>1291</v>
      </c>
      <c r="D283" s="353"/>
      <c r="E283" s="148"/>
      <c r="F283" s="1315"/>
      <c r="G283" s="162">
        <f>G14/'Cost Input'!$F297</f>
        <v>0.99775505113494622</v>
      </c>
      <c r="H283" s="162">
        <f>H14/'Cost Input'!$F297</f>
        <v>0.99775505113494622</v>
      </c>
      <c r="I283" s="162">
        <f>I14/'Cost Input'!$F297</f>
        <v>0.99775505113494622</v>
      </c>
      <c r="J283" s="162">
        <f>J14/'Cost Input'!$F297</f>
        <v>0.99775505113494622</v>
      </c>
      <c r="K283" s="162">
        <f>K14/'Cost Input'!$F297</f>
        <v>0.99775505113494622</v>
      </c>
      <c r="L283" s="162">
        <f>L14/'Cost Input'!$F297</f>
        <v>0.99775505113494622</v>
      </c>
      <c r="M283" s="162">
        <f>M14/'Cost Input'!$F297</f>
        <v>0.99775505113494622</v>
      </c>
      <c r="N283" s="51"/>
      <c r="O283" s="51"/>
      <c r="P283" s="51"/>
    </row>
    <row r="284" spans="2:16" x14ac:dyDescent="0.3">
      <c r="C284" s="353" t="s">
        <v>1113</v>
      </c>
      <c r="D284" s="628"/>
      <c r="E284" s="148">
        <f>'Cost Input'!F224</f>
        <v>132000</v>
      </c>
      <c r="F284" s="1315">
        <f>'Cost Input'!G224</f>
        <v>0.9</v>
      </c>
      <c r="G284" s="148">
        <f t="shared" ref="G284:M284" si="50">$E284*(IF($D284 = "x", 1/G$401, 1)*G283)^$F284</f>
        <v>131733.27011377574</v>
      </c>
      <c r="H284" s="148">
        <f t="shared" si="50"/>
        <v>131733.27011377574</v>
      </c>
      <c r="I284" s="148">
        <f t="shared" si="50"/>
        <v>131733.27011377574</v>
      </c>
      <c r="J284" s="148">
        <f t="shared" si="50"/>
        <v>131733.27011377574</v>
      </c>
      <c r="K284" s="148">
        <f t="shared" si="50"/>
        <v>131733.27011377574</v>
      </c>
      <c r="L284" s="148">
        <f t="shared" si="50"/>
        <v>131733.27011377574</v>
      </c>
      <c r="M284" s="148">
        <f t="shared" si="50"/>
        <v>131733.27011377574</v>
      </c>
      <c r="N284" s="51"/>
      <c r="O284" s="51"/>
      <c r="P284" s="51"/>
    </row>
    <row r="285" spans="2:16" x14ac:dyDescent="0.3">
      <c r="C285" s="353" t="s">
        <v>1114</v>
      </c>
      <c r="D285" s="881" t="str">
        <f>IF($E$399&gt;2, "x", "")</f>
        <v/>
      </c>
      <c r="E285" s="148">
        <f>'Cost Input'!F225</f>
        <v>25</v>
      </c>
      <c r="F285" s="1315">
        <f>'Cost Input'!G225</f>
        <v>0.9</v>
      </c>
      <c r="G285" s="161" cm="1">
        <f t="array" ref="G285">$E285*(IF($D285 = "x", 1/G$401, 1)*G283)^$F285*_p_days</f>
        <v>24.94948297609389</v>
      </c>
      <c r="H285" s="161" cm="1">
        <f t="array" ref="H285">$E285*(IF($D285 = "x", 1/H$401, 1)*H283)^$F285*_p_days</f>
        <v>24.94948297609389</v>
      </c>
      <c r="I285" s="161" cm="1">
        <f t="array" ref="I285">$E285*(IF($D285 = "x", 1/I$401, 1)*I283)^$F285*_p_days</f>
        <v>24.94948297609389</v>
      </c>
      <c r="J285" s="161" cm="1">
        <f t="array" ref="J285">$E285*(IF($D285 = "x", 1/J$401, 1)*J283)^$F285*_p_days</f>
        <v>24.94948297609389</v>
      </c>
      <c r="K285" s="161" cm="1">
        <f t="array" ref="K285">$E285*(IF($D285 = "x", 1/K$401, 1)*K283)^$F285*_p_days</f>
        <v>24.94948297609389</v>
      </c>
      <c r="L285" s="161" cm="1">
        <f t="array" ref="L285">$E285*(IF($D285 = "x", 1/L$401, 1)*L283)^$F285*_p_days</f>
        <v>24.94948297609389</v>
      </c>
      <c r="M285" s="161" cm="1">
        <f t="array" ref="M285">$E285*(IF($D285 = "x", 1/M$401, 1)*M283)^$F285*_p_days</f>
        <v>24.94948297609389</v>
      </c>
      <c r="N285" s="51"/>
      <c r="O285" s="51"/>
      <c r="P285" s="51"/>
    </row>
    <row r="286" spans="2:16" x14ac:dyDescent="0.3">
      <c r="C286" s="353" t="s">
        <v>1115</v>
      </c>
      <c r="D286" s="881" t="str">
        <f>IF($E$399&gt;1, "x", "")</f>
        <v/>
      </c>
      <c r="E286" s="148">
        <f>'Cost Input'!F226</f>
        <v>0</v>
      </c>
      <c r="F286" s="1315">
        <f>'Cost Input'!G226</f>
        <v>0.95</v>
      </c>
      <c r="G286" s="148" cm="1">
        <f t="array" ref="G286">$E286*(IF($D286 = "x", 1/G$401, 1)*G283)^$F286*_p_days</f>
        <v>0</v>
      </c>
      <c r="H286" s="148" cm="1">
        <f t="array" ref="H286">$E286*(IF($D286 = "x", 1/H$401, 1)*H283)^$F286*_p_days</f>
        <v>0</v>
      </c>
      <c r="I286" s="148" cm="1">
        <f t="array" ref="I286">$E286*(IF($D286 = "x", 1/I$401, 1)*I283)^$F286*_p_days</f>
        <v>0</v>
      </c>
      <c r="J286" s="148" cm="1">
        <f t="array" ref="J286">$E286*(IF($D286 = "x", 1/J$401, 1)*J283)^$F286*_p_days</f>
        <v>0</v>
      </c>
      <c r="K286" s="148" cm="1">
        <f t="array" ref="K286">$E286*(IF($D286 = "x", 1/K$401, 1)*K283)^$F286*_p_days</f>
        <v>0</v>
      </c>
      <c r="L286" s="148" cm="1">
        <f t="array" ref="L286">$E286*(IF($D286 = "x", 1/L$401, 1)*L283)^$F286*_p_days</f>
        <v>0</v>
      </c>
      <c r="M286" s="148" cm="1">
        <f t="array" ref="M286">$E286*(IF($D286 = "x", 1/M$401, 1)*M283)^$F286*_p_days</f>
        <v>0</v>
      </c>
      <c r="N286" s="51"/>
      <c r="O286" s="51"/>
      <c r="P286" s="51"/>
    </row>
    <row r="287" spans="2:16" x14ac:dyDescent="0.3">
      <c r="C287" s="353"/>
      <c r="D287" s="53"/>
      <c r="E287" s="148"/>
      <c r="F287" s="1315"/>
      <c r="G287" s="148"/>
      <c r="H287" s="148"/>
      <c r="I287" s="148"/>
      <c r="J287" s="148"/>
      <c r="K287" s="148"/>
      <c r="L287" s="148"/>
      <c r="M287" s="148"/>
      <c r="N287" s="51"/>
      <c r="O287" s="51"/>
      <c r="P287" s="51"/>
    </row>
    <row r="288" spans="2:16" ht="14" x14ac:dyDescent="0.3">
      <c r="B288" s="665" t="s">
        <v>1298</v>
      </c>
      <c r="C288" s="353"/>
      <c r="D288" s="353"/>
      <c r="E288" s="148"/>
      <c r="F288" s="1315"/>
      <c r="G288" s="148"/>
      <c r="H288" s="148"/>
      <c r="I288" s="148"/>
      <c r="J288" s="148"/>
      <c r="K288" s="148"/>
      <c r="L288" s="148"/>
      <c r="M288" s="148"/>
      <c r="N288" s="51"/>
      <c r="O288" s="51"/>
      <c r="P288" s="51"/>
    </row>
    <row r="289" spans="2:24" x14ac:dyDescent="0.3">
      <c r="C289" s="353" t="s">
        <v>1299</v>
      </c>
      <c r="D289" s="353"/>
      <c r="E289" s="148"/>
      <c r="F289" s="1315"/>
      <c r="G289" s="162">
        <f ca="1">MAX(G14/'Cost Input'!$F297, (G15+G16)/('Cost Input'!$F$298+'Cost Input'!$F$299))</f>
        <v>0.99775505113494622</v>
      </c>
      <c r="H289" s="162">
        <f ca="1">MAX(H14/'Cost Input'!$F297, (H15+H16)/('Cost Input'!$F$298+'Cost Input'!$F$299))</f>
        <v>0.99775505113494622</v>
      </c>
      <c r="I289" s="162">
        <f ca="1">MAX(I14/'Cost Input'!$F297, (I15+I16)/('Cost Input'!$F$298+'Cost Input'!$F$299))</f>
        <v>0.99775505113494622</v>
      </c>
      <c r="J289" s="162">
        <f ca="1">MAX(J14/'Cost Input'!$F297, (J15+J16)/('Cost Input'!$F$298+'Cost Input'!$F$299))</f>
        <v>0.99775505113494622</v>
      </c>
      <c r="K289" s="162">
        <f ca="1">MAX(K14/'Cost Input'!$F297, (K15+K16)/('Cost Input'!$F$298+'Cost Input'!$F$299))</f>
        <v>0.99775505113494622</v>
      </c>
      <c r="L289" s="162">
        <f ca="1">MAX(L14/'Cost Input'!$F297, (L15+L16)/('Cost Input'!$F$298+'Cost Input'!$F$299))</f>
        <v>1.227898180049491</v>
      </c>
      <c r="M289" s="162">
        <f ca="1">MAX(M14/'Cost Input'!$F297, (M15+M16)/('Cost Input'!$F$298+'Cost Input'!$F$299))</f>
        <v>2.299039035948784</v>
      </c>
      <c r="N289" s="162">
        <f>MAX(N14/'Cost Input'!$F297, (N15+N16)/('Cost Input'!$F$298+'Cost Input'!$F$299))</f>
        <v>0</v>
      </c>
      <c r="O289" s="51"/>
      <c r="P289" s="51"/>
    </row>
    <row r="290" spans="2:24" x14ac:dyDescent="0.3">
      <c r="C290" s="353" t="s">
        <v>1113</v>
      </c>
      <c r="D290" s="628"/>
      <c r="E290" s="148">
        <f>'Cost Input'!F230</f>
        <v>8000</v>
      </c>
      <c r="F290" s="1315">
        <f>'Cost Input'!G230</f>
        <v>0</v>
      </c>
      <c r="G290" s="148">
        <f t="shared" ref="G290:M290" ca="1" si="51">$E290*(IF($D290 = "x", 1/G$401, 1)*G289)^$F290</f>
        <v>8000</v>
      </c>
      <c r="H290" s="148">
        <f t="shared" ca="1" si="51"/>
        <v>8000</v>
      </c>
      <c r="I290" s="148">
        <f t="shared" ca="1" si="51"/>
        <v>8000</v>
      </c>
      <c r="J290" s="148">
        <f t="shared" ca="1" si="51"/>
        <v>8000</v>
      </c>
      <c r="K290" s="148">
        <f t="shared" ca="1" si="51"/>
        <v>8000</v>
      </c>
      <c r="L290" s="148">
        <f t="shared" ca="1" si="51"/>
        <v>8000</v>
      </c>
      <c r="M290" s="148">
        <f t="shared" ca="1" si="51"/>
        <v>8000</v>
      </c>
      <c r="N290" s="51"/>
      <c r="O290" s="51"/>
      <c r="P290" s="51"/>
    </row>
    <row r="291" spans="2:24" x14ac:dyDescent="0.3">
      <c r="C291" s="353" t="s">
        <v>1114</v>
      </c>
      <c r="D291" s="881" t="str">
        <f>IF($E$399&gt;1, "x", "")</f>
        <v/>
      </c>
      <c r="E291" s="161">
        <f>'Cost Input'!F231</f>
        <v>7.3</v>
      </c>
      <c r="F291" s="1315">
        <f>'Cost Input'!G231</f>
        <v>0.9</v>
      </c>
      <c r="G291" s="161">
        <f t="shared" ref="G291:M291" ca="1" si="52">$E291*(IF($D291 = "x", 1/G$401, 1)*G289)^$F291</f>
        <v>7.2852490290194156</v>
      </c>
      <c r="H291" s="161">
        <f t="shared" ca="1" si="52"/>
        <v>7.2852490290194156</v>
      </c>
      <c r="I291" s="161">
        <f t="shared" ca="1" si="52"/>
        <v>7.2852490290194156</v>
      </c>
      <c r="J291" s="161">
        <f t="shared" ca="1" si="52"/>
        <v>7.2852490290194156</v>
      </c>
      <c r="K291" s="161">
        <f t="shared" ca="1" si="52"/>
        <v>7.2852490290194156</v>
      </c>
      <c r="L291" s="161">
        <f t="shared" ca="1" si="52"/>
        <v>8.7815055515872249</v>
      </c>
      <c r="M291" s="161">
        <f t="shared" ca="1" si="52"/>
        <v>15.442391937164759</v>
      </c>
      <c r="N291" s="51"/>
      <c r="O291" s="51"/>
      <c r="P291" s="51"/>
    </row>
    <row r="292" spans="2:24" x14ac:dyDescent="0.3">
      <c r="C292" s="353" t="s">
        <v>1115</v>
      </c>
      <c r="D292" s="881" t="str">
        <f>IF($E$399&gt;1, "x", "")</f>
        <v/>
      </c>
      <c r="E292" s="148">
        <f>'Cost Input'!F232</f>
        <v>61000</v>
      </c>
      <c r="F292" s="1315">
        <f>'Cost Input'!G232</f>
        <v>0.95</v>
      </c>
      <c r="G292" s="148">
        <f t="shared" ref="G292:M292" ca="1" si="53">$E292*(IF($D292 = "x", 1/G$401, 1)*G289)^$F292</f>
        <v>60869.897906122977</v>
      </c>
      <c r="H292" s="148">
        <f t="shared" ca="1" si="53"/>
        <v>60869.897906122977</v>
      </c>
      <c r="I292" s="148">
        <f t="shared" ca="1" si="53"/>
        <v>60869.897906122977</v>
      </c>
      <c r="J292" s="148">
        <f t="shared" ca="1" si="53"/>
        <v>60869.897906122977</v>
      </c>
      <c r="K292" s="148">
        <f t="shared" ca="1" si="53"/>
        <v>60869.897906122977</v>
      </c>
      <c r="L292" s="148">
        <f t="shared" ca="1" si="53"/>
        <v>74136.840362727118</v>
      </c>
      <c r="M292" s="148">
        <f t="shared" ca="1" si="53"/>
        <v>134523.71834744848</v>
      </c>
      <c r="N292" s="51"/>
      <c r="O292" s="51"/>
      <c r="P292" s="51"/>
    </row>
    <row r="293" spans="2:24" x14ac:dyDescent="0.3">
      <c r="C293" s="353"/>
      <c r="D293" s="53"/>
      <c r="E293" s="148"/>
      <c r="F293" s="1315"/>
      <c r="G293" s="148"/>
      <c r="H293" s="148"/>
      <c r="I293" s="148"/>
      <c r="J293" s="148"/>
      <c r="K293" s="148"/>
      <c r="L293" s="148"/>
      <c r="M293" s="148"/>
      <c r="N293" s="51"/>
      <c r="O293" s="51"/>
      <c r="P293" s="51"/>
    </row>
    <row r="294" spans="2:24" ht="15.5" x14ac:dyDescent="0.35">
      <c r="B294" s="6" t="s">
        <v>1300</v>
      </c>
      <c r="C294" s="353"/>
      <c r="D294" s="353"/>
      <c r="E294" s="109"/>
      <c r="F294" s="1317"/>
      <c r="G294" s="148"/>
      <c r="H294" s="148"/>
      <c r="I294" s="148"/>
      <c r="J294" s="148"/>
      <c r="K294" s="148"/>
      <c r="L294" s="148"/>
      <c r="M294" s="148"/>
      <c r="N294" s="51"/>
      <c r="O294" s="51"/>
      <c r="P294" s="51"/>
    </row>
    <row r="295" spans="2:24" ht="14" x14ac:dyDescent="0.3">
      <c r="B295" s="665" t="s">
        <v>1301</v>
      </c>
      <c r="C295" s="130"/>
      <c r="D295" s="130"/>
      <c r="E295" s="148"/>
      <c r="F295" s="1315"/>
      <c r="G295" s="101"/>
      <c r="H295" s="101"/>
      <c r="I295" s="101"/>
      <c r="J295" s="101"/>
      <c r="K295" s="101"/>
      <c r="L295" s="101"/>
      <c r="M295" s="101"/>
      <c r="N295" s="51"/>
      <c r="O295" s="51"/>
      <c r="P295" s="51"/>
    </row>
    <row r="296" spans="2:24" x14ac:dyDescent="0.3">
      <c r="C296" s="353" t="s">
        <v>1291</v>
      </c>
      <c r="D296" s="353"/>
      <c r="E296" s="148"/>
      <c r="F296" s="1315"/>
      <c r="G296" s="162">
        <f>G14/'Cost Input'!$F297</f>
        <v>0.99775505113494622</v>
      </c>
      <c r="H296" s="162">
        <f>H14/'Cost Input'!$F297</f>
        <v>0.99775505113494622</v>
      </c>
      <c r="I296" s="162">
        <f>I14/'Cost Input'!$F297</f>
        <v>0.99775505113494622</v>
      </c>
      <c r="J296" s="162">
        <f>J14/'Cost Input'!$F297</f>
        <v>0.99775505113494622</v>
      </c>
      <c r="K296" s="162">
        <f>K14/'Cost Input'!$F297</f>
        <v>0.99775505113494622</v>
      </c>
      <c r="L296" s="162">
        <f>L14/'Cost Input'!$F297</f>
        <v>0.99775505113494622</v>
      </c>
      <c r="M296" s="162">
        <f>M14/'Cost Input'!$F297</f>
        <v>0.99775505113494622</v>
      </c>
      <c r="N296" s="1012">
        <f>N14/'Cost Input'!$F297</f>
        <v>0</v>
      </c>
      <c r="O296" s="51"/>
      <c r="P296" s="51"/>
    </row>
    <row r="297" spans="2:24" x14ac:dyDescent="0.3">
      <c r="C297" s="353" t="s">
        <v>1292</v>
      </c>
      <c r="D297" s="353"/>
      <c r="E297" s="161">
        <f>'Cost Input'!F237</f>
        <v>68</v>
      </c>
      <c r="F297" s="1315">
        <f>'Cost Input'!G237</f>
        <v>0.3</v>
      </c>
      <c r="G297" s="161">
        <f ca="1">'Battery Design'!G35</f>
        <v>68.179107463097623</v>
      </c>
      <c r="H297" s="161">
        <f ca="1">'Battery Design'!H35</f>
        <v>68.179107463097623</v>
      </c>
      <c r="I297" s="161">
        <f ca="1">'Battery Design'!I35</f>
        <v>68.097779848719952</v>
      </c>
      <c r="J297" s="161">
        <f ca="1">'Battery Design'!J35</f>
        <v>67.997707324430706</v>
      </c>
      <c r="K297" s="161">
        <f ca="1">'Battery Design'!K35</f>
        <v>67.882072882751757</v>
      </c>
      <c r="L297" s="161">
        <f ca="1">'Battery Design'!L35</f>
        <v>67.743621748620214</v>
      </c>
      <c r="M297" s="161">
        <f ca="1">'Battery Design'!M35</f>
        <v>67.561046766653277</v>
      </c>
      <c r="N297" s="51"/>
      <c r="O297" s="51"/>
      <c r="P297" s="51"/>
    </row>
    <row r="298" spans="2:24" x14ac:dyDescent="0.3">
      <c r="C298" s="353" t="s">
        <v>1113</v>
      </c>
      <c r="D298" s="628"/>
      <c r="E298" s="1013">
        <f>'Cost Input'!F238</f>
        <v>560000</v>
      </c>
      <c r="F298" s="1315">
        <f>'Cost Input'!G238</f>
        <v>0.7</v>
      </c>
      <c r="G298" s="148">
        <f ca="1">$E298*(IF($D298 = "x", 1/G$401, 1)*G$296)^$F298*(G297/$E$297)^$F$297</f>
        <v>559561.08191585739</v>
      </c>
      <c r="H298" s="148">
        <f t="shared" ref="H298:M298" ca="1" si="54">$E298*(IF($D298 = "x", 1/H$401, 1)*H$296)^$F298*(H297/$E$297)^$F$297</f>
        <v>559561.08191585739</v>
      </c>
      <c r="I298" s="148">
        <f t="shared" ca="1" si="54"/>
        <v>559360.75611875067</v>
      </c>
      <c r="J298" s="148">
        <f t="shared" ca="1" si="54"/>
        <v>559114.02799642517</v>
      </c>
      <c r="K298" s="148">
        <f t="shared" ca="1" si="54"/>
        <v>558828.61532886454</v>
      </c>
      <c r="L298" s="148">
        <f t="shared" ca="1" si="54"/>
        <v>558486.43772248202</v>
      </c>
      <c r="M298" s="148">
        <f t="shared" ca="1" si="54"/>
        <v>558034.46020176366</v>
      </c>
      <c r="N298" s="51"/>
      <c r="O298" s="51"/>
      <c r="P298" s="51"/>
    </row>
    <row r="299" spans="2:24" x14ac:dyDescent="0.3">
      <c r="C299" s="353" t="s">
        <v>1114</v>
      </c>
      <c r="D299" s="881" t="str">
        <f>IF($E$399&gt;2, "x", "")</f>
        <v/>
      </c>
      <c r="E299" s="161">
        <f>'Cost Input'!F239</f>
        <v>830</v>
      </c>
      <c r="F299" s="1315">
        <f>'Cost Input'!G239</f>
        <v>0.95</v>
      </c>
      <c r="G299" s="161">
        <f t="shared" ref="G299:M299" ca="1" si="55">$E299*(IF($D299 = "x", 1/G$401, 1)*G$296)^$F299*IF(G297&gt;80,1.1,1)*(G297/$E$297)^$F$297</f>
        <v>828.88360654842927</v>
      </c>
      <c r="H299" s="161">
        <f t="shared" ca="1" si="55"/>
        <v>828.88360654842927</v>
      </c>
      <c r="I299" s="161">
        <f t="shared" ca="1" si="55"/>
        <v>828.58686187737021</v>
      </c>
      <c r="J299" s="161">
        <f t="shared" ca="1" si="55"/>
        <v>828.22138096299022</v>
      </c>
      <c r="K299" s="161">
        <f t="shared" ca="1" si="55"/>
        <v>827.7985962324434</v>
      </c>
      <c r="L299" s="161">
        <f t="shared" ca="1" si="55"/>
        <v>827.29172501208029</v>
      </c>
      <c r="M299" s="161">
        <f t="shared" ca="1" si="55"/>
        <v>826.62220604523361</v>
      </c>
      <c r="N299" s="51"/>
      <c r="O299" s="51"/>
      <c r="P299" s="51"/>
    </row>
    <row r="300" spans="2:24" x14ac:dyDescent="0.3">
      <c r="C300" s="353" t="s">
        <v>1115</v>
      </c>
      <c r="D300" s="881" t="str">
        <f>IF($E$399&gt;1, "x", "")</f>
        <v/>
      </c>
      <c r="E300" s="1013">
        <f>'Cost Input'!F240</f>
        <v>110000</v>
      </c>
      <c r="F300" s="1315">
        <f>'Cost Input'!G240</f>
        <v>0.95</v>
      </c>
      <c r="G300" s="148">
        <f ca="1">$E300*(IF($D300 = "x", 1/G$401, 1)*G$296)^$F300*(G297/$E$297)^$F$297</f>
        <v>109852.04424135809</v>
      </c>
      <c r="H300" s="148">
        <f t="shared" ref="H300:M300" ca="1" si="56">$E300*(IF($D300 = "x", 1/H$401, 1)*H$296)^$F300*(H297/$E$297)^$F$297</f>
        <v>109852.04424135809</v>
      </c>
      <c r="I300" s="148">
        <f t="shared" ca="1" si="56"/>
        <v>109812.71663435028</v>
      </c>
      <c r="J300" s="148">
        <f t="shared" ca="1" si="56"/>
        <v>109764.27940473365</v>
      </c>
      <c r="K300" s="148">
        <f t="shared" ca="1" si="56"/>
        <v>109708.24769345636</v>
      </c>
      <c r="L300" s="148">
        <f t="shared" ca="1" si="56"/>
        <v>109641.07198955282</v>
      </c>
      <c r="M300" s="148">
        <f t="shared" ca="1" si="56"/>
        <v>109552.34056021168</v>
      </c>
      <c r="N300" s="51"/>
      <c r="O300" s="51"/>
      <c r="P300" s="51"/>
    </row>
    <row r="301" spans="2:24" x14ac:dyDescent="0.3">
      <c r="C301" s="353"/>
      <c r="D301" s="53"/>
      <c r="E301" s="148"/>
      <c r="F301" s="1315"/>
      <c r="G301" s="148"/>
      <c r="H301" s="148"/>
      <c r="I301" s="148"/>
      <c r="J301" s="148"/>
      <c r="K301" s="148"/>
      <c r="L301" s="148"/>
      <c r="M301" s="148"/>
      <c r="N301" s="51"/>
      <c r="O301" s="51"/>
      <c r="P301" s="51"/>
    </row>
    <row r="302" spans="2:24" ht="15.5" x14ac:dyDescent="0.35">
      <c r="B302" s="6" t="s">
        <v>1302</v>
      </c>
      <c r="C302" s="130"/>
      <c r="D302" s="353"/>
      <c r="E302" s="109"/>
      <c r="F302" s="1317"/>
      <c r="G302" s="101"/>
      <c r="H302" s="101"/>
      <c r="I302" s="101"/>
      <c r="J302" s="101"/>
      <c r="K302" s="101"/>
      <c r="L302" s="101"/>
      <c r="M302" s="101"/>
      <c r="N302" s="51"/>
      <c r="O302" s="51"/>
      <c r="P302" s="51"/>
      <c r="R302" s="28"/>
      <c r="S302" s="94"/>
      <c r="T302" s="94"/>
      <c r="U302" s="94"/>
      <c r="V302" s="94"/>
      <c r="W302" s="94"/>
      <c r="X302" s="94"/>
    </row>
    <row r="303" spans="2:24" ht="14" x14ac:dyDescent="0.3">
      <c r="B303" s="665" t="s">
        <v>1303</v>
      </c>
      <c r="C303" s="130"/>
      <c r="D303" s="353"/>
      <c r="E303" s="148"/>
      <c r="F303" s="1315"/>
      <c r="G303" s="101"/>
      <c r="H303" s="101"/>
      <c r="I303" s="101"/>
      <c r="J303" s="101"/>
      <c r="K303" s="101"/>
      <c r="L303" s="101"/>
      <c r="M303" s="101"/>
      <c r="N303" s="51"/>
      <c r="O303" s="51"/>
      <c r="P303" s="51"/>
      <c r="R303" s="28"/>
      <c r="S303" s="94"/>
      <c r="T303" s="94"/>
      <c r="U303" s="94"/>
      <c r="V303" s="94"/>
      <c r="W303" s="94"/>
      <c r="X303" s="94"/>
    </row>
    <row r="304" spans="2:24" x14ac:dyDescent="0.3">
      <c r="C304" s="353" t="s">
        <v>1304</v>
      </c>
      <c r="D304" s="130"/>
      <c r="E304" s="148"/>
      <c r="F304" s="1315"/>
      <c r="G304" s="1012">
        <f>G11/'Cost Input'!$F$294</f>
        <v>1</v>
      </c>
      <c r="H304" s="1012">
        <f>H11/'Cost Input'!$F$294</f>
        <v>1</v>
      </c>
      <c r="I304" s="1012">
        <f>I11/'Cost Input'!$F$294</f>
        <v>1</v>
      </c>
      <c r="J304" s="1012">
        <f>J11/'Cost Input'!$F$294</f>
        <v>1</v>
      </c>
      <c r="K304" s="1012">
        <f>K11/'Cost Input'!$F$294</f>
        <v>1</v>
      </c>
      <c r="L304" s="1012">
        <f>L11/'Cost Input'!$F$294</f>
        <v>1</v>
      </c>
      <c r="M304" s="1012">
        <f>M11/'Cost Input'!$F$294</f>
        <v>1</v>
      </c>
      <c r="N304" s="51"/>
      <c r="O304" s="51"/>
      <c r="P304" s="51"/>
      <c r="R304" s="28"/>
      <c r="S304" s="94"/>
      <c r="T304" s="94"/>
      <c r="U304" s="94"/>
      <c r="V304" s="94"/>
      <c r="W304" s="94"/>
      <c r="X304" s="94"/>
    </row>
    <row r="305" spans="2:24" x14ac:dyDescent="0.3">
      <c r="C305" t="s">
        <v>1113</v>
      </c>
      <c r="D305" s="628"/>
      <c r="E305" s="148">
        <f>'Cost Input'!F245</f>
        <v>170000</v>
      </c>
      <c r="F305" s="1316">
        <f>'Cost Input'!G245</f>
        <v>0.7</v>
      </c>
      <c r="G305" s="80">
        <f>$E305*(IF($D305 = "x", 1/G$401, 1)*G304)^$F305</f>
        <v>170000</v>
      </c>
      <c r="H305" s="80">
        <f t="shared" ref="H305:M305" si="57">$E305*(IF($D305 = "x", 1/H$401, 1)*H304)^$F305</f>
        <v>170000</v>
      </c>
      <c r="I305" s="80">
        <f t="shared" si="57"/>
        <v>170000</v>
      </c>
      <c r="J305" s="80">
        <f t="shared" si="57"/>
        <v>170000</v>
      </c>
      <c r="K305" s="80">
        <f t="shared" si="57"/>
        <v>170000</v>
      </c>
      <c r="L305" s="80">
        <f t="shared" si="57"/>
        <v>170000</v>
      </c>
      <c r="M305" s="80">
        <f t="shared" si="57"/>
        <v>170000</v>
      </c>
      <c r="N305" s="51"/>
      <c r="O305" s="51"/>
      <c r="P305" s="51"/>
      <c r="R305" s="28"/>
      <c r="S305" s="94"/>
      <c r="T305" s="94"/>
      <c r="U305" s="94"/>
      <c r="V305" s="94"/>
      <c r="W305" s="94"/>
      <c r="X305" s="94"/>
    </row>
    <row r="306" spans="2:24" x14ac:dyDescent="0.3">
      <c r="C306" t="s">
        <v>1114</v>
      </c>
      <c r="D306" s="628" t="str">
        <f>IF($E$399&gt;2, "x", "")</f>
        <v/>
      </c>
      <c r="E306" s="80">
        <f>'Cost Input'!F246</f>
        <v>94</v>
      </c>
      <c r="F306" s="1316">
        <f>'Cost Input'!G246</f>
        <v>0.95</v>
      </c>
      <c r="G306" s="1013" cm="1">
        <f t="array" ref="G306">$E306*(IF($D306 = "x", 1/G$401, 1)*G304)^$F306*_p_days</f>
        <v>94</v>
      </c>
      <c r="H306" s="1013" cm="1">
        <f t="array" ref="H306">$E306*(IF($D306 = "x", 1/H$401, 1)*H304)^$F306*_p_days</f>
        <v>94</v>
      </c>
      <c r="I306" s="1013" cm="1">
        <f t="array" ref="I306">$E306*(IF($D306 = "x", 1/I$401, 1)*I304)^$F306*_p_days</f>
        <v>94</v>
      </c>
      <c r="J306" s="1013" cm="1">
        <f t="array" ref="J306">$E306*(IF($D306 = "x", 1/J$401, 1)*J304)^$F306*_p_days</f>
        <v>94</v>
      </c>
      <c r="K306" s="1013" cm="1">
        <f t="array" ref="K306">$E306*(IF($D306 = "x", 1/K$401, 1)*K304)^$F306*_p_days</f>
        <v>94</v>
      </c>
      <c r="L306" s="1013" cm="1">
        <f t="array" ref="L306">$E306*(IF($D306 = "x", 1/L$401, 1)*L304)^$F306*_p_days</f>
        <v>94</v>
      </c>
      <c r="M306" s="1013" cm="1">
        <f t="array" ref="M306">$E306*(IF($D306 = "x", 1/M$401, 1)*M304)^$F306*_p_days</f>
        <v>94</v>
      </c>
      <c r="N306" s="51"/>
      <c r="O306" s="51"/>
      <c r="P306" s="51"/>
      <c r="R306" s="28"/>
      <c r="S306" s="94"/>
      <c r="T306" s="94"/>
      <c r="U306" s="94"/>
      <c r="V306" s="94"/>
      <c r="W306" s="94"/>
      <c r="X306" s="94"/>
    </row>
    <row r="307" spans="2:24" x14ac:dyDescent="0.3">
      <c r="C307" s="353" t="s">
        <v>1115</v>
      </c>
      <c r="D307" s="628" t="str">
        <f>IF($E$399&gt;1, "x", "")</f>
        <v/>
      </c>
      <c r="E307" s="148">
        <f>'Cost Input'!F247</f>
        <v>27000</v>
      </c>
      <c r="F307" s="1316">
        <f>'Cost Input'!G247</f>
        <v>0.95</v>
      </c>
      <c r="G307" s="80" cm="1">
        <f t="array" ref="G307">$E307*(IF($D307 = "x", 1/G$401, 1)*G304)^$F307*_p_days</f>
        <v>27000</v>
      </c>
      <c r="H307" s="80" cm="1">
        <f t="array" ref="H307">$E307*(IF($D307 = "x", 1/H$401, 1)*H304)^$F307*_p_days</f>
        <v>27000</v>
      </c>
      <c r="I307" s="80" cm="1">
        <f t="array" ref="I307">$E307*(IF($D307 = "x", 1/I$401, 1)*I304)^$F307*_p_days</f>
        <v>27000</v>
      </c>
      <c r="J307" s="80" cm="1">
        <f t="array" ref="J307">$E307*(IF($D307 = "x", 1/J$401, 1)*J304)^$F307*_p_days</f>
        <v>27000</v>
      </c>
      <c r="K307" s="80" cm="1">
        <f t="array" ref="K307">$E307*(IF($D307 = "x", 1/K$401, 1)*K304)^$F307*_p_days</f>
        <v>27000</v>
      </c>
      <c r="L307" s="80" cm="1">
        <f t="array" ref="L307">$E307*(IF($D307 = "x", 1/L$401, 1)*L304)^$F307*_p_days</f>
        <v>27000</v>
      </c>
      <c r="M307" s="80" cm="1">
        <f t="array" ref="M307">$E307*(IF($D307 = "x", 1/M$401, 1)*M304)^$F307*_p_days</f>
        <v>27000</v>
      </c>
      <c r="N307" s="51"/>
      <c r="O307" s="51"/>
      <c r="P307" s="51"/>
      <c r="R307" s="28"/>
      <c r="S307" s="94"/>
      <c r="T307" s="94"/>
      <c r="U307" s="94"/>
      <c r="V307" s="94"/>
      <c r="W307" s="94"/>
      <c r="X307" s="94"/>
    </row>
    <row r="308" spans="2:24" ht="15.5" x14ac:dyDescent="0.35">
      <c r="B308" s="6"/>
      <c r="C308" s="130"/>
      <c r="D308" s="353"/>
      <c r="E308" s="148"/>
      <c r="F308" s="1315"/>
      <c r="G308" s="101"/>
      <c r="H308" s="101"/>
      <c r="I308" s="101"/>
      <c r="J308" s="101"/>
      <c r="K308" s="101"/>
      <c r="L308" s="101"/>
      <c r="M308" s="101"/>
      <c r="N308" s="51"/>
      <c r="O308" s="51"/>
      <c r="P308" s="51"/>
      <c r="R308" s="28"/>
      <c r="S308" s="94"/>
      <c r="T308" s="94"/>
      <c r="U308" s="94"/>
      <c r="V308" s="94"/>
      <c r="W308" s="94"/>
      <c r="X308" s="94"/>
    </row>
    <row r="309" spans="2:24" ht="15.5" x14ac:dyDescent="0.35">
      <c r="B309" s="6" t="s">
        <v>1305</v>
      </c>
      <c r="C309" s="130"/>
      <c r="D309" s="353"/>
      <c r="E309" s="148"/>
      <c r="F309" s="1315"/>
      <c r="G309" s="101"/>
      <c r="H309" s="101"/>
      <c r="I309" s="101"/>
      <c r="J309" s="101"/>
      <c r="K309" s="101"/>
      <c r="L309" s="101"/>
      <c r="M309" s="101"/>
      <c r="N309" s="51"/>
      <c r="O309" s="51"/>
      <c r="P309" s="51"/>
      <c r="R309" s="28"/>
      <c r="S309" s="94"/>
      <c r="T309" s="94"/>
      <c r="U309" s="94"/>
      <c r="V309" s="94"/>
      <c r="W309" s="94"/>
      <c r="X309" s="94"/>
    </row>
    <row r="310" spans="2:24" ht="14" x14ac:dyDescent="0.3">
      <c r="B310" s="665" t="s">
        <v>1306</v>
      </c>
      <c r="C310" s="130"/>
      <c r="D310" s="353"/>
      <c r="E310" s="148"/>
      <c r="F310" s="1315"/>
      <c r="G310" s="101"/>
      <c r="H310" s="101"/>
      <c r="I310" s="101"/>
      <c r="J310" s="101"/>
      <c r="K310" s="101"/>
      <c r="L310" s="101"/>
      <c r="M310" s="101"/>
      <c r="N310" s="51"/>
      <c r="O310" s="51"/>
      <c r="P310" s="51"/>
      <c r="R310" s="28"/>
      <c r="S310" s="94"/>
      <c r="T310" s="94"/>
      <c r="U310" s="94"/>
      <c r="V310" s="94"/>
      <c r="W310" s="94"/>
      <c r="X310" s="94"/>
    </row>
    <row r="311" spans="2:24" x14ac:dyDescent="0.3">
      <c r="C311" s="353" t="s">
        <v>1307</v>
      </c>
      <c r="D311" s="130"/>
      <c r="E311" s="148"/>
      <c r="F311" s="1315"/>
      <c r="G311" s="167">
        <f>G9/'Cost Input'!$F$292</f>
        <v>1</v>
      </c>
      <c r="H311" s="167">
        <f>H9/'Cost Input'!$F$292</f>
        <v>1</v>
      </c>
      <c r="I311" s="167">
        <f>I9/'Cost Input'!$F$292</f>
        <v>1</v>
      </c>
      <c r="J311" s="167">
        <f>J9/'Cost Input'!$F$292</f>
        <v>1</v>
      </c>
      <c r="K311" s="167">
        <f>K9/'Cost Input'!$F$292</f>
        <v>1</v>
      </c>
      <c r="L311" s="167">
        <f>L9/'Cost Input'!$F$292</f>
        <v>1</v>
      </c>
      <c r="M311" s="167">
        <f>M9/'Cost Input'!$F$292</f>
        <v>1</v>
      </c>
      <c r="N311" s="51"/>
      <c r="O311" s="546"/>
      <c r="P311" s="546"/>
      <c r="Q311" s="5"/>
      <c r="R311" s="28"/>
      <c r="S311" s="103"/>
      <c r="T311" s="103"/>
      <c r="U311" s="103"/>
      <c r="V311" s="103"/>
      <c r="W311" s="103"/>
      <c r="X311" s="103"/>
    </row>
    <row r="312" spans="2:24" x14ac:dyDescent="0.3">
      <c r="C312" s="353" t="s">
        <v>1308</v>
      </c>
      <c r="D312" s="353"/>
      <c r="E312" s="148">
        <f>'Cost Input'!F251</f>
        <v>20</v>
      </c>
      <c r="F312" s="1316">
        <f>'Cost Input'!G251</f>
        <v>0.3</v>
      </c>
      <c r="G312" s="166">
        <f>'Battery Design'!G29</f>
        <v>20</v>
      </c>
      <c r="H312" s="166">
        <f>'Battery Design'!H29</f>
        <v>20</v>
      </c>
      <c r="I312" s="166">
        <f>'Battery Design'!I29</f>
        <v>20</v>
      </c>
      <c r="J312" s="166">
        <f>'Battery Design'!J29</f>
        <v>20</v>
      </c>
      <c r="K312" s="166">
        <f>'Battery Design'!K29</f>
        <v>20</v>
      </c>
      <c r="L312" s="166">
        <f>'Battery Design'!L29</f>
        <v>20</v>
      </c>
      <c r="M312" s="166">
        <f>'Battery Design'!M29</f>
        <v>20</v>
      </c>
      <c r="N312" s="51"/>
      <c r="O312" s="546"/>
      <c r="P312" s="546"/>
      <c r="Q312" s="5"/>
      <c r="R312" s="28"/>
      <c r="S312" s="103"/>
      <c r="T312" s="103"/>
      <c r="U312" s="103"/>
      <c r="V312" s="103"/>
      <c r="W312" s="103"/>
      <c r="X312" s="103"/>
    </row>
    <row r="313" spans="2:24" x14ac:dyDescent="0.3">
      <c r="C313" s="353" t="s">
        <v>1113</v>
      </c>
      <c r="D313" s="628"/>
      <c r="E313" s="148">
        <f>'Cost Input'!F252</f>
        <v>150000</v>
      </c>
      <c r="F313" s="1316">
        <f>'Cost Input'!G252</f>
        <v>0.7</v>
      </c>
      <c r="G313" s="148">
        <f>$E313*G$311^$F313*(G312/$E312)^$F312</f>
        <v>150000</v>
      </c>
      <c r="H313" s="148">
        <f t="shared" ref="H313:M313" si="58">$E313*H$311^$F313*(H312/$E312)^$F312</f>
        <v>150000</v>
      </c>
      <c r="I313" s="148">
        <f t="shared" si="58"/>
        <v>150000</v>
      </c>
      <c r="J313" s="148">
        <f t="shared" si="58"/>
        <v>150000</v>
      </c>
      <c r="K313" s="148">
        <f t="shared" si="58"/>
        <v>150000</v>
      </c>
      <c r="L313" s="148">
        <f t="shared" si="58"/>
        <v>150000</v>
      </c>
      <c r="M313" s="148">
        <f t="shared" si="58"/>
        <v>150000</v>
      </c>
      <c r="N313" s="51"/>
      <c r="O313" s="51"/>
      <c r="P313" s="51"/>
      <c r="Q313" s="5"/>
      <c r="R313" s="28"/>
      <c r="S313" s="148"/>
      <c r="T313" s="148"/>
      <c r="U313" s="148"/>
      <c r="V313" s="148"/>
      <c r="W313" s="148"/>
      <c r="X313" s="148"/>
    </row>
    <row r="314" spans="2:24" x14ac:dyDescent="0.3">
      <c r="C314" s="353" t="s">
        <v>1114</v>
      </c>
      <c r="D314" s="881" t="str">
        <f>IF($E$399&gt;2, "x", "")</f>
        <v/>
      </c>
      <c r="E314" s="80">
        <f>'Cost Input'!F253</f>
        <v>94</v>
      </c>
      <c r="F314" s="1316">
        <f>'Cost Input'!G253</f>
        <v>0.95</v>
      </c>
      <c r="G314" s="161" cm="1">
        <f t="array" ref="G314">$E314*(IF($D314 = "x", 1/G$401, 1)*G$311)^$F314*(G312/$E312)^$F312*_p_days</f>
        <v>94</v>
      </c>
      <c r="H314" s="1013" cm="1">
        <f t="array" ref="H314">$E314*(IF($D314 = "x", 1/H$401, 1)*H$311)^$F314*(H312/$E312)^$F312*_p_days</f>
        <v>94</v>
      </c>
      <c r="I314" s="1013" cm="1">
        <f t="array" ref="I314">$E314*(IF($D314 = "x", 1/I$401, 1)*I$311)^$F314*(I312/$E312)^$F312*_p_days</f>
        <v>94</v>
      </c>
      <c r="J314" s="1013" cm="1">
        <f t="array" ref="J314">$E314*(IF($D314 = "x", 1/J$401, 1)*J$311)^$F314*(J312/$E312)^$F312*_p_days</f>
        <v>94</v>
      </c>
      <c r="K314" s="1013" cm="1">
        <f t="array" ref="K314">$E314*(IF($D314 = "x", 1/K$401, 1)*K$311)^$F314*(K312/$E312)^$F312*_p_days</f>
        <v>94</v>
      </c>
      <c r="L314" s="1013" cm="1">
        <f t="array" ref="L314">$E314*(IF($D314 = "x", 1/L$401, 1)*L$311)^$F314*(L312/$E312)^$F312*_p_days</f>
        <v>94</v>
      </c>
      <c r="M314" s="1013" cm="1">
        <f t="array" ref="M314">$E314*(IF($D314 = "x", 1/M$401, 1)*M$311)^$F314*(M312/$E312)^$F312*_p_days</f>
        <v>94</v>
      </c>
      <c r="N314" s="51"/>
      <c r="O314" s="547"/>
      <c r="P314" s="547"/>
      <c r="Q314" s="9"/>
      <c r="R314" s="28"/>
      <c r="S314" s="94"/>
      <c r="T314" s="94"/>
      <c r="U314" s="94"/>
      <c r="V314" s="94"/>
      <c r="W314" s="94"/>
      <c r="X314" s="94"/>
    </row>
    <row r="315" spans="2:24" x14ac:dyDescent="0.3">
      <c r="C315" s="353" t="s">
        <v>1115</v>
      </c>
      <c r="D315" s="881" t="str">
        <f>IF($E$399&gt;1, "x", "")</f>
        <v/>
      </c>
      <c r="E315" s="148">
        <f>'Cost Input'!F254</f>
        <v>27000</v>
      </c>
      <c r="F315" s="1316">
        <f>'Cost Input'!G254</f>
        <v>0.95</v>
      </c>
      <c r="G315" s="148" cm="1">
        <f t="array" ref="G315">$E315*(IF($D315 = "x", 1/G$401, 1)*G$311)^$F315*_p_days</f>
        <v>27000</v>
      </c>
      <c r="H315" s="80" cm="1">
        <f t="array" ref="H315">$E315*(IF($D315 = "x", 1/H$401, 1)*H$311)^$F315*_p_days</f>
        <v>27000</v>
      </c>
      <c r="I315" s="80" cm="1">
        <f t="array" ref="I315">$E315*(IF($D315 = "x", 1/I$401, 1)*I$311)^$F315*_p_days</f>
        <v>27000</v>
      </c>
      <c r="J315" s="80" cm="1">
        <f t="array" ref="J315">$E315*(IF($D315 = "x", 1/J$401, 1)*J$311)^$F315*_p_days</f>
        <v>27000</v>
      </c>
      <c r="K315" s="80" cm="1">
        <f t="array" ref="K315">$E315*(IF($D315 = "x", 1/K$401, 1)*K$311)^$F315*_p_days</f>
        <v>27000</v>
      </c>
      <c r="L315" s="80" cm="1">
        <f t="array" ref="L315">$E315*(IF($D315 = "x", 1/L$401, 1)*L$311)^$F315*_p_days</f>
        <v>27000</v>
      </c>
      <c r="M315" s="80" cm="1">
        <f t="array" ref="M315">$E315*(IF($D315 = "x", 1/M$401, 1)*M$311)^$F315*_p_days</f>
        <v>27000</v>
      </c>
      <c r="N315" s="51"/>
      <c r="O315" s="546"/>
      <c r="P315" s="546"/>
      <c r="Q315" s="5"/>
      <c r="R315" s="28"/>
      <c r="S315" s="103"/>
      <c r="T315" s="103"/>
      <c r="U315" s="103"/>
      <c r="V315" s="103"/>
      <c r="W315" s="103"/>
      <c r="X315" s="103"/>
    </row>
    <row r="316" spans="2:24" x14ac:dyDescent="0.3">
      <c r="C316" s="353"/>
      <c r="D316" s="53"/>
      <c r="E316" s="148"/>
      <c r="F316" s="1315"/>
      <c r="G316" s="148"/>
      <c r="H316" s="148"/>
      <c r="I316" s="148"/>
      <c r="J316" s="148"/>
      <c r="K316" s="148"/>
      <c r="L316" s="148"/>
      <c r="M316" s="148"/>
      <c r="N316" s="51"/>
      <c r="O316" s="546"/>
      <c r="P316" s="546"/>
      <c r="Q316" s="5"/>
      <c r="R316" s="28"/>
      <c r="S316" s="103"/>
      <c r="T316" s="103"/>
      <c r="U316" s="103"/>
      <c r="V316" s="103"/>
      <c r="W316" s="103"/>
      <c r="X316" s="103"/>
    </row>
    <row r="317" spans="2:24" ht="15.5" x14ac:dyDescent="0.35">
      <c r="B317" s="6" t="s">
        <v>1309</v>
      </c>
      <c r="C317" s="353"/>
      <c r="E317" s="148"/>
      <c r="F317" s="1315"/>
      <c r="G317" s="148"/>
      <c r="H317" s="148"/>
      <c r="I317" s="148"/>
      <c r="J317" s="148"/>
      <c r="K317" s="148"/>
      <c r="L317" s="148"/>
      <c r="M317" s="148"/>
      <c r="N317" s="51"/>
      <c r="O317" s="546"/>
      <c r="P317" s="546"/>
      <c r="Q317" s="5"/>
      <c r="R317" s="223"/>
      <c r="S317" s="224"/>
      <c r="T317" s="224"/>
      <c r="U317" s="103"/>
      <c r="V317" s="103"/>
      <c r="W317" s="103"/>
      <c r="X317" s="103"/>
    </row>
    <row r="318" spans="2:24" ht="14" x14ac:dyDescent="0.3">
      <c r="B318" s="665" t="s">
        <v>1310</v>
      </c>
      <c r="C318" s="353"/>
      <c r="E318" s="148"/>
      <c r="F318" s="1315"/>
      <c r="G318" s="148"/>
      <c r="H318" s="148"/>
      <c r="I318" s="148"/>
      <c r="J318" s="148"/>
      <c r="K318" s="148"/>
      <c r="L318" s="148"/>
      <c r="M318" s="148"/>
      <c r="N318" s="51"/>
      <c r="O318" s="546"/>
      <c r="P318" s="546"/>
      <c r="Q318" s="5"/>
      <c r="R318" s="223"/>
      <c r="S318" s="224"/>
      <c r="T318" s="224"/>
      <c r="U318" s="103"/>
      <c r="V318" s="103"/>
      <c r="W318" s="103"/>
      <c r="X318" s="103"/>
    </row>
    <row r="319" spans="2:24" x14ac:dyDescent="0.3">
      <c r="C319" s="353" t="s">
        <v>1311</v>
      </c>
      <c r="D319" s="353"/>
      <c r="E319" s="101"/>
      <c r="F319" s="1315"/>
      <c r="G319" s="160">
        <f ca="1">G8/'Cost Input'!$F291</f>
        <v>1</v>
      </c>
      <c r="H319" s="160">
        <f ca="1">H8/'Cost Input'!$F291</f>
        <v>1</v>
      </c>
      <c r="I319" s="160">
        <f ca="1">I8/'Cost Input'!$F291</f>
        <v>0.99999999999999989</v>
      </c>
      <c r="J319" s="160">
        <f ca="1">J8/'Cost Input'!$F291</f>
        <v>0.99999999999999989</v>
      </c>
      <c r="K319" s="160">
        <f ca="1">K8/'Cost Input'!$F291</f>
        <v>0.99999999999999989</v>
      </c>
      <c r="L319" s="160">
        <f ca="1">L8/'Cost Input'!$F291</f>
        <v>0.99999999999999989</v>
      </c>
      <c r="M319" s="160">
        <f ca="1">M8/'Cost Input'!$F291</f>
        <v>1.0000000000000051</v>
      </c>
    </row>
    <row r="320" spans="2:24" x14ac:dyDescent="0.3">
      <c r="C320" s="353" t="s">
        <v>1113</v>
      </c>
      <c r="D320" s="628"/>
      <c r="E320" s="1011">
        <f>'Cost Input'!F258</f>
        <v>31000</v>
      </c>
      <c r="F320" s="1318">
        <f>'Cost Input'!G258</f>
        <v>0.5</v>
      </c>
      <c r="G320" s="148">
        <f t="shared" ref="G320:M320" ca="1" si="59">$E320*(IF($D320 = "x", 1/G$401, 1)*G319)^$F320</f>
        <v>31000</v>
      </c>
      <c r="H320" s="148">
        <f t="shared" ca="1" si="59"/>
        <v>31000</v>
      </c>
      <c r="I320" s="148">
        <f t="shared" ca="1" si="59"/>
        <v>31000</v>
      </c>
      <c r="J320" s="148">
        <f t="shared" ca="1" si="59"/>
        <v>31000</v>
      </c>
      <c r="K320" s="148">
        <f t="shared" ca="1" si="59"/>
        <v>31000</v>
      </c>
      <c r="L320" s="148">
        <f t="shared" ca="1" si="59"/>
        <v>31000</v>
      </c>
      <c r="M320" s="148">
        <f t="shared" ca="1" si="59"/>
        <v>31000.000000000084</v>
      </c>
      <c r="N320" s="40"/>
      <c r="O320" s="51"/>
    </row>
    <row r="321" spans="2:24" x14ac:dyDescent="0.3">
      <c r="C321" s="353" t="s">
        <v>1114</v>
      </c>
      <c r="D321" s="881" t="str">
        <f>IF($E$399&gt;2, "x", "")</f>
        <v/>
      </c>
      <c r="E321" s="1011">
        <f>'Cost Input'!F259</f>
        <v>200</v>
      </c>
      <c r="F321" s="1318">
        <f>'Cost Input'!G259</f>
        <v>0.95</v>
      </c>
      <c r="G321" s="161" cm="1">
        <f t="array" aca="1" ref="G321" ca="1">$E321*(IF($D321 = "x", 1/G$401, 1)*G319)^$F321*_p_days</f>
        <v>200</v>
      </c>
      <c r="H321" s="161" cm="1">
        <f t="array" aca="1" ref="H321" ca="1">$E321*(IF($D321 = "x", 1/H$401, 1)*H319)^$F321*_p_days</f>
        <v>200</v>
      </c>
      <c r="I321" s="161" cm="1">
        <f t="array" aca="1" ref="I321" ca="1">$E321*(IF($D321 = "x", 1/I$401, 1)*I319)^$F321*_p_days</f>
        <v>199.99999999999997</v>
      </c>
      <c r="J321" s="161" cm="1">
        <f t="array" aca="1" ref="J321" ca="1">$E321*(IF($D321 = "x", 1/J$401, 1)*J319)^$F321*_p_days</f>
        <v>199.99999999999997</v>
      </c>
      <c r="K321" s="161" cm="1">
        <f t="array" aca="1" ref="K321" ca="1">$E321*(IF($D321 = "x", 1/K$401, 1)*K319)^$F321*_p_days</f>
        <v>199.99999999999997</v>
      </c>
      <c r="L321" s="161" cm="1">
        <f t="array" aca="1" ref="L321" ca="1">$E321*(IF($D321 = "x", 1/L$401, 1)*L319)^$F321*_p_days</f>
        <v>199.99999999999997</v>
      </c>
      <c r="M321" s="161" cm="1">
        <f t="array" aca="1" ref="M321" ca="1">$E321*(IF($D321 = "x", 1/M$401, 1)*M319)^$F321*_p_days</f>
        <v>200.00000000000097</v>
      </c>
      <c r="O321" s="51"/>
    </row>
    <row r="322" spans="2:24" x14ac:dyDescent="0.3">
      <c r="C322" s="353" t="s">
        <v>1115</v>
      </c>
      <c r="D322" s="881" t="str">
        <f>IF($E$399&gt;1, "x", "")</f>
        <v/>
      </c>
      <c r="E322" s="1011">
        <f>'Cost Input'!F260</f>
        <v>10000</v>
      </c>
      <c r="F322" s="1318">
        <f>'Cost Input'!G260</f>
        <v>0.95</v>
      </c>
      <c r="G322" s="148" cm="1">
        <f t="array" aca="1" ref="G322" ca="1">$E322*(IF($D322 = "x", 1/G$401, 1)*G319)^$F322*_p_days</f>
        <v>10000</v>
      </c>
      <c r="H322" s="148" cm="1">
        <f t="array" aca="1" ref="H322" ca="1">$E322*(IF($D322 = "x", 1/H$401, 1)*H319)^$F322*_p_days</f>
        <v>10000</v>
      </c>
      <c r="I322" s="148" cm="1">
        <f t="array" aca="1" ref="I322" ca="1">$E322*(IF($D322 = "x", 1/I$401, 1)*I319)^$F322*_p_days</f>
        <v>9999.9999999999982</v>
      </c>
      <c r="J322" s="148" cm="1">
        <f t="array" aca="1" ref="J322" ca="1">$E322*(IF($D322 = "x", 1/J$401, 1)*J319)^$F322*_p_days</f>
        <v>9999.9999999999982</v>
      </c>
      <c r="K322" s="148" cm="1">
        <f t="array" aca="1" ref="K322" ca="1">$E322*(IF($D322 = "x", 1/K$401, 1)*K319)^$F322*_p_days</f>
        <v>9999.9999999999982</v>
      </c>
      <c r="L322" s="148" cm="1">
        <f t="array" aca="1" ref="L322" ca="1">$E322*(IF($D322 = "x", 1/L$401, 1)*L319)^$F322*_p_days</f>
        <v>9999.9999999999982</v>
      </c>
      <c r="M322" s="148" cm="1">
        <f t="array" aca="1" ref="M322" ca="1">$E322*(IF($D322 = "x", 1/M$401, 1)*M319)^$F322*_p_days</f>
        <v>10000.000000000049</v>
      </c>
      <c r="O322" s="51"/>
    </row>
    <row r="323" spans="2:24" x14ac:dyDescent="0.3">
      <c r="C323" s="353"/>
      <c r="D323" s="53"/>
      <c r="E323" s="148"/>
      <c r="F323" s="1315"/>
      <c r="G323" s="148"/>
      <c r="H323" s="148"/>
      <c r="I323" s="148"/>
      <c r="J323" s="148"/>
      <c r="K323" s="148"/>
      <c r="L323" s="148"/>
      <c r="M323" s="148"/>
      <c r="N323" s="51"/>
      <c r="O323" s="546"/>
      <c r="P323" s="546"/>
      <c r="Q323" s="5"/>
      <c r="R323" s="28"/>
      <c r="S323" s="103"/>
      <c r="T323" s="103"/>
      <c r="U323" s="103"/>
      <c r="V323" s="103"/>
      <c r="W323" s="103"/>
      <c r="X323" s="103"/>
    </row>
    <row r="324" spans="2:24" ht="15.5" x14ac:dyDescent="0.35">
      <c r="B324" s="6" t="s">
        <v>1146</v>
      </c>
      <c r="E324" s="109"/>
      <c r="F324" s="1317"/>
    </row>
    <row r="325" spans="2:24" ht="14" x14ac:dyDescent="0.3">
      <c r="B325" s="665" t="s">
        <v>1312</v>
      </c>
      <c r="C325" s="353"/>
      <c r="D325" s="353"/>
      <c r="E325" s="148"/>
      <c r="F325" s="1315"/>
      <c r="G325" s="25"/>
      <c r="H325" s="25"/>
      <c r="I325" s="25"/>
      <c r="J325" s="25"/>
      <c r="K325" s="25"/>
      <c r="L325" s="25"/>
      <c r="M325" s="25"/>
    </row>
    <row r="326" spans="2:24" x14ac:dyDescent="0.3">
      <c r="C326" s="353" t="s">
        <v>1311</v>
      </c>
      <c r="D326" s="130"/>
      <c r="E326" s="148"/>
      <c r="F326" s="1315"/>
      <c r="G326" s="25">
        <f ca="1">G8/'Cost Input'!$F291</f>
        <v>1</v>
      </c>
      <c r="H326" s="25">
        <f ca="1">H8/'Cost Input'!$F291</f>
        <v>1</v>
      </c>
      <c r="I326" s="25">
        <f ca="1">I8/'Cost Input'!$F291</f>
        <v>0.99999999999999989</v>
      </c>
      <c r="J326" s="25">
        <f ca="1">J8/'Cost Input'!$F291</f>
        <v>0.99999999999999989</v>
      </c>
      <c r="K326" s="25">
        <f ca="1">K8/'Cost Input'!$F291</f>
        <v>0.99999999999999989</v>
      </c>
      <c r="L326" s="25">
        <f ca="1">L8/'Cost Input'!$F291</f>
        <v>0.99999999999999989</v>
      </c>
      <c r="M326" s="25">
        <f ca="1">M8/'Cost Input'!$F291</f>
        <v>1.0000000000000051</v>
      </c>
    </row>
    <row r="327" spans="2:24" x14ac:dyDescent="0.3">
      <c r="C327" s="353" t="s">
        <v>1113</v>
      </c>
      <c r="D327" s="628"/>
      <c r="E327" s="148">
        <f>'Cost Input'!F265</f>
        <v>0</v>
      </c>
      <c r="F327" s="1315">
        <f>'Cost Input'!G265</f>
        <v>0.7</v>
      </c>
      <c r="G327" s="148">
        <f t="shared" ref="G327:M327" ca="1" si="60">$E327*(IF($D327 = "x", 1/G$401, 1)*G326)^$F327</f>
        <v>0</v>
      </c>
      <c r="H327" s="148">
        <f t="shared" ca="1" si="60"/>
        <v>0</v>
      </c>
      <c r="I327" s="148">
        <f t="shared" ca="1" si="60"/>
        <v>0</v>
      </c>
      <c r="J327" s="148">
        <f t="shared" ca="1" si="60"/>
        <v>0</v>
      </c>
      <c r="K327" s="148">
        <f t="shared" ca="1" si="60"/>
        <v>0</v>
      </c>
      <c r="L327" s="148">
        <f t="shared" ca="1" si="60"/>
        <v>0</v>
      </c>
      <c r="M327" s="148">
        <f t="shared" ca="1" si="60"/>
        <v>0</v>
      </c>
    </row>
    <row r="328" spans="2:24" x14ac:dyDescent="0.3">
      <c r="C328" s="353" t="s">
        <v>1114</v>
      </c>
      <c r="D328" s="881" t="str">
        <f>IF($E$399&gt;2, "x", "")</f>
        <v/>
      </c>
      <c r="E328" s="161">
        <f>'Cost Input'!F266</f>
        <v>1700</v>
      </c>
      <c r="F328" s="1315">
        <f>'Cost Input'!G266</f>
        <v>0.95</v>
      </c>
      <c r="G328" s="161">
        <f t="shared" ref="G328:M328" ca="1" si="61">$E328*(IF($D328 = "x", 1/G$401, 1)*G326)^$F328</f>
        <v>1700</v>
      </c>
      <c r="H328" s="161">
        <f t="shared" ca="1" si="61"/>
        <v>1700</v>
      </c>
      <c r="I328" s="161">
        <f t="shared" ca="1" si="61"/>
        <v>1699.9999999999998</v>
      </c>
      <c r="J328" s="161">
        <f t="shared" ca="1" si="61"/>
        <v>1699.9999999999998</v>
      </c>
      <c r="K328" s="161">
        <f t="shared" ca="1" si="61"/>
        <v>1699.9999999999998</v>
      </c>
      <c r="L328" s="161">
        <f t="shared" ca="1" si="61"/>
        <v>1699.9999999999998</v>
      </c>
      <c r="M328" s="161">
        <f t="shared" ca="1" si="61"/>
        <v>1700.0000000000084</v>
      </c>
    </row>
    <row r="329" spans="2:24" x14ac:dyDescent="0.3">
      <c r="C329" s="353" t="s">
        <v>1115</v>
      </c>
      <c r="D329" s="881" t="str">
        <f>IF($E$399&gt;1, "x", "")</f>
        <v/>
      </c>
      <c r="E329" s="148">
        <f>'Cost Input'!F267</f>
        <v>0</v>
      </c>
      <c r="F329" s="1315">
        <f>'Cost Input'!G267</f>
        <v>0.95</v>
      </c>
      <c r="G329" s="148">
        <f t="shared" ref="G329:M329" ca="1" si="62">$E329*(IF($D329 = "x", 1/G$401, 1)*G326)^$F329</f>
        <v>0</v>
      </c>
      <c r="H329" s="148">
        <f t="shared" ca="1" si="62"/>
        <v>0</v>
      </c>
      <c r="I329" s="148">
        <f t="shared" ca="1" si="62"/>
        <v>0</v>
      </c>
      <c r="J329" s="148">
        <f t="shared" ca="1" si="62"/>
        <v>0</v>
      </c>
      <c r="K329" s="148">
        <f t="shared" ca="1" si="62"/>
        <v>0</v>
      </c>
      <c r="L329" s="148">
        <f t="shared" ca="1" si="62"/>
        <v>0</v>
      </c>
      <c r="M329" s="148">
        <f t="shared" ca="1" si="62"/>
        <v>0</v>
      </c>
      <c r="N329" s="51"/>
      <c r="O329" s="546"/>
      <c r="P329" s="546"/>
      <c r="Q329" s="5"/>
      <c r="R329" s="223"/>
      <c r="S329" s="224"/>
      <c r="T329" s="224"/>
      <c r="U329" s="103"/>
      <c r="V329" s="103"/>
      <c r="W329" s="103"/>
      <c r="X329" s="103"/>
    </row>
    <row r="330" spans="2:24" x14ac:dyDescent="0.3">
      <c r="F330" s="1319"/>
    </row>
    <row r="331" spans="2:24" ht="14" x14ac:dyDescent="0.3">
      <c r="B331" s="665" t="s">
        <v>1313</v>
      </c>
      <c r="E331" s="154"/>
      <c r="F331" s="1318"/>
      <c r="G331" s="148"/>
      <c r="H331" s="148"/>
      <c r="I331" s="148"/>
      <c r="J331" s="148"/>
      <c r="K331" s="148"/>
      <c r="L331" s="148"/>
      <c r="M331" s="148"/>
    </row>
    <row r="332" spans="2:24" x14ac:dyDescent="0.3">
      <c r="C332" s="353" t="s">
        <v>1281</v>
      </c>
      <c r="E332" s="154"/>
      <c r="F332" s="1318"/>
      <c r="G332" s="162">
        <f ca="1">G90/'Cost Input'!$F302</f>
        <v>1.0038964346180779</v>
      </c>
      <c r="H332" s="162">
        <f ca="1">H90/'Cost Input'!$F302</f>
        <v>1.0038964346180779</v>
      </c>
      <c r="I332" s="162">
        <f ca="1">I90/'Cost Input'!$F302</f>
        <v>1.0026989343111996</v>
      </c>
      <c r="J332" s="162">
        <f ca="1">J90/'Cost Input'!$F302</f>
        <v>1.0012254264570291</v>
      </c>
      <c r="K332" s="162">
        <f ca="1">K90/'Cost Input'!$F302</f>
        <v>0.99952277870994044</v>
      </c>
      <c r="L332" s="162">
        <f ca="1">L90/'Cost Input'!$F302</f>
        <v>0.9974841688616275</v>
      </c>
      <c r="M332" s="162">
        <f ca="1">M90/'Cost Input'!$F302</f>
        <v>0.99479586183815549</v>
      </c>
    </row>
    <row r="333" spans="2:24" x14ac:dyDescent="0.3">
      <c r="C333" s="353" t="s">
        <v>1113</v>
      </c>
      <c r="D333" s="628"/>
      <c r="E333" s="154">
        <f>'Cost Input'!F271</f>
        <v>17000</v>
      </c>
      <c r="F333" s="1316">
        <f>'Cost Input'!G271</f>
        <v>0.5</v>
      </c>
      <c r="G333" s="148">
        <f t="shared" ref="G333:M333" ca="1" si="63">$E333*(IF($D333 = "x", 1/G$401, 1)*G332)^$F333</f>
        <v>17033.087494773943</v>
      </c>
      <c r="H333" s="148">
        <f t="shared" ca="1" si="63"/>
        <v>17033.087494773943</v>
      </c>
      <c r="I333" s="148">
        <f t="shared" ca="1" si="63"/>
        <v>17022.925483474828</v>
      </c>
      <c r="J333" s="148">
        <f t="shared" ca="1" si="63"/>
        <v>17010.412935789696</v>
      </c>
      <c r="K333" s="148">
        <f t="shared" ca="1" si="63"/>
        <v>16995.943134971145</v>
      </c>
      <c r="L333" s="148">
        <f t="shared" ca="1" si="63"/>
        <v>16978.601968389812</v>
      </c>
      <c r="M333" s="148">
        <f t="shared" ca="1" si="63"/>
        <v>16955.707123892738</v>
      </c>
    </row>
    <row r="334" spans="2:24" x14ac:dyDescent="0.3">
      <c r="C334" s="353" t="s">
        <v>1114</v>
      </c>
      <c r="D334" s="881" t="str">
        <f>IF($E$399&gt;2, "x", "")</f>
        <v/>
      </c>
      <c r="E334" s="1011">
        <f>'Cost Input'!F272</f>
        <v>36</v>
      </c>
      <c r="F334" s="1316">
        <f>'Cost Input'!G272</f>
        <v>0.95</v>
      </c>
      <c r="G334" s="161" cm="1">
        <f t="array" aca="1" ref="G334" ca="1">$E334*(IF($D334 = "x", 1/G$401, 1)*G332)^$F334*_p_days</f>
        <v>36.133245100822229</v>
      </c>
      <c r="H334" s="161" cm="1">
        <f t="array" aca="1" ref="H334" ca="1">$E334*(IF($D334 = "x", 1/H$401, 1)*H332)^$F334*_p_days</f>
        <v>36.133245100822229</v>
      </c>
      <c r="I334" s="161" cm="1">
        <f t="array" aca="1" ref="I334" ca="1">$E334*(IF($D334 = "x", 1/I$401, 1)*I332)^$F334*_p_days</f>
        <v>36.092297331287384</v>
      </c>
      <c r="J334" s="161" cm="1">
        <f t="array" aca="1" ref="J334" ca="1">$E334*(IF($D334 = "x", 1/J$401, 1)*J332)^$F334*_p_days</f>
        <v>36.041908301452871</v>
      </c>
      <c r="K334" s="161" cm="1">
        <f t="array" aca="1" ref="K334" ca="1">$E334*(IF($D334 = "x", 1/K$401, 1)*K332)^$F334*_p_days</f>
        <v>35.983678837129595</v>
      </c>
      <c r="L334" s="161" cm="1">
        <f t="array" aca="1" ref="L334" ca="1">$E334*(IF($D334 = "x", 1/L$401, 1)*L332)^$F334*_p_days</f>
        <v>35.913953158653932</v>
      </c>
      <c r="M334" s="161" cm="1">
        <f t="array" aca="1" ref="M334" ca="1">$E334*(IF($D334 = "x", 1/M$401, 1)*M332)^$F334*_p_days</f>
        <v>35.821995276563413</v>
      </c>
    </row>
    <row r="335" spans="2:24" x14ac:dyDescent="0.3">
      <c r="C335" s="353" t="s">
        <v>1115</v>
      </c>
      <c r="D335" s="881" t="str">
        <f>IF($E$399&gt;1, "x", "")</f>
        <v/>
      </c>
      <c r="E335" s="154">
        <f>'Cost Input'!F273</f>
        <v>1100</v>
      </c>
      <c r="F335" s="1316">
        <f>'Cost Input'!G273</f>
        <v>0.95</v>
      </c>
      <c r="G335" s="148" cm="1">
        <f t="array" aca="1" ref="G335" ca="1">$E335*(IF($D335 = "x", 1/G$401, 1)*G332)^$F335*_p_days</f>
        <v>1104.0713780806793</v>
      </c>
      <c r="H335" s="148" cm="1">
        <f t="array" aca="1" ref="H335" ca="1">$E335*(IF($D335 = "x", 1/H$401, 1)*H332)^$F335*_p_days</f>
        <v>1104.0713780806793</v>
      </c>
      <c r="I335" s="148" cm="1">
        <f t="array" aca="1" ref="I335" ca="1">$E335*(IF($D335 = "x", 1/I$401, 1)*I332)^$F335*_p_days</f>
        <v>1102.8201962337812</v>
      </c>
      <c r="J335" s="148" cm="1">
        <f t="array" aca="1" ref="J335" ca="1">$E335*(IF($D335 = "x", 1/J$401, 1)*J332)^$F335*_p_days</f>
        <v>1101.2805314332822</v>
      </c>
      <c r="K335" s="148" cm="1">
        <f t="array" aca="1" ref="K335" ca="1">$E335*(IF($D335 = "x", 1/K$401, 1)*K332)^$F335*_p_days</f>
        <v>1099.5012978011821</v>
      </c>
      <c r="L335" s="148" cm="1">
        <f t="array" aca="1" ref="L335" ca="1">$E335*(IF($D335 = "x", 1/L$401, 1)*L332)^$F335*_p_days</f>
        <v>1097.3707909588702</v>
      </c>
      <c r="M335" s="148" cm="1">
        <f t="array" aca="1" ref="M335" ca="1">$E335*(IF($D335 = "x", 1/M$401, 1)*M332)^$F335*_p_days</f>
        <v>1094.5609667838819</v>
      </c>
      <c r="O335" s="51"/>
    </row>
    <row r="336" spans="2:24" x14ac:dyDescent="0.3">
      <c r="F336" s="1319"/>
      <c r="N336" s="51"/>
      <c r="O336" s="51"/>
      <c r="P336" s="51"/>
    </row>
    <row r="337" spans="2:24" ht="14" x14ac:dyDescent="0.3">
      <c r="B337" s="665" t="s">
        <v>1314</v>
      </c>
      <c r="C337" s="353"/>
      <c r="D337" s="353"/>
      <c r="E337" s="148"/>
      <c r="F337" s="1315"/>
      <c r="N337" s="51"/>
      <c r="O337" s="546"/>
      <c r="P337" s="546"/>
      <c r="Q337" s="5"/>
      <c r="R337" s="28"/>
      <c r="S337" s="103"/>
      <c r="T337" s="103"/>
      <c r="U337" s="103"/>
      <c r="V337" s="103"/>
      <c r="W337" s="103"/>
      <c r="X337" s="103"/>
    </row>
    <row r="338" spans="2:24" x14ac:dyDescent="0.3">
      <c r="C338" s="353" t="s">
        <v>1291</v>
      </c>
      <c r="D338" s="130"/>
      <c r="E338" s="148"/>
      <c r="F338" s="1315"/>
      <c r="G338" s="25">
        <f>(1-Dashboard!$D112/100)/Dashboard!$D112*100*G14/(100-Dashboard!$D112)*Dashboard!$D112/'Cost Input'!$F297</f>
        <v>0.99775505113494711</v>
      </c>
      <c r="H338" s="25">
        <f>(1-Dashboard!$D112/100)/Dashboard!$D112*100*H14/(100-Dashboard!$D112)*Dashboard!$D112/'Cost Input'!$F297</f>
        <v>0.99775505113494711</v>
      </c>
      <c r="I338" s="25">
        <f>(1-Dashboard!$D112/100)/Dashboard!$D112*100*I14/(100-Dashboard!$D112)*Dashboard!$D112/'Cost Input'!$F297</f>
        <v>0.99775505113494711</v>
      </c>
      <c r="J338" s="25">
        <f>(1-Dashboard!$D112/100)/Dashboard!$D112*100*J14/(100-Dashboard!$D112)*Dashboard!$D112/'Cost Input'!$F297</f>
        <v>0.99775505113494711</v>
      </c>
      <c r="K338" s="25">
        <f>(1-Dashboard!$D112/100)/Dashboard!$D112*100*K14/(100-Dashboard!$D112)*Dashboard!$D112/'Cost Input'!$F297</f>
        <v>0.99775505113494711</v>
      </c>
      <c r="L338" s="25">
        <f>(1-Dashboard!$D112/100)/Dashboard!$D112*100*L14/(100-Dashboard!$D112)*Dashboard!$D112/'Cost Input'!$F297</f>
        <v>0.99775505113494711</v>
      </c>
      <c r="M338" s="25">
        <f>(1-Dashboard!$D112/100)/Dashboard!$D112*100*M14/(100-Dashboard!$D112)*Dashboard!$D112/'Cost Input'!$F297</f>
        <v>0.99775505113494711</v>
      </c>
      <c r="N338" s="51"/>
      <c r="O338" s="546"/>
      <c r="P338" s="546"/>
      <c r="Q338" s="5"/>
      <c r="R338" s="28"/>
      <c r="S338" s="103"/>
      <c r="T338" s="103"/>
      <c r="U338" s="103"/>
      <c r="V338" s="103"/>
      <c r="W338" s="103"/>
      <c r="X338" s="103"/>
    </row>
    <row r="339" spans="2:24" x14ac:dyDescent="0.3">
      <c r="C339" s="353" t="s">
        <v>1113</v>
      </c>
      <c r="D339" s="628"/>
      <c r="E339" s="148">
        <f>'Cost Input'!F277</f>
        <v>38000</v>
      </c>
      <c r="F339" s="1316">
        <f>'Cost Input'!G277</f>
        <v>0.7</v>
      </c>
      <c r="G339" s="148">
        <f t="shared" ref="G339:M339" si="64">$E339*(IF($D339 = "x", 1/G$401, 1)*G338)^$F339</f>
        <v>37940.264231818583</v>
      </c>
      <c r="H339" s="148">
        <f t="shared" si="64"/>
        <v>37940.264231818583</v>
      </c>
      <c r="I339" s="148">
        <f t="shared" si="64"/>
        <v>37940.264231818583</v>
      </c>
      <c r="J339" s="148">
        <f t="shared" si="64"/>
        <v>37940.264231818583</v>
      </c>
      <c r="K339" s="148">
        <f t="shared" si="64"/>
        <v>37940.264231818583</v>
      </c>
      <c r="L339" s="148">
        <f t="shared" si="64"/>
        <v>37940.264231818583</v>
      </c>
      <c r="M339" s="148">
        <f t="shared" si="64"/>
        <v>37940.264231818583</v>
      </c>
      <c r="N339" s="51"/>
      <c r="O339" s="51"/>
      <c r="P339" s="51"/>
      <c r="Q339" s="5"/>
      <c r="R339" s="28"/>
      <c r="S339" s="103"/>
      <c r="T339" s="103"/>
      <c r="U339" s="103"/>
      <c r="V339" s="103"/>
      <c r="W339" s="103"/>
      <c r="X339" s="103"/>
    </row>
    <row r="340" spans="2:24" x14ac:dyDescent="0.3">
      <c r="C340" s="353" t="s">
        <v>1114</v>
      </c>
      <c r="D340" s="881" t="str">
        <f>IF($E$399&gt;2, "x", "")</f>
        <v/>
      </c>
      <c r="E340" s="80">
        <f>'Cost Input'!F278</f>
        <v>9.3000000000000007</v>
      </c>
      <c r="F340" s="1316">
        <f>'Cost Input'!G278</f>
        <v>0.9</v>
      </c>
      <c r="G340" s="161">
        <f t="shared" ref="G340:M340" si="65">$E340*(IF($D340 = "x", 1/G$401, 1)*G338)^$F340</f>
        <v>9.2812076671069352</v>
      </c>
      <c r="H340" s="161">
        <f t="shared" si="65"/>
        <v>9.2812076671069352</v>
      </c>
      <c r="I340" s="161">
        <f t="shared" si="65"/>
        <v>9.2812076671069352</v>
      </c>
      <c r="J340" s="161">
        <f t="shared" si="65"/>
        <v>9.2812076671069352</v>
      </c>
      <c r="K340" s="161">
        <f t="shared" si="65"/>
        <v>9.2812076671069352</v>
      </c>
      <c r="L340" s="161">
        <f t="shared" si="65"/>
        <v>9.2812076671069352</v>
      </c>
      <c r="M340" s="161">
        <f t="shared" si="65"/>
        <v>9.2812076671069352</v>
      </c>
      <c r="N340" s="51"/>
      <c r="O340" s="546"/>
      <c r="P340" s="546"/>
      <c r="Q340" s="5"/>
      <c r="R340" s="28"/>
      <c r="S340" s="103"/>
      <c r="T340" s="103"/>
      <c r="U340" s="103"/>
      <c r="V340" s="103"/>
      <c r="W340" s="103"/>
      <c r="X340" s="103"/>
    </row>
    <row r="341" spans="2:24" x14ac:dyDescent="0.3">
      <c r="C341" s="353" t="s">
        <v>1115</v>
      </c>
      <c r="D341" s="881" t="str">
        <f>IF($E$399&gt;1, "x", "")</f>
        <v/>
      </c>
      <c r="E341" s="148">
        <f>'Cost Input'!F279</f>
        <v>3300</v>
      </c>
      <c r="F341" s="1316">
        <f>'Cost Input'!G279</f>
        <v>0.95</v>
      </c>
      <c r="G341" s="148">
        <f t="shared" ref="G341:M341" si="66">$E341*(IF($D341 = "x", 1/G$401, 1)*G338)^$F341</f>
        <v>3292.961690003377</v>
      </c>
      <c r="H341" s="148">
        <f t="shared" si="66"/>
        <v>3292.961690003377</v>
      </c>
      <c r="I341" s="148">
        <f t="shared" si="66"/>
        <v>3292.961690003377</v>
      </c>
      <c r="J341" s="148">
        <f t="shared" si="66"/>
        <v>3292.961690003377</v>
      </c>
      <c r="K341" s="148">
        <f t="shared" si="66"/>
        <v>3292.961690003377</v>
      </c>
      <c r="L341" s="148">
        <f t="shared" si="66"/>
        <v>3292.961690003377</v>
      </c>
      <c r="M341" s="148">
        <f t="shared" si="66"/>
        <v>3292.961690003377</v>
      </c>
      <c r="N341" s="51"/>
      <c r="O341" s="546"/>
      <c r="P341" s="546"/>
      <c r="Q341" s="5"/>
      <c r="R341" s="28"/>
      <c r="S341" s="103"/>
      <c r="T341" s="103"/>
      <c r="U341" s="103"/>
      <c r="V341" s="103"/>
      <c r="W341" s="103"/>
      <c r="X341" s="103"/>
    </row>
    <row r="342" spans="2:24" x14ac:dyDescent="0.3">
      <c r="C342" s="353"/>
      <c r="E342" s="148"/>
      <c r="F342" s="1315"/>
      <c r="G342" s="148"/>
      <c r="H342" s="148"/>
      <c r="I342" s="148"/>
      <c r="J342" s="148"/>
      <c r="K342" s="148"/>
      <c r="L342" s="148"/>
      <c r="M342" s="148"/>
      <c r="N342" s="51"/>
      <c r="O342" s="546"/>
      <c r="P342" s="546"/>
      <c r="Q342" s="5"/>
      <c r="R342" s="28"/>
      <c r="S342" s="103"/>
      <c r="T342" s="103"/>
      <c r="U342" s="103"/>
      <c r="V342" s="103"/>
      <c r="W342" s="103"/>
      <c r="X342" s="103"/>
    </row>
    <row r="343" spans="2:24" ht="14" x14ac:dyDescent="0.3">
      <c r="B343" s="665" t="s">
        <v>1315</v>
      </c>
      <c r="C343" s="353"/>
      <c r="D343" s="353"/>
      <c r="E343" s="148"/>
      <c r="F343" s="1315"/>
      <c r="G343" s="148"/>
      <c r="H343" s="148"/>
      <c r="I343" s="148"/>
      <c r="J343" s="148"/>
      <c r="K343" s="148"/>
      <c r="L343" s="148"/>
      <c r="M343" s="148"/>
      <c r="N343" s="51"/>
      <c r="O343" s="51"/>
      <c r="P343" s="51"/>
    </row>
    <row r="344" spans="2:24" x14ac:dyDescent="0.3">
      <c r="C344" s="353" t="s">
        <v>1311</v>
      </c>
      <c r="D344" s="353"/>
      <c r="E344" s="148"/>
      <c r="F344" s="1315"/>
      <c r="G344" s="162">
        <f ca="1">G8/'Cost Input'!$F291</f>
        <v>1</v>
      </c>
      <c r="H344" s="162">
        <f ca="1">H8/'Cost Input'!$F291</f>
        <v>1</v>
      </c>
      <c r="I344" s="162">
        <f ca="1">I8/'Cost Input'!$F291</f>
        <v>0.99999999999999989</v>
      </c>
      <c r="J344" s="162">
        <f ca="1">J8/'Cost Input'!$F291</f>
        <v>0.99999999999999989</v>
      </c>
      <c r="K344" s="162">
        <f ca="1">K8/'Cost Input'!$F291</f>
        <v>0.99999999999999989</v>
      </c>
      <c r="L344" s="162">
        <f ca="1">L8/'Cost Input'!$F291</f>
        <v>0.99999999999999989</v>
      </c>
      <c r="M344" s="162">
        <f ca="1">M8/'Cost Input'!$F291</f>
        <v>1.0000000000000051</v>
      </c>
      <c r="N344" s="51"/>
      <c r="O344" s="51"/>
      <c r="P344" s="51"/>
    </row>
    <row r="345" spans="2:24" x14ac:dyDescent="0.3">
      <c r="C345" s="353" t="s">
        <v>1113</v>
      </c>
      <c r="D345" s="628"/>
      <c r="E345" s="148">
        <f>'Cost Input'!F283</f>
        <v>46000</v>
      </c>
      <c r="F345" s="1316">
        <f>'Cost Input'!G283</f>
        <v>0.7</v>
      </c>
      <c r="G345" s="148">
        <f t="shared" ref="G345:M345" ca="1" si="67">$E345*(IF($D345 = "x", 1/G$401, 1)*G344)^$F345</f>
        <v>46000</v>
      </c>
      <c r="H345" s="148">
        <f t="shared" ca="1" si="67"/>
        <v>46000</v>
      </c>
      <c r="I345" s="148">
        <f t="shared" ca="1" si="67"/>
        <v>45999.999999999993</v>
      </c>
      <c r="J345" s="148">
        <f t="shared" ca="1" si="67"/>
        <v>45999.999999999993</v>
      </c>
      <c r="K345" s="148">
        <f t="shared" ca="1" si="67"/>
        <v>45999.999999999993</v>
      </c>
      <c r="L345" s="148">
        <f t="shared" ca="1" si="67"/>
        <v>45999.999999999993</v>
      </c>
      <c r="M345" s="148">
        <f t="shared" ca="1" si="67"/>
        <v>46000.00000000016</v>
      </c>
      <c r="N345" s="51"/>
      <c r="O345" s="51"/>
      <c r="P345" s="51"/>
    </row>
    <row r="346" spans="2:24" x14ac:dyDescent="0.3">
      <c r="C346" s="353" t="s">
        <v>1114</v>
      </c>
      <c r="D346" s="881" t="str">
        <f>IF($E$399&gt;2, "x", "")</f>
        <v/>
      </c>
      <c r="E346" s="80">
        <f>'Cost Input'!F284</f>
        <v>16</v>
      </c>
      <c r="F346" s="1316">
        <f>'Cost Input'!G284</f>
        <v>0.95</v>
      </c>
      <c r="G346" s="161">
        <f t="shared" ref="G346:M346" ca="1" si="68">$E346*(IF($D346 = "x", 1/G$401, 1)*G344)^$F346</f>
        <v>16</v>
      </c>
      <c r="H346" s="161">
        <f t="shared" ca="1" si="68"/>
        <v>16</v>
      </c>
      <c r="I346" s="161">
        <f t="shared" ca="1" si="68"/>
        <v>15.999999999999998</v>
      </c>
      <c r="J346" s="161">
        <f t="shared" ca="1" si="68"/>
        <v>15.999999999999998</v>
      </c>
      <c r="K346" s="161">
        <f t="shared" ca="1" si="68"/>
        <v>15.999999999999998</v>
      </c>
      <c r="L346" s="161">
        <f t="shared" ca="1" si="68"/>
        <v>15.999999999999998</v>
      </c>
      <c r="M346" s="161">
        <f t="shared" ca="1" si="68"/>
        <v>16.000000000000078</v>
      </c>
      <c r="N346" s="51"/>
      <c r="O346" s="51"/>
      <c r="P346" s="51"/>
    </row>
    <row r="347" spans="2:24" x14ac:dyDescent="0.3">
      <c r="C347" s="353" t="s">
        <v>1115</v>
      </c>
      <c r="D347" s="881" t="str">
        <f>IF($E$399&gt;1, "x", "")</f>
        <v/>
      </c>
      <c r="E347" s="148">
        <f>'Cost Input'!F285</f>
        <v>1300</v>
      </c>
      <c r="F347" s="1316">
        <f>'Cost Input'!G285</f>
        <v>0.95</v>
      </c>
      <c r="G347" s="148">
        <f t="shared" ref="G347:M347" ca="1" si="69">$E347*(IF($D347 = "x", 1/G$401, 1)*G344)^$F347</f>
        <v>1300</v>
      </c>
      <c r="H347" s="148">
        <f t="shared" ca="1" si="69"/>
        <v>1300</v>
      </c>
      <c r="I347" s="148">
        <f t="shared" ca="1" si="69"/>
        <v>1299.9999999999998</v>
      </c>
      <c r="J347" s="148">
        <f t="shared" ca="1" si="69"/>
        <v>1299.9999999999998</v>
      </c>
      <c r="K347" s="148">
        <f t="shared" ca="1" si="69"/>
        <v>1299.9999999999998</v>
      </c>
      <c r="L347" s="148">
        <f t="shared" ca="1" si="69"/>
        <v>1299.9999999999998</v>
      </c>
      <c r="M347" s="148">
        <f t="shared" ca="1" si="69"/>
        <v>1300.0000000000064</v>
      </c>
      <c r="N347" s="51"/>
      <c r="O347" s="51"/>
      <c r="P347" s="51"/>
    </row>
    <row r="348" spans="2:24" ht="13.5" thickBot="1" x14ac:dyDescent="0.35">
      <c r="C348" s="353"/>
      <c r="E348" s="148"/>
      <c r="F348" s="161"/>
      <c r="G348" s="148"/>
      <c r="H348" s="148"/>
      <c r="I348" s="148"/>
      <c r="J348" s="148"/>
      <c r="K348" s="148"/>
      <c r="L348" s="148"/>
      <c r="M348" s="148"/>
      <c r="N348" s="51"/>
      <c r="O348" s="51"/>
      <c r="P348" s="51"/>
    </row>
    <row r="349" spans="2:24" ht="18.5" thickBot="1" x14ac:dyDescent="0.45">
      <c r="B349" s="1496" t="s">
        <v>1316</v>
      </c>
      <c r="C349" s="1497"/>
      <c r="D349" s="1497"/>
      <c r="E349" s="1497"/>
      <c r="F349" s="1497"/>
      <c r="G349" s="1497"/>
      <c r="H349" s="1497"/>
      <c r="I349" s="1497"/>
      <c r="J349" s="1497"/>
      <c r="K349" s="1497"/>
      <c r="L349" s="1497"/>
      <c r="M349" s="1498"/>
    </row>
    <row r="350" spans="2:24" ht="17.149999999999999" customHeight="1" x14ac:dyDescent="0.3">
      <c r="C350" s="353"/>
      <c r="D350" s="53"/>
      <c r="E350" s="154"/>
      <c r="F350" s="157"/>
      <c r="G350" s="148"/>
      <c r="H350" s="148"/>
      <c r="I350" s="148"/>
      <c r="J350" s="148"/>
      <c r="K350" s="148"/>
      <c r="L350" s="148"/>
      <c r="M350" s="148"/>
      <c r="N350" s="51"/>
      <c r="O350" s="51"/>
      <c r="P350" s="51"/>
    </row>
    <row r="351" spans="2:24" ht="17.149999999999999" customHeight="1" x14ac:dyDescent="0.35">
      <c r="B351" s="6" t="s">
        <v>1317</v>
      </c>
      <c r="F351" s="130"/>
      <c r="G351" s="20"/>
      <c r="H351" s="20"/>
      <c r="I351" s="20"/>
      <c r="J351" s="20"/>
      <c r="K351" s="20"/>
      <c r="L351" s="20"/>
      <c r="M351" s="20"/>
    </row>
    <row r="352" spans="2:24" ht="17.149999999999999" customHeight="1" x14ac:dyDescent="0.3">
      <c r="B352" s="353" t="s">
        <v>1318</v>
      </c>
      <c r="F352" s="130"/>
      <c r="G352" s="1058">
        <f ca="1">G186+G192+G200+G207+G214+G220+G227+G233+G240+G246</f>
        <v>1040354.8018096951</v>
      </c>
      <c r="H352" s="1058">
        <f t="shared" ref="H352:M352" ca="1" si="70">H186+H192+H200+H207+H214+H220+H227+H233+H240+H246</f>
        <v>1040354.8018096951</v>
      </c>
      <c r="I352" s="1058">
        <f t="shared" ca="1" si="70"/>
        <v>1081551.3307006252</v>
      </c>
      <c r="J352" s="1058">
        <f t="shared" ca="1" si="70"/>
        <v>1144321.9852205527</v>
      </c>
      <c r="K352" s="1058">
        <f t="shared" ca="1" si="70"/>
        <v>1241703.480088206</v>
      </c>
      <c r="L352" s="1058">
        <f t="shared" ca="1" si="70"/>
        <v>1420836.7361565407</v>
      </c>
      <c r="M352" s="1058">
        <f t="shared" ca="1" si="70"/>
        <v>1943479.7629772406</v>
      </c>
    </row>
    <row r="353" spans="2:14" ht="17.149999999999999" customHeight="1" x14ac:dyDescent="0.3">
      <c r="B353" s="353" t="s">
        <v>1319</v>
      </c>
      <c r="F353" s="130"/>
      <c r="G353" s="1058">
        <f t="shared" ref="G353:M353" ca="1" si="71">G253+G260+G266+G278+G272+G284+G290</f>
        <v>1447337.0572881741</v>
      </c>
      <c r="H353" s="1058">
        <f t="shared" ca="1" si="71"/>
        <v>1447337.0572881741</v>
      </c>
      <c r="I353" s="1058">
        <f t="shared" ca="1" si="71"/>
        <v>1459720.1603131879</v>
      </c>
      <c r="J353" s="1058">
        <f t="shared" ca="1" si="71"/>
        <v>1478758.5348816409</v>
      </c>
      <c r="K353" s="1058">
        <f t="shared" ca="1" si="71"/>
        <v>1508633.4066125923</v>
      </c>
      <c r="L353" s="1058">
        <f t="shared" ca="1" si="71"/>
        <v>1564133.1473730963</v>
      </c>
      <c r="M353" s="1058">
        <f t="shared" ca="1" si="71"/>
        <v>1727813.1049621599</v>
      </c>
      <c r="N353" s="919">
        <f t="shared" ref="N353" si="72">N253+N260+N266+N278+N272+N284+N290</f>
        <v>0</v>
      </c>
    </row>
    <row r="354" spans="2:14" ht="17.149999999999999" customHeight="1" x14ac:dyDescent="0.3">
      <c r="B354" s="353" t="s">
        <v>1320</v>
      </c>
      <c r="F354" s="130"/>
      <c r="G354" s="1058">
        <f t="shared" ref="G354:M354" ca="1" si="73">G298</f>
        <v>559561.08191585739</v>
      </c>
      <c r="H354" s="1058">
        <f t="shared" ca="1" si="73"/>
        <v>559561.08191585739</v>
      </c>
      <c r="I354" s="1058">
        <f t="shared" ca="1" si="73"/>
        <v>559360.75611875067</v>
      </c>
      <c r="J354" s="1058">
        <f t="shared" ca="1" si="73"/>
        <v>559114.02799642517</v>
      </c>
      <c r="K354" s="1058">
        <f t="shared" ca="1" si="73"/>
        <v>558828.61532886454</v>
      </c>
      <c r="L354" s="1058">
        <f t="shared" ca="1" si="73"/>
        <v>558486.43772248202</v>
      </c>
      <c r="M354" s="1058">
        <f t="shared" ca="1" si="73"/>
        <v>558034.46020176366</v>
      </c>
    </row>
    <row r="355" spans="2:14" ht="17.149999999999999" customHeight="1" x14ac:dyDescent="0.3">
      <c r="B355" s="353" t="s">
        <v>1321</v>
      </c>
      <c r="F355" s="130"/>
      <c r="G355" s="1058">
        <f>G305</f>
        <v>170000</v>
      </c>
      <c r="H355" s="1058">
        <f t="shared" ref="H355:M355" si="74">H305</f>
        <v>170000</v>
      </c>
      <c r="I355" s="1058">
        <f t="shared" si="74"/>
        <v>170000</v>
      </c>
      <c r="J355" s="1058">
        <f t="shared" si="74"/>
        <v>170000</v>
      </c>
      <c r="K355" s="1058">
        <f t="shared" si="74"/>
        <v>170000</v>
      </c>
      <c r="L355" s="1058">
        <f t="shared" si="74"/>
        <v>170000</v>
      </c>
      <c r="M355" s="1058">
        <f t="shared" si="74"/>
        <v>170000</v>
      </c>
      <c r="N355" s="80">
        <f t="shared" ref="N355" si="75">N305+N313</f>
        <v>0</v>
      </c>
    </row>
    <row r="356" spans="2:14" ht="17.149999999999999" customHeight="1" x14ac:dyDescent="0.3">
      <c r="B356" s="353" t="s">
        <v>1322</v>
      </c>
      <c r="F356" s="130"/>
      <c r="G356" s="1058">
        <f>G313</f>
        <v>150000</v>
      </c>
      <c r="H356" s="1058">
        <f t="shared" ref="H356:M356" si="76">H313</f>
        <v>150000</v>
      </c>
      <c r="I356" s="1058">
        <f t="shared" si="76"/>
        <v>150000</v>
      </c>
      <c r="J356" s="1058">
        <f t="shared" si="76"/>
        <v>150000</v>
      </c>
      <c r="K356" s="1058">
        <f t="shared" si="76"/>
        <v>150000</v>
      </c>
      <c r="L356" s="1058">
        <f t="shared" si="76"/>
        <v>150000</v>
      </c>
      <c r="M356" s="1058">
        <f t="shared" si="76"/>
        <v>150000</v>
      </c>
      <c r="N356" s="80"/>
    </row>
    <row r="357" spans="2:14" ht="17.149999999999999" customHeight="1" x14ac:dyDescent="0.3">
      <c r="B357" s="353" t="s">
        <v>1323</v>
      </c>
      <c r="F357" s="130"/>
      <c r="G357" s="1058">
        <f t="shared" ref="G357:M357" ca="1" si="77">G320</f>
        <v>31000</v>
      </c>
      <c r="H357" s="1058">
        <f t="shared" ca="1" si="77"/>
        <v>31000</v>
      </c>
      <c r="I357" s="1058">
        <f t="shared" ca="1" si="77"/>
        <v>31000</v>
      </c>
      <c r="J357" s="1058">
        <f t="shared" ca="1" si="77"/>
        <v>31000</v>
      </c>
      <c r="K357" s="1058">
        <f t="shared" ca="1" si="77"/>
        <v>31000</v>
      </c>
      <c r="L357" s="1058">
        <f t="shared" ca="1" si="77"/>
        <v>31000</v>
      </c>
      <c r="M357" s="1058">
        <f t="shared" ca="1" si="77"/>
        <v>31000.000000000084</v>
      </c>
    </row>
    <row r="358" spans="2:14" ht="17.149999999999999" customHeight="1" x14ac:dyDescent="0.3">
      <c r="B358" s="9" t="s">
        <v>1324</v>
      </c>
      <c r="C358" s="5"/>
      <c r="D358" s="5"/>
      <c r="E358" s="5"/>
      <c r="F358" s="28"/>
      <c r="G358" s="1083">
        <f t="shared" ref="G358:M358" ca="1" si="78">G327+G333+G339+G345</f>
        <v>100973.35172659252</v>
      </c>
      <c r="H358" s="1083">
        <f t="shared" ca="1" si="78"/>
        <v>100973.35172659252</v>
      </c>
      <c r="I358" s="1083">
        <f t="shared" ca="1" si="78"/>
        <v>100963.18971529341</v>
      </c>
      <c r="J358" s="1083">
        <f t="shared" ca="1" si="78"/>
        <v>100950.67716760827</v>
      </c>
      <c r="K358" s="1083">
        <f t="shared" ca="1" si="78"/>
        <v>100936.20736678972</v>
      </c>
      <c r="L358" s="1083">
        <f t="shared" ca="1" si="78"/>
        <v>100918.86620020839</v>
      </c>
      <c r="M358" s="1083">
        <f t="shared" ca="1" si="78"/>
        <v>100895.97135571149</v>
      </c>
    </row>
    <row r="359" spans="2:14" ht="17.149999999999999" customHeight="1" x14ac:dyDescent="0.3">
      <c r="B359" s="177" t="s">
        <v>1325</v>
      </c>
      <c r="C359" s="9"/>
      <c r="D359" s="9"/>
      <c r="E359" s="9"/>
      <c r="F359" s="28"/>
      <c r="G359" s="171">
        <f t="shared" ref="G359:M359" ca="1" si="79">SUM(G352:G358)</f>
        <v>3499226.2927403189</v>
      </c>
      <c r="H359" s="171">
        <f t="shared" ca="1" si="79"/>
        <v>3499226.2927403189</v>
      </c>
      <c r="I359" s="171">
        <f t="shared" ca="1" si="79"/>
        <v>3552595.4368478567</v>
      </c>
      <c r="J359" s="171">
        <f t="shared" ca="1" si="79"/>
        <v>3634145.225266227</v>
      </c>
      <c r="K359" s="171">
        <f t="shared" ca="1" si="79"/>
        <v>3761101.7093964526</v>
      </c>
      <c r="L359" s="171">
        <f t="shared" ca="1" si="79"/>
        <v>3995375.187452327</v>
      </c>
      <c r="M359" s="171">
        <f t="shared" ca="1" si="79"/>
        <v>4681223.2994968751</v>
      </c>
    </row>
    <row r="360" spans="2:14" ht="17.149999999999999" customHeight="1" x14ac:dyDescent="0.3">
      <c r="B360" s="177"/>
      <c r="C360" s="353"/>
      <c r="D360" s="353"/>
      <c r="E360" s="353"/>
      <c r="F360" s="130"/>
      <c r="G360" s="1059"/>
      <c r="H360" s="1059"/>
      <c r="I360" s="1059"/>
      <c r="J360" s="1059"/>
      <c r="K360" s="1059"/>
      <c r="L360" s="1059"/>
      <c r="M360" s="1059"/>
    </row>
    <row r="361" spans="2:14" ht="17.149999999999999" customHeight="1" x14ac:dyDescent="0.35">
      <c r="B361" s="6" t="s">
        <v>1326</v>
      </c>
      <c r="F361" s="130"/>
      <c r="G361" s="1060"/>
      <c r="H361" s="1060"/>
      <c r="I361" s="1060"/>
      <c r="J361" s="1060"/>
      <c r="K361" s="1060"/>
      <c r="L361" s="1060"/>
      <c r="M361" s="1060"/>
    </row>
    <row r="362" spans="2:14" ht="17.149999999999999" customHeight="1" x14ac:dyDescent="0.3">
      <c r="B362" s="353" t="s">
        <v>1327</v>
      </c>
      <c r="F362" s="130"/>
      <c r="G362" s="1058">
        <f ca="1">G187+G193+G201+G208+G215+G221+G228+G234+G241+G247</f>
        <v>681.47859795937848</v>
      </c>
      <c r="H362" s="1058">
        <f t="shared" ref="H362:N362" ca="1" si="80">H187+H193+H201+H208+H215+H221+H228+H234+H241+H247</f>
        <v>681.47859795937848</v>
      </c>
      <c r="I362" s="1058">
        <f t="shared" ca="1" si="80"/>
        <v>697.30294129791173</v>
      </c>
      <c r="J362" s="1058">
        <f t="shared" ca="1" si="80"/>
        <v>721.83854483038442</v>
      </c>
      <c r="K362" s="1058">
        <f t="shared" ca="1" si="80"/>
        <v>760.64347181182325</v>
      </c>
      <c r="L362" s="1058">
        <f t="shared" ca="1" si="80"/>
        <v>834.23887776004494</v>
      </c>
      <c r="M362" s="1058">
        <f t="shared" ca="1" si="80"/>
        <v>1060.9113754141758</v>
      </c>
      <c r="N362" s="1058">
        <f t="shared" si="80"/>
        <v>0</v>
      </c>
    </row>
    <row r="363" spans="2:14" ht="17.149999999999999" customHeight="1" x14ac:dyDescent="0.3">
      <c r="B363" s="353" t="s">
        <v>1328</v>
      </c>
      <c r="F363" s="130"/>
      <c r="G363" s="1058">
        <f ca="1">G254+G261+G267+ G273 + G279+G285+G291</f>
        <v>435.46395961552236</v>
      </c>
      <c r="H363" s="1058">
        <f t="shared" ref="H363:N363" ca="1" si="81">H254+H261+H267+ H273 + H279+H285+H291</f>
        <v>435.46395961552236</v>
      </c>
      <c r="I363" s="1058">
        <f t="shared" ca="1" si="81"/>
        <v>437.04679063778593</v>
      </c>
      <c r="J363" s="1058">
        <f t="shared" ca="1" si="81"/>
        <v>439.57329394248001</v>
      </c>
      <c r="K363" s="1058">
        <f t="shared" ca="1" si="81"/>
        <v>443.72759015094454</v>
      </c>
      <c r="L363" s="1058">
        <f t="shared" ca="1" si="81"/>
        <v>453.43368002840873</v>
      </c>
      <c r="M363" s="1058">
        <f t="shared" ca="1" si="81"/>
        <v>487.0352217958316</v>
      </c>
      <c r="N363" s="1058">
        <f t="shared" si="81"/>
        <v>0</v>
      </c>
    </row>
    <row r="364" spans="2:14" ht="17.149999999999999" customHeight="1" x14ac:dyDescent="0.3">
      <c r="B364" s="353" t="s">
        <v>1329</v>
      </c>
      <c r="F364" s="130"/>
      <c r="G364" s="1058">
        <f t="shared" ref="G364:M364" ca="1" si="82">G299</f>
        <v>828.88360654842927</v>
      </c>
      <c r="H364" s="1058">
        <f t="shared" ca="1" si="82"/>
        <v>828.88360654842927</v>
      </c>
      <c r="I364" s="1058">
        <f t="shared" ca="1" si="82"/>
        <v>828.58686187737021</v>
      </c>
      <c r="J364" s="1058">
        <f t="shared" ca="1" si="82"/>
        <v>828.22138096299022</v>
      </c>
      <c r="K364" s="1058">
        <f t="shared" ca="1" si="82"/>
        <v>827.7985962324434</v>
      </c>
      <c r="L364" s="1058">
        <f t="shared" ca="1" si="82"/>
        <v>827.29172501208029</v>
      </c>
      <c r="M364" s="1058">
        <f t="shared" ca="1" si="82"/>
        <v>826.62220604523361</v>
      </c>
      <c r="N364" s="1058">
        <f t="shared" ref="N364" si="83">N299</f>
        <v>0</v>
      </c>
    </row>
    <row r="365" spans="2:14" ht="17.149999999999999" customHeight="1" x14ac:dyDescent="0.3">
      <c r="B365" s="353" t="s">
        <v>1330</v>
      </c>
      <c r="F365" s="130"/>
      <c r="G365" s="1058">
        <f>G306</f>
        <v>94</v>
      </c>
      <c r="H365" s="1058">
        <f t="shared" ref="H365:M365" si="84">H306</f>
        <v>94</v>
      </c>
      <c r="I365" s="1058">
        <f t="shared" si="84"/>
        <v>94</v>
      </c>
      <c r="J365" s="1058">
        <f t="shared" si="84"/>
        <v>94</v>
      </c>
      <c r="K365" s="1058">
        <f t="shared" si="84"/>
        <v>94</v>
      </c>
      <c r="L365" s="1058">
        <f t="shared" si="84"/>
        <v>94</v>
      </c>
      <c r="M365" s="1058">
        <f t="shared" si="84"/>
        <v>94</v>
      </c>
      <c r="N365" s="1058">
        <f t="shared" ref="N365" si="85">N306+N314</f>
        <v>0</v>
      </c>
    </row>
    <row r="366" spans="2:14" ht="17.149999999999999" customHeight="1" x14ac:dyDescent="0.3">
      <c r="B366" s="353" t="s">
        <v>1331</v>
      </c>
      <c r="F366" s="130"/>
      <c r="G366" s="1058">
        <f>G314</f>
        <v>94</v>
      </c>
      <c r="H366" s="1058">
        <f t="shared" ref="H366:M366" si="86">H314</f>
        <v>94</v>
      </c>
      <c r="I366" s="1058">
        <f t="shared" si="86"/>
        <v>94</v>
      </c>
      <c r="J366" s="1058">
        <f t="shared" si="86"/>
        <v>94</v>
      </c>
      <c r="K366" s="1058">
        <f t="shared" si="86"/>
        <v>94</v>
      </c>
      <c r="L366" s="1058">
        <f t="shared" si="86"/>
        <v>94</v>
      </c>
      <c r="M366" s="1058">
        <f t="shared" si="86"/>
        <v>94</v>
      </c>
      <c r="N366" s="1058"/>
    </row>
    <row r="367" spans="2:14" ht="12.65" customHeight="1" x14ac:dyDescent="0.3">
      <c r="B367" s="353" t="s">
        <v>1332</v>
      </c>
      <c r="F367" s="130"/>
      <c r="G367" s="1058">
        <f t="shared" ref="G367:M367" ca="1" si="87">G321</f>
        <v>200</v>
      </c>
      <c r="H367" s="1058">
        <f t="shared" ca="1" si="87"/>
        <v>200</v>
      </c>
      <c r="I367" s="1058">
        <f t="shared" ca="1" si="87"/>
        <v>199.99999999999997</v>
      </c>
      <c r="J367" s="1058">
        <f t="shared" ca="1" si="87"/>
        <v>199.99999999999997</v>
      </c>
      <c r="K367" s="1058">
        <f t="shared" ca="1" si="87"/>
        <v>199.99999999999997</v>
      </c>
      <c r="L367" s="1058">
        <f t="shared" ca="1" si="87"/>
        <v>199.99999999999997</v>
      </c>
      <c r="M367" s="1058">
        <f t="shared" ca="1" si="87"/>
        <v>200.00000000000097</v>
      </c>
      <c r="N367" s="1058">
        <f t="shared" ref="N367" si="88">N321</f>
        <v>0</v>
      </c>
    </row>
    <row r="368" spans="2:14" ht="17.149999999999999" customHeight="1" x14ac:dyDescent="0.3">
      <c r="B368" s="353" t="s">
        <v>1333</v>
      </c>
      <c r="F368" s="130"/>
      <c r="G368" s="1058">
        <f t="shared" ref="G368:M368" ca="1" si="89">G328+G334+G340+G346</f>
        <v>1761.4144527679291</v>
      </c>
      <c r="H368" s="1058">
        <f t="shared" ca="1" si="89"/>
        <v>1761.4144527679291</v>
      </c>
      <c r="I368" s="1058">
        <f t="shared" ca="1" si="89"/>
        <v>1761.3735049983941</v>
      </c>
      <c r="J368" s="1058">
        <f t="shared" ca="1" si="89"/>
        <v>1761.3231159685595</v>
      </c>
      <c r="K368" s="1058">
        <f t="shared" ca="1" si="89"/>
        <v>1761.2648865042363</v>
      </c>
      <c r="L368" s="1058">
        <f t="shared" ca="1" si="89"/>
        <v>1761.1951608257605</v>
      </c>
      <c r="M368" s="1058">
        <f t="shared" ca="1" si="89"/>
        <v>1761.1032029436788</v>
      </c>
      <c r="N368" s="1058">
        <f t="shared" ref="N368" si="90">N328+N334+N340+N346</f>
        <v>0</v>
      </c>
    </row>
    <row r="369" spans="2:20" ht="14.9" customHeight="1" x14ac:dyDescent="0.3">
      <c r="B369" s="177" t="s">
        <v>1334</v>
      </c>
      <c r="C369" s="5"/>
      <c r="D369" s="5"/>
      <c r="E369" s="5"/>
      <c r="F369" s="28"/>
      <c r="G369" s="1083">
        <f t="shared" ref="G369:M369" ca="1" si="91">SUM(G362:G368)</f>
        <v>4095.2406168912594</v>
      </c>
      <c r="H369" s="1083">
        <f t="shared" ca="1" si="91"/>
        <v>4095.2406168912594</v>
      </c>
      <c r="I369" s="1083">
        <f t="shared" ca="1" si="91"/>
        <v>4112.310098811462</v>
      </c>
      <c r="J369" s="1083">
        <f t="shared" ca="1" si="91"/>
        <v>4138.9563357044144</v>
      </c>
      <c r="K369" s="1083">
        <f t="shared" ca="1" si="91"/>
        <v>4181.4345446994475</v>
      </c>
      <c r="L369" s="1083">
        <f t="shared" ca="1" si="91"/>
        <v>4264.1594436262949</v>
      </c>
      <c r="M369" s="1083">
        <f t="shared" ca="1" si="91"/>
        <v>4523.6720061989208</v>
      </c>
    </row>
    <row r="370" spans="2:20" ht="14.9" customHeight="1" x14ac:dyDescent="0.3">
      <c r="B370" s="177"/>
      <c r="F370" s="130"/>
      <c r="G370" s="1061"/>
      <c r="H370" s="1061"/>
      <c r="I370" s="1061"/>
      <c r="J370" s="1061"/>
      <c r="K370" s="1061"/>
      <c r="L370" s="1061"/>
      <c r="M370" s="1061"/>
    </row>
    <row r="371" spans="2:20" ht="14.9" customHeight="1" x14ac:dyDescent="0.35">
      <c r="B371" s="6" t="s">
        <v>1335</v>
      </c>
      <c r="F371" s="130"/>
      <c r="G371" s="1061"/>
      <c r="H371" s="1061"/>
      <c r="I371" s="1061"/>
      <c r="J371" s="1061"/>
      <c r="K371" s="1061"/>
      <c r="L371" s="1061"/>
      <c r="M371" s="1061"/>
      <c r="O371" s="737"/>
    </row>
    <row r="372" spans="2:20" ht="14.9" customHeight="1" x14ac:dyDescent="0.3">
      <c r="B372" s="353" t="s">
        <v>1336</v>
      </c>
      <c r="F372" s="130"/>
      <c r="G372" s="1058">
        <f ca="1">G188+G194+G202+G209+G216+G222+G229+G235+G242+G248</f>
        <v>44763.534348109482</v>
      </c>
      <c r="H372" s="1058">
        <f t="shared" ref="H372:M372" ca="1" si="92">H188+H194+H202+H209+H216+H222+H229+H235+H242+H248</f>
        <v>44763.534348109482</v>
      </c>
      <c r="I372" s="1058">
        <f t="shared" ca="1" si="92"/>
        <v>47560.242065821571</v>
      </c>
      <c r="J372" s="1058">
        <f t="shared" ca="1" si="92"/>
        <v>51948.133466583822</v>
      </c>
      <c r="K372" s="1058">
        <f t="shared" ca="1" si="92"/>
        <v>59046.682624749024</v>
      </c>
      <c r="L372" s="1058">
        <f t="shared" ca="1" si="92"/>
        <v>72930.750438496063</v>
      </c>
      <c r="M372" s="1058">
        <f t="shared" ca="1" si="92"/>
        <v>118605.80128677595</v>
      </c>
      <c r="N372" s="919">
        <f t="shared" ref="N372" si="93">N188+N194+N202+N209+N216+N222+N229+N235+N242</f>
        <v>0</v>
      </c>
    </row>
    <row r="373" spans="2:20" ht="14.9" customHeight="1" x14ac:dyDescent="0.3">
      <c r="B373" s="353" t="s">
        <v>1337</v>
      </c>
      <c r="F373" s="130"/>
      <c r="G373" s="1058">
        <f ca="1">G255+G262+G268+ G274 + G280+G286+G292</f>
        <v>60869.897906122977</v>
      </c>
      <c r="H373" s="1058">
        <f t="shared" ref="H373:M373" ca="1" si="94">H255+H262+H268+ H274 + H280+H286+H292</f>
        <v>60869.897906122977</v>
      </c>
      <c r="I373" s="1058">
        <f t="shared" ca="1" si="94"/>
        <v>60869.897906122977</v>
      </c>
      <c r="J373" s="1058">
        <f t="shared" ca="1" si="94"/>
        <v>60869.897906122977</v>
      </c>
      <c r="K373" s="1058">
        <f t="shared" ca="1" si="94"/>
        <v>60869.897906122977</v>
      </c>
      <c r="L373" s="1058">
        <f t="shared" ca="1" si="94"/>
        <v>74136.840362727118</v>
      </c>
      <c r="M373" s="1058">
        <f t="shared" ca="1" si="94"/>
        <v>134523.71834744848</v>
      </c>
    </row>
    <row r="374" spans="2:20" ht="14.9" customHeight="1" x14ac:dyDescent="0.3">
      <c r="B374" s="353" t="s">
        <v>1338</v>
      </c>
      <c r="F374" s="130"/>
      <c r="G374" s="1058">
        <f ca="1">G300</f>
        <v>109852.04424135809</v>
      </c>
      <c r="H374" s="1058">
        <f t="shared" ref="H374:M374" ca="1" si="95">H300</f>
        <v>109852.04424135809</v>
      </c>
      <c r="I374" s="1058">
        <f t="shared" ca="1" si="95"/>
        <v>109812.71663435028</v>
      </c>
      <c r="J374" s="1058">
        <f t="shared" ca="1" si="95"/>
        <v>109764.27940473365</v>
      </c>
      <c r="K374" s="1058">
        <f t="shared" ca="1" si="95"/>
        <v>109708.24769345636</v>
      </c>
      <c r="L374" s="1058">
        <f t="shared" ca="1" si="95"/>
        <v>109641.07198955282</v>
      </c>
      <c r="M374" s="1058">
        <f t="shared" ca="1" si="95"/>
        <v>109552.34056021168</v>
      </c>
      <c r="N374" s="80">
        <f t="shared" ref="N374" si="96">N300</f>
        <v>0</v>
      </c>
    </row>
    <row r="375" spans="2:20" ht="14.9" customHeight="1" x14ac:dyDescent="0.3">
      <c r="B375" s="353" t="s">
        <v>1339</v>
      </c>
      <c r="F375" s="130"/>
      <c r="G375" s="1058">
        <f>G307</f>
        <v>27000</v>
      </c>
      <c r="H375" s="1058">
        <f t="shared" ref="H375:M375" si="97">H307</f>
        <v>27000</v>
      </c>
      <c r="I375" s="1058">
        <f t="shared" si="97"/>
        <v>27000</v>
      </c>
      <c r="J375" s="1058">
        <f t="shared" si="97"/>
        <v>27000</v>
      </c>
      <c r="K375" s="1058">
        <f t="shared" si="97"/>
        <v>27000</v>
      </c>
      <c r="L375" s="1058">
        <f t="shared" si="97"/>
        <v>27000</v>
      </c>
      <c r="M375" s="1058">
        <f t="shared" si="97"/>
        <v>27000</v>
      </c>
      <c r="N375" s="80">
        <f t="shared" ref="N375" si="98">N307+N315</f>
        <v>0</v>
      </c>
    </row>
    <row r="376" spans="2:20" ht="14.9" customHeight="1" x14ac:dyDescent="0.3">
      <c r="B376" s="353" t="s">
        <v>1340</v>
      </c>
      <c r="F376" s="130"/>
      <c r="G376" s="1058">
        <f>G315</f>
        <v>27000</v>
      </c>
      <c r="H376" s="1058">
        <f t="shared" ref="H376:M376" si="99">H315</f>
        <v>27000</v>
      </c>
      <c r="I376" s="1058">
        <f t="shared" si="99"/>
        <v>27000</v>
      </c>
      <c r="J376" s="1058">
        <f t="shared" si="99"/>
        <v>27000</v>
      </c>
      <c r="K376" s="1058">
        <f t="shared" si="99"/>
        <v>27000</v>
      </c>
      <c r="L376" s="1058">
        <f t="shared" si="99"/>
        <v>27000</v>
      </c>
      <c r="M376" s="1058">
        <f t="shared" si="99"/>
        <v>27000</v>
      </c>
      <c r="N376" s="80"/>
    </row>
    <row r="377" spans="2:20" ht="12" customHeight="1" x14ac:dyDescent="0.3">
      <c r="B377" s="353" t="s">
        <v>1341</v>
      </c>
      <c r="F377" s="130"/>
      <c r="G377" s="1058">
        <f t="shared" ref="G377:M377" ca="1" si="100">G322</f>
        <v>10000</v>
      </c>
      <c r="H377" s="1058">
        <f t="shared" ca="1" si="100"/>
        <v>10000</v>
      </c>
      <c r="I377" s="1058">
        <f t="shared" ca="1" si="100"/>
        <v>9999.9999999999982</v>
      </c>
      <c r="J377" s="1058">
        <f t="shared" ca="1" si="100"/>
        <v>9999.9999999999982</v>
      </c>
      <c r="K377" s="1058">
        <f t="shared" ca="1" si="100"/>
        <v>9999.9999999999982</v>
      </c>
      <c r="L377" s="1058">
        <f t="shared" ca="1" si="100"/>
        <v>9999.9999999999982</v>
      </c>
      <c r="M377" s="1058">
        <f t="shared" ca="1" si="100"/>
        <v>10000.000000000049</v>
      </c>
    </row>
    <row r="378" spans="2:20" ht="14.9" customHeight="1" x14ac:dyDescent="0.3">
      <c r="B378" s="353" t="s">
        <v>1342</v>
      </c>
      <c r="F378" s="130"/>
      <c r="G378" s="1058">
        <f t="shared" ref="G378:M378" ca="1" si="101">G329+G335+G341+G347</f>
        <v>5697.0330680840561</v>
      </c>
      <c r="H378" s="1058">
        <f t="shared" ca="1" si="101"/>
        <v>5697.0330680840561</v>
      </c>
      <c r="I378" s="1058">
        <f t="shared" ca="1" si="101"/>
        <v>5695.7818862371587</v>
      </c>
      <c r="J378" s="1058">
        <f t="shared" ca="1" si="101"/>
        <v>5694.2422214366597</v>
      </c>
      <c r="K378" s="1058">
        <f t="shared" ca="1" si="101"/>
        <v>5692.4629878045589</v>
      </c>
      <c r="L378" s="1058">
        <f t="shared" ca="1" si="101"/>
        <v>5690.3324809622472</v>
      </c>
      <c r="M378" s="1058">
        <f t="shared" ca="1" si="101"/>
        <v>5687.5226567872651</v>
      </c>
    </row>
    <row r="379" spans="2:20" ht="14.15" customHeight="1" x14ac:dyDescent="0.3">
      <c r="B379" s="177" t="s">
        <v>1343</v>
      </c>
      <c r="C379" s="5"/>
      <c r="D379" s="5"/>
      <c r="E379" s="5"/>
      <c r="F379" s="28"/>
      <c r="G379" s="103">
        <f t="shared" ref="G379:M379" ca="1" si="102">SUM(G372:G378)</f>
        <v>285182.50956367457</v>
      </c>
      <c r="H379" s="103">
        <f t="shared" ca="1" si="102"/>
        <v>285182.50956367457</v>
      </c>
      <c r="I379" s="103">
        <f t="shared" ca="1" si="102"/>
        <v>287938.63849253196</v>
      </c>
      <c r="J379" s="103">
        <f t="shared" ca="1" si="102"/>
        <v>292276.55299887707</v>
      </c>
      <c r="K379" s="103">
        <f t="shared" ca="1" si="102"/>
        <v>299317.2912121329</v>
      </c>
      <c r="L379" s="103">
        <f t="shared" ca="1" si="102"/>
        <v>326398.99527173827</v>
      </c>
      <c r="M379" s="103">
        <f t="shared" ca="1" si="102"/>
        <v>432369.3828512234</v>
      </c>
    </row>
    <row r="380" spans="2:20" x14ac:dyDescent="0.3">
      <c r="N380" s="51"/>
      <c r="O380" s="51"/>
      <c r="P380" s="51"/>
      <c r="R380" s="65"/>
      <c r="S380" s="65"/>
      <c r="T380" s="65"/>
    </row>
    <row r="381" spans="2:20" ht="15.5" x14ac:dyDescent="0.35">
      <c r="B381" s="27" t="s">
        <v>1344</v>
      </c>
      <c r="E381" s="353"/>
      <c r="F381" s="353"/>
      <c r="G381" s="353"/>
      <c r="H381" s="353"/>
      <c r="I381" s="353"/>
      <c r="J381" s="353"/>
      <c r="K381" s="353"/>
      <c r="L381" s="353"/>
      <c r="M381" s="353"/>
      <c r="N381" s="51"/>
      <c r="O381" s="51"/>
      <c r="P381" s="51"/>
      <c r="Q381" s="65"/>
      <c r="R381" s="65"/>
      <c r="S381" s="65"/>
      <c r="T381" s="65"/>
    </row>
    <row r="382" spans="2:20" x14ac:dyDescent="0.3">
      <c r="B382" s="353" t="s">
        <v>1113</v>
      </c>
      <c r="C382" s="353"/>
      <c r="D382" s="353"/>
      <c r="E382" s="353"/>
      <c r="F382" s="353"/>
      <c r="G382" s="132">
        <f ca="1">SUM(G352:G354)+G357/3+G358</f>
        <v>3158559.6260736524</v>
      </c>
      <c r="H382" s="132">
        <f t="shared" ref="H382:M382" ca="1" si="103">SUM(H352:H354)+H357/3+H358</f>
        <v>3158559.6260736524</v>
      </c>
      <c r="I382" s="132">
        <f t="shared" ca="1" si="103"/>
        <v>3211928.7701811902</v>
      </c>
      <c r="J382" s="132">
        <f t="shared" ca="1" si="103"/>
        <v>3293478.5585995605</v>
      </c>
      <c r="K382" s="132">
        <f t="shared" ca="1" si="103"/>
        <v>3420435.0427297861</v>
      </c>
      <c r="L382" s="132">
        <f t="shared" ca="1" si="103"/>
        <v>3654708.5207856605</v>
      </c>
      <c r="M382" s="132">
        <f t="shared" ca="1" si="103"/>
        <v>4340556.6328302082</v>
      </c>
      <c r="N382" s="51"/>
      <c r="O382" s="51"/>
      <c r="P382" s="51"/>
      <c r="Q382" s="65"/>
      <c r="R382" s="65"/>
      <c r="S382" s="65"/>
      <c r="T382" s="65"/>
    </row>
    <row r="383" spans="2:20" x14ac:dyDescent="0.3">
      <c r="B383" s="353" t="s">
        <v>1114</v>
      </c>
      <c r="C383" s="353"/>
      <c r="D383" s="353"/>
      <c r="E383" s="353"/>
      <c r="F383" s="353"/>
      <c r="G383" s="132">
        <f ca="1">SUM(G362:G364)+G367/3+G334+G340+G346+G328*G384/G379</f>
        <v>3412.2675269994825</v>
      </c>
      <c r="H383" s="132">
        <f t="shared" ref="H383:N383" ca="1" si="104">SUM(H362:H364)+H367/3+H334+H340+H346+H328*H384/H379</f>
        <v>3412.2675269994825</v>
      </c>
      <c r="I383" s="132">
        <f t="shared" ca="1" si="104"/>
        <v>3432.7985999034236</v>
      </c>
      <c r="J383" s="132">
        <f t="shared" ca="1" si="104"/>
        <v>3464.7608508397898</v>
      </c>
      <c r="K383" s="132">
        <f t="shared" ca="1" si="104"/>
        <v>3515.5393154740373</v>
      </c>
      <c r="L383" s="132">
        <f t="shared" ca="1" si="104"/>
        <v>3626.8529154383896</v>
      </c>
      <c r="M383" s="132">
        <f t="shared" ca="1" si="104"/>
        <v>3963.8080612546773</v>
      </c>
      <c r="N383" s="132" t="e">
        <f t="shared" si="104"/>
        <v>#DIV/0!</v>
      </c>
      <c r="O383" s="51"/>
      <c r="P383" s="51"/>
      <c r="Q383" s="65"/>
    </row>
    <row r="384" spans="2:20" x14ac:dyDescent="0.3">
      <c r="B384" s="353" t="s">
        <v>1115</v>
      </c>
      <c r="C384" s="353"/>
      <c r="D384" s="353"/>
      <c r="E384" s="353"/>
      <c r="F384" s="353"/>
      <c r="G384" s="132">
        <f t="shared" ref="G384:M384" ca="1" si="105">SUM(G372:G374)+G377/3+G378</f>
        <v>224515.84289700794</v>
      </c>
      <c r="H384" s="132">
        <f t="shared" ca="1" si="105"/>
        <v>224515.84289700794</v>
      </c>
      <c r="I384" s="132">
        <f t="shared" ca="1" si="105"/>
        <v>227271.9718258653</v>
      </c>
      <c r="J384" s="132">
        <f t="shared" ca="1" si="105"/>
        <v>231609.88633221044</v>
      </c>
      <c r="K384" s="132">
        <f t="shared" ca="1" si="105"/>
        <v>238650.62454546624</v>
      </c>
      <c r="L384" s="132">
        <f t="shared" ca="1" si="105"/>
        <v>265732.32860507158</v>
      </c>
      <c r="M384" s="132">
        <f t="shared" ca="1" si="105"/>
        <v>371702.71618455672</v>
      </c>
      <c r="N384" s="51"/>
      <c r="O384" s="51"/>
      <c r="P384" s="51"/>
    </row>
    <row r="385" spans="1:24" s="353" customFormat="1" x14ac:dyDescent="0.3">
      <c r="A385" s="130"/>
      <c r="B385"/>
      <c r="C385"/>
      <c r="D385"/>
      <c r="E385"/>
      <c r="F385"/>
      <c r="G385"/>
      <c r="H385"/>
      <c r="I385"/>
      <c r="J385"/>
      <c r="K385"/>
      <c r="L385"/>
      <c r="M385"/>
      <c r="N385" s="547"/>
      <c r="O385" s="546"/>
      <c r="P385" s="546"/>
      <c r="Q385" s="118"/>
      <c r="R385" s="223"/>
      <c r="S385" s="224"/>
      <c r="T385" s="224"/>
      <c r="U385" s="103"/>
      <c r="V385" s="103"/>
      <c r="W385" s="103"/>
      <c r="X385" s="103"/>
    </row>
    <row r="386" spans="1:24" ht="15.5" x14ac:dyDescent="0.35">
      <c r="B386" s="27" t="s">
        <v>1345</v>
      </c>
      <c r="N386" s="547"/>
      <c r="O386" s="546"/>
      <c r="P386" s="546"/>
      <c r="Q386" s="118"/>
      <c r="R386" s="223"/>
      <c r="S386" s="224"/>
      <c r="T386" s="224"/>
      <c r="U386" s="103"/>
      <c r="V386" s="103"/>
      <c r="W386" s="103"/>
      <c r="X386" s="103"/>
    </row>
    <row r="387" spans="1:24" x14ac:dyDescent="0.3">
      <c r="B387" s="353" t="s">
        <v>1113</v>
      </c>
      <c r="G387" s="48">
        <f t="shared" ref="G387:M387" ca="1" si="106">G382+G355+G357/3</f>
        <v>3338892.9594069859</v>
      </c>
      <c r="H387" s="48">
        <f t="shared" ca="1" si="106"/>
        <v>3338892.9594069859</v>
      </c>
      <c r="I387" s="48">
        <f t="shared" ca="1" si="106"/>
        <v>3392262.1035145237</v>
      </c>
      <c r="J387" s="48">
        <f t="shared" ca="1" si="106"/>
        <v>3473811.891932894</v>
      </c>
      <c r="K387" s="48">
        <f t="shared" ca="1" si="106"/>
        <v>3600768.3760631196</v>
      </c>
      <c r="L387" s="48">
        <f t="shared" ca="1" si="106"/>
        <v>3835041.854118994</v>
      </c>
      <c r="M387" s="48">
        <f t="shared" ca="1" si="106"/>
        <v>4520889.9661635412</v>
      </c>
      <c r="N387" s="48">
        <f t="shared" ref="N387" si="107">N382+N355+N357/3</f>
        <v>0</v>
      </c>
      <c r="O387" s="51"/>
      <c r="P387" s="51"/>
      <c r="Q387" s="118"/>
      <c r="R387" s="65"/>
      <c r="S387" s="65"/>
      <c r="T387" s="65"/>
    </row>
    <row r="388" spans="1:24" x14ac:dyDescent="0.3">
      <c r="B388" s="353" t="s">
        <v>1114</v>
      </c>
      <c r="E388" s="51"/>
      <c r="G388" s="40">
        <f t="shared" ref="G388:M388" ca="1" si="108">G383++G365+G367/3+G328*(G375+G377/3)/G379</f>
        <v>3753.7540719453709</v>
      </c>
      <c r="H388" s="40">
        <f t="shared" ca="1" si="108"/>
        <v>3753.7540719453709</v>
      </c>
      <c r="I388" s="40">
        <f t="shared" ca="1" si="108"/>
        <v>3772.5543493574428</v>
      </c>
      <c r="J388" s="40">
        <f t="shared" ca="1" si="108"/>
        <v>3801.8585932721021</v>
      </c>
      <c r="K388" s="40">
        <f t="shared" ca="1" si="108"/>
        <v>3848.4869300867422</v>
      </c>
      <c r="L388" s="40">
        <f t="shared" ca="1" si="108"/>
        <v>3945.5061795323418</v>
      </c>
      <c r="M388" s="40">
        <f t="shared" ca="1" si="108"/>
        <v>4243.7400337267991</v>
      </c>
      <c r="N388" s="40" t="e">
        <f t="shared" ref="N388" si="109">N383++N365+N367/3+N328*(N375+N377/3)/N379</f>
        <v>#DIV/0!</v>
      </c>
      <c r="O388" s="51"/>
      <c r="P388" s="51"/>
      <c r="Q388" s="65"/>
    </row>
    <row r="389" spans="1:24" x14ac:dyDescent="0.3">
      <c r="B389" s="353" t="s">
        <v>1115</v>
      </c>
      <c r="G389" s="48">
        <f t="shared" ref="G389:M389" ca="1" si="110">G384+G375+G377/3</f>
        <v>254849.17623034128</v>
      </c>
      <c r="H389" s="48">
        <f t="shared" ca="1" si="110"/>
        <v>254849.17623034128</v>
      </c>
      <c r="I389" s="48">
        <f t="shared" ca="1" si="110"/>
        <v>257605.30515919864</v>
      </c>
      <c r="J389" s="48">
        <f t="shared" ca="1" si="110"/>
        <v>261943.21966554379</v>
      </c>
      <c r="K389" s="48">
        <f t="shared" ca="1" si="110"/>
        <v>268983.95787879959</v>
      </c>
      <c r="L389" s="48">
        <f t="shared" ca="1" si="110"/>
        <v>296065.6619384049</v>
      </c>
      <c r="M389" s="48">
        <f t="shared" ca="1" si="110"/>
        <v>402036.04951789009</v>
      </c>
      <c r="N389" s="48">
        <f t="shared" ref="N389" si="111">N384+N375+N377/3</f>
        <v>0</v>
      </c>
      <c r="O389" s="51"/>
      <c r="P389" s="51"/>
    </row>
    <row r="390" spans="1:24" x14ac:dyDescent="0.3">
      <c r="C390" s="353"/>
      <c r="D390" s="53"/>
      <c r="E390" s="154"/>
      <c r="F390" s="157"/>
      <c r="G390" s="148"/>
      <c r="H390" s="148"/>
      <c r="I390" s="148"/>
      <c r="J390" s="148"/>
      <c r="K390" s="148"/>
      <c r="L390" s="148"/>
      <c r="M390" s="148"/>
      <c r="N390" s="51"/>
      <c r="O390" s="51"/>
      <c r="P390" s="51"/>
    </row>
    <row r="391" spans="1:24" ht="15.5" x14ac:dyDescent="0.35">
      <c r="B391" s="27" t="s">
        <v>1346</v>
      </c>
      <c r="C391" s="353"/>
      <c r="D391" s="353"/>
      <c r="N391" s="547"/>
      <c r="O391" s="546"/>
      <c r="P391" s="546"/>
      <c r="Q391" s="118"/>
      <c r="R391" s="223"/>
      <c r="S391" s="224"/>
      <c r="T391" s="224"/>
      <c r="U391" s="103"/>
      <c r="V391" s="103"/>
      <c r="W391" s="103"/>
      <c r="X391" s="103"/>
    </row>
    <row r="392" spans="1:24" s="353" customFormat="1" x14ac:dyDescent="0.3">
      <c r="A392" s="130" t="s">
        <v>438</v>
      </c>
      <c r="B392" s="353" t="s">
        <v>1113</v>
      </c>
      <c r="C392"/>
      <c r="D392"/>
      <c r="E392"/>
      <c r="F392"/>
      <c r="G392" s="40">
        <f t="shared" ref="G392:M392" ca="1" si="112">G359</f>
        <v>3499226.2927403189</v>
      </c>
      <c r="H392" s="40">
        <f t="shared" ca="1" si="112"/>
        <v>3499226.2927403189</v>
      </c>
      <c r="I392" s="40">
        <f t="shared" ca="1" si="112"/>
        <v>3552595.4368478567</v>
      </c>
      <c r="J392" s="40">
        <f t="shared" ca="1" si="112"/>
        <v>3634145.225266227</v>
      </c>
      <c r="K392" s="40">
        <f t="shared" ca="1" si="112"/>
        <v>3761101.7093964526</v>
      </c>
      <c r="L392" s="40">
        <f t="shared" ca="1" si="112"/>
        <v>3995375.187452327</v>
      </c>
      <c r="M392" s="40">
        <f t="shared" ca="1" si="112"/>
        <v>4681223.2994968751</v>
      </c>
      <c r="N392" s="547"/>
      <c r="O392" s="51"/>
      <c r="P392" s="51"/>
      <c r="Q392" s="118"/>
      <c r="R392" s="223"/>
      <c r="S392" s="224"/>
      <c r="T392" s="224"/>
      <c r="U392" s="103"/>
      <c r="V392" s="103"/>
      <c r="W392" s="103"/>
      <c r="X392" s="103"/>
    </row>
    <row r="393" spans="1:24" s="353" customFormat="1" x14ac:dyDescent="0.3">
      <c r="A393" s="130" t="s">
        <v>438</v>
      </c>
      <c r="B393" s="353" t="s">
        <v>1114</v>
      </c>
      <c r="C393"/>
      <c r="D393"/>
      <c r="E393" s="21"/>
      <c r="F393"/>
      <c r="G393" s="40">
        <f t="shared" ref="G393:M393" ca="1" si="113">G369</f>
        <v>4095.2406168912594</v>
      </c>
      <c r="H393" s="40">
        <f t="shared" ca="1" si="113"/>
        <v>4095.2406168912594</v>
      </c>
      <c r="I393" s="40">
        <f t="shared" ca="1" si="113"/>
        <v>4112.310098811462</v>
      </c>
      <c r="J393" s="40">
        <f t="shared" ca="1" si="113"/>
        <v>4138.9563357044144</v>
      </c>
      <c r="K393" s="40">
        <f t="shared" ca="1" si="113"/>
        <v>4181.4345446994475</v>
      </c>
      <c r="L393" s="40">
        <f t="shared" ca="1" si="113"/>
        <v>4264.1594436262949</v>
      </c>
      <c r="M393" s="40">
        <f t="shared" ca="1" si="113"/>
        <v>4523.6720061989208</v>
      </c>
      <c r="N393" s="547"/>
      <c r="O393" s="51"/>
      <c r="P393" s="51"/>
      <c r="Q393" s="118"/>
      <c r="R393" s="223"/>
      <c r="S393" s="224"/>
      <c r="T393" s="224"/>
      <c r="U393" s="103"/>
      <c r="V393" s="103"/>
      <c r="W393" s="103"/>
      <c r="X393" s="103"/>
    </row>
    <row r="394" spans="1:24" s="353" customFormat="1" x14ac:dyDescent="0.3">
      <c r="A394" s="130" t="s">
        <v>438</v>
      </c>
      <c r="B394" s="353" t="s">
        <v>1115</v>
      </c>
      <c r="C394"/>
      <c r="D394"/>
      <c r="E394"/>
      <c r="F394"/>
      <c r="G394" s="40">
        <f t="shared" ref="G394:M394" ca="1" si="114">G379</f>
        <v>285182.50956367457</v>
      </c>
      <c r="H394" s="40">
        <f t="shared" ca="1" si="114"/>
        <v>285182.50956367457</v>
      </c>
      <c r="I394" s="40">
        <f t="shared" ca="1" si="114"/>
        <v>287938.63849253196</v>
      </c>
      <c r="J394" s="40">
        <f t="shared" ca="1" si="114"/>
        <v>292276.55299887707</v>
      </c>
      <c r="K394" s="40">
        <f t="shared" ca="1" si="114"/>
        <v>299317.2912121329</v>
      </c>
      <c r="L394" s="40">
        <f t="shared" ca="1" si="114"/>
        <v>326398.99527173827</v>
      </c>
      <c r="M394" s="40">
        <f t="shared" ca="1" si="114"/>
        <v>432369.3828512234</v>
      </c>
      <c r="N394" s="547"/>
      <c r="O394" s="51"/>
      <c r="P394" s="51"/>
      <c r="Q394" s="118"/>
      <c r="R394" s="223"/>
      <c r="S394" s="224"/>
      <c r="T394" s="224"/>
      <c r="U394" s="103"/>
      <c r="V394" s="103"/>
      <c r="W394" s="103"/>
      <c r="X394" s="103"/>
    </row>
    <row r="395" spans="1:24" x14ac:dyDescent="0.3">
      <c r="C395" s="353"/>
      <c r="D395" s="353"/>
      <c r="G395" s="40"/>
      <c r="H395" s="40"/>
      <c r="I395" s="40"/>
      <c r="J395" s="40"/>
      <c r="K395" s="40"/>
      <c r="L395" s="40"/>
      <c r="M395" s="40"/>
      <c r="N395" s="51"/>
      <c r="O395" s="51"/>
      <c r="P395" s="51"/>
    </row>
    <row r="396" spans="1:24" ht="13.5" thickBot="1" x14ac:dyDescent="0.35">
      <c r="H396" s="40"/>
      <c r="N396" s="51"/>
      <c r="O396" s="51"/>
      <c r="P396" s="51"/>
    </row>
    <row r="397" spans="1:24" ht="20.5" thickBot="1" x14ac:dyDescent="0.45">
      <c r="B397" s="1453" t="s">
        <v>1347</v>
      </c>
      <c r="C397" s="1454"/>
      <c r="D397" s="1454"/>
      <c r="E397" s="1454"/>
      <c r="F397" s="1454"/>
      <c r="G397" s="1454"/>
      <c r="H397" s="1454"/>
      <c r="I397" s="1454"/>
      <c r="J397" s="1454"/>
      <c r="K397" s="1454"/>
      <c r="L397" s="1454"/>
      <c r="M397" s="1455"/>
      <c r="N397" s="51"/>
      <c r="O397" s="51"/>
      <c r="P397" s="51"/>
    </row>
    <row r="398" spans="1:24" x14ac:dyDescent="0.3">
      <c r="N398" s="51"/>
      <c r="O398" s="51"/>
      <c r="P398" s="51"/>
    </row>
    <row r="399" spans="1:24" ht="17.149999999999999" customHeight="1" x14ac:dyDescent="0.3">
      <c r="B399" s="353" t="s">
        <v>89</v>
      </c>
      <c r="E399" s="628">
        <f>MATCH(Dashboard!D107, Lists!BA20:BA22, 0)</f>
        <v>1</v>
      </c>
      <c r="F399" s="353" t="s">
        <v>229</v>
      </c>
      <c r="N399" s="51"/>
      <c r="O399" s="51"/>
      <c r="P399" s="51"/>
    </row>
    <row r="400" spans="1:24" x14ac:dyDescent="0.3">
      <c r="B400" s="353" t="s">
        <v>1348</v>
      </c>
      <c r="G400" s="48">
        <f>IF($E$399 = 1, G402,IF(Dashboard!D109="", G402/Dashboard!D110, Dashboard!D109))</f>
        <v>500000</v>
      </c>
      <c r="H400" s="48">
        <f>IF($E$399 = 1, H402,IF(Dashboard!E109="", H402/Dashboard!E110, Dashboard!E109))</f>
        <v>500000</v>
      </c>
      <c r="I400" s="48">
        <f>IF($E$399 = 1, I402,IF(Dashboard!F109="", I402/Dashboard!F110, Dashboard!F109))</f>
        <v>500000</v>
      </c>
      <c r="J400" s="48">
        <f>IF($E$399 = 1, J402,IF(Dashboard!G109="", J402/Dashboard!G110, Dashboard!G109))</f>
        <v>500000</v>
      </c>
      <c r="K400" s="48">
        <f>IF($E$399 = 1, K402,IF(Dashboard!H109="", K402/Dashboard!H110, Dashboard!H109))</f>
        <v>500000</v>
      </c>
      <c r="L400" s="48">
        <f>IF($E$399 = 1, L402,IF(Dashboard!I109="", L402/Dashboard!I110, Dashboard!I109))</f>
        <v>500000</v>
      </c>
      <c r="M400" s="48">
        <f>IF($E$399 = 1, M402,IF(Dashboard!J109="", M402/Dashboard!J110, Dashboard!J109))</f>
        <v>500000</v>
      </c>
      <c r="N400" s="51"/>
      <c r="O400" s="51"/>
      <c r="P400" s="51"/>
    </row>
    <row r="401" spans="2:16" x14ac:dyDescent="0.3">
      <c r="B401" s="353" t="s">
        <v>92</v>
      </c>
      <c r="G401" s="567">
        <f>IF($E$399 = 1, 1, IF(Dashboard!D110="", G402/Dashboard!D109, Dashboard!D110))</f>
        <v>1</v>
      </c>
      <c r="H401" s="567">
        <f>IF($E$399 = 1, 1, IF(Dashboard!E110="", H402/Dashboard!E109, Dashboard!E110))</f>
        <v>1</v>
      </c>
      <c r="I401" s="567">
        <f>IF($E$399 = 1, 1, IF(Dashboard!F110="", I402/Dashboard!F109, Dashboard!F110))</f>
        <v>1</v>
      </c>
      <c r="J401" s="567">
        <f>IF($E$399 = 1, 1, IF(Dashboard!G110="", J402/Dashboard!G109, Dashboard!G110))</f>
        <v>1</v>
      </c>
      <c r="K401" s="567">
        <f>IF($E$399 = 1, 1, IF(Dashboard!H110="", K402/Dashboard!H109, Dashboard!H110))</f>
        <v>1</v>
      </c>
      <c r="L401" s="567">
        <f>IF($E$399 = 1, 1, IF(Dashboard!I110="", L402/Dashboard!I109, Dashboard!I110))</f>
        <v>1</v>
      </c>
      <c r="M401" s="567">
        <f>IF($E$399 = 1, 1, IF(Dashboard!J110="", M402/Dashboard!J109, Dashboard!J110))</f>
        <v>1</v>
      </c>
      <c r="N401" s="51"/>
      <c r="O401" s="51"/>
      <c r="P401" s="51"/>
    </row>
    <row r="402" spans="2:16" x14ac:dyDescent="0.3">
      <c r="B402" s="353" t="s">
        <v>1349</v>
      </c>
      <c r="G402" s="48">
        <f>Dashboard!D105</f>
        <v>500000</v>
      </c>
      <c r="H402" s="48">
        <f>Dashboard!E105</f>
        <v>500000</v>
      </c>
      <c r="I402" s="48">
        <f>Dashboard!F105</f>
        <v>500000</v>
      </c>
      <c r="J402" s="48">
        <f>Dashboard!G105</f>
        <v>500000</v>
      </c>
      <c r="K402" s="48">
        <f>Dashboard!H105</f>
        <v>500000</v>
      </c>
      <c r="L402" s="48">
        <f>Dashboard!I105</f>
        <v>500000</v>
      </c>
      <c r="M402" s="48">
        <f>Dashboard!J105</f>
        <v>500000</v>
      </c>
      <c r="N402" s="353"/>
      <c r="O402" s="51"/>
      <c r="P402" s="51"/>
    </row>
    <row r="403" spans="2:16" x14ac:dyDescent="0.3">
      <c r="B403" s="353"/>
      <c r="N403" s="353"/>
    </row>
    <row r="404" spans="2:16" ht="13.5" thickBot="1" x14ac:dyDescent="0.35">
      <c r="H404" s="132"/>
    </row>
    <row r="405" spans="2:16" ht="20.5" thickBot="1" x14ac:dyDescent="0.45">
      <c r="B405" s="1453" t="s">
        <v>1350</v>
      </c>
      <c r="C405" s="1454"/>
      <c r="D405" s="1454"/>
      <c r="E405" s="1454"/>
      <c r="F405" s="1454"/>
      <c r="G405" s="1454"/>
      <c r="H405" s="1454"/>
      <c r="I405" s="1454"/>
      <c r="J405" s="1454"/>
      <c r="K405" s="1454"/>
      <c r="L405" s="1454"/>
      <c r="M405" s="1455"/>
    </row>
    <row r="406" spans="2:16" ht="20.5" thickBot="1" x14ac:dyDescent="0.45">
      <c r="B406" s="729"/>
      <c r="C406" s="729"/>
      <c r="D406" s="729"/>
      <c r="E406" s="729"/>
      <c r="F406" s="729"/>
      <c r="G406" s="729"/>
      <c r="H406" s="729"/>
      <c r="I406" s="729"/>
      <c r="J406" s="729"/>
      <c r="K406" s="729"/>
      <c r="L406" s="729"/>
      <c r="M406" s="729"/>
    </row>
    <row r="407" spans="2:16" ht="18.5" thickBot="1" x14ac:dyDescent="0.45">
      <c r="B407" s="1496" t="s">
        <v>1351</v>
      </c>
      <c r="C407" s="1497"/>
      <c r="D407" s="1497"/>
      <c r="E407" s="1497"/>
      <c r="F407" s="1497"/>
      <c r="G407" s="1497"/>
      <c r="H407" s="1497"/>
      <c r="I407" s="1497"/>
      <c r="J407" s="1497"/>
      <c r="K407" s="1497"/>
      <c r="L407" s="1497"/>
      <c r="M407" s="1498"/>
    </row>
    <row r="408" spans="2:16" ht="18" x14ac:dyDescent="0.4">
      <c r="B408" s="657"/>
      <c r="C408" s="657"/>
      <c r="D408" s="657"/>
      <c r="E408" s="657"/>
      <c r="F408" s="657"/>
      <c r="G408" s="657"/>
      <c r="H408" s="657"/>
      <c r="I408" s="657"/>
      <c r="J408" s="657"/>
      <c r="K408" s="657"/>
      <c r="L408" s="657"/>
      <c r="M408" s="657"/>
    </row>
    <row r="409" spans="2:16" x14ac:dyDescent="0.3">
      <c r="B409" s="353" t="str" cm="1">
        <f t="array" ref="B409">"Pack manufacturing strategy: " &amp; INDEX(Lists!B156:B158,E409)</f>
        <v>Pack manufacturing strategy: All manufacturing in-house (Default)</v>
      </c>
      <c r="E409" s="628">
        <f>Lists!B155</f>
        <v>1</v>
      </c>
      <c r="F409" s="353" t="s">
        <v>229</v>
      </c>
      <c r="H409" s="132"/>
    </row>
    <row r="410" spans="2:16" x14ac:dyDescent="0.3">
      <c r="E410" s="1086"/>
      <c r="H410" s="132"/>
    </row>
    <row r="411" spans="2:16" x14ac:dyDescent="0.3">
      <c r="B411" s="353" t="str" cm="1">
        <f t="array" ref="B411">"Pack cost option: " &amp; INDEX(Lists!B164:B165,E411)</f>
        <v>Pack cost option: Cost to consumer - includes pack profit/warranty (Default)</v>
      </c>
      <c r="E411" s="628">
        <f>Lists!B163</f>
        <v>1</v>
      </c>
      <c r="F411" s="353" t="s">
        <v>229</v>
      </c>
      <c r="H411" s="132"/>
    </row>
    <row r="412" spans="2:16" x14ac:dyDescent="0.3">
      <c r="H412" s="132"/>
    </row>
    <row r="413" spans="2:16" x14ac:dyDescent="0.3">
      <c r="B413" s="1499" t="s">
        <v>230</v>
      </c>
      <c r="C413" s="1500"/>
      <c r="D413" s="1501"/>
      <c r="E413" s="1188" t="s">
        <v>231</v>
      </c>
      <c r="H413" s="132"/>
    </row>
    <row r="414" spans="2:16" x14ac:dyDescent="0.3">
      <c r="B414" s="681"/>
      <c r="C414" s="681"/>
      <c r="E414" s="1091"/>
      <c r="H414" s="132"/>
    </row>
    <row r="415" spans="2:16" x14ac:dyDescent="0.3">
      <c r="B415" s="353" t="s">
        <v>232</v>
      </c>
      <c r="E415" s="628" t="str">
        <f>IF(Lists!C154=1,"x","")</f>
        <v/>
      </c>
      <c r="F415" s="130"/>
      <c r="H415" s="132"/>
    </row>
    <row r="416" spans="2:16" x14ac:dyDescent="0.3">
      <c r="B416" s="353" t="s">
        <v>233</v>
      </c>
      <c r="E416" s="628" t="str">
        <f>IF(Lists!D154=1,"x","")</f>
        <v/>
      </c>
      <c r="F416" s="130"/>
      <c r="H416" s="132"/>
    </row>
    <row r="417" spans="2:15" x14ac:dyDescent="0.3">
      <c r="B417" s="353" t="s">
        <v>234</v>
      </c>
      <c r="E417" s="628" t="str">
        <f>IF(Lists!C162=1,"x","")</f>
        <v>x</v>
      </c>
      <c r="F417" s="130"/>
      <c r="H417" s="132"/>
    </row>
    <row r="418" spans="2:15" x14ac:dyDescent="0.3">
      <c r="B418" s="353" t="s">
        <v>235</v>
      </c>
      <c r="E418" s="628" t="str">
        <f>IF(Lists!D162=1,"x","")</f>
        <v>x</v>
      </c>
      <c r="F418" s="130"/>
      <c r="H418" s="132"/>
    </row>
    <row r="419" spans="2:15" ht="13.5" thickBot="1" x14ac:dyDescent="0.35">
      <c r="B419" s="353"/>
      <c r="D419" s="130"/>
      <c r="E419" s="353"/>
      <c r="F419" s="130"/>
      <c r="H419" s="132"/>
    </row>
    <row r="420" spans="2:15" ht="18.5" thickBot="1" x14ac:dyDescent="0.45">
      <c r="B420" s="1496" t="s">
        <v>1352</v>
      </c>
      <c r="C420" s="1497"/>
      <c r="D420" s="1497"/>
      <c r="E420" s="1497"/>
      <c r="F420" s="1497"/>
      <c r="G420" s="1497"/>
      <c r="H420" s="1497"/>
      <c r="I420" s="1497"/>
      <c r="J420" s="1497"/>
      <c r="K420" s="1497"/>
      <c r="L420" s="1497"/>
      <c r="M420" s="1498"/>
    </row>
    <row r="421" spans="2:15" x14ac:dyDescent="0.3">
      <c r="H421" s="132"/>
    </row>
    <row r="422" spans="2:15" ht="15.5" x14ac:dyDescent="0.35">
      <c r="B422" s="996" t="s">
        <v>1072</v>
      </c>
    </row>
    <row r="423" spans="2:15" x14ac:dyDescent="0.3">
      <c r="B423" s="221" t="s">
        <v>1353</v>
      </c>
      <c r="C423" s="221"/>
      <c r="D423" s="221"/>
      <c r="E423" s="1003"/>
      <c r="F423" s="219"/>
      <c r="G423" s="1003">
        <f t="shared" ref="G423:M423" ca="1" si="115">G383</f>
        <v>3412.2675269994825</v>
      </c>
      <c r="H423" s="1003">
        <f t="shared" ca="1" si="115"/>
        <v>3412.2675269994825</v>
      </c>
      <c r="I423" s="1003">
        <f t="shared" ca="1" si="115"/>
        <v>3432.7985999034236</v>
      </c>
      <c r="J423" s="1003">
        <f t="shared" ca="1" si="115"/>
        <v>3464.7608508397898</v>
      </c>
      <c r="K423" s="1003">
        <f t="shared" ca="1" si="115"/>
        <v>3515.5393154740373</v>
      </c>
      <c r="L423" s="1003">
        <f t="shared" ca="1" si="115"/>
        <v>3626.8529154383896</v>
      </c>
      <c r="M423" s="1003">
        <f t="shared" ca="1" si="115"/>
        <v>3963.8080612546773</v>
      </c>
    </row>
    <row r="424" spans="2:15" x14ac:dyDescent="0.3">
      <c r="B424" s="353" t="s">
        <v>1354</v>
      </c>
      <c r="C424" s="221"/>
      <c r="D424" s="221"/>
      <c r="E424" s="1003"/>
      <c r="F424" s="219"/>
      <c r="G424" s="1003">
        <f ca="1">G384*'Cost Input'!$F$83/1000000</f>
        <v>673.54752869102379</v>
      </c>
      <c r="H424" s="1003">
        <f ca="1">H384*'Cost Input'!$F$83/1000000</f>
        <v>673.54752869102379</v>
      </c>
      <c r="I424" s="1003">
        <f ca="1">I384*'Cost Input'!$F$83/1000000</f>
        <v>681.81591547759592</v>
      </c>
      <c r="J424" s="1003">
        <f ca="1">J384*'Cost Input'!$F$83/1000000</f>
        <v>694.82965899663134</v>
      </c>
      <c r="K424" s="1003">
        <f ca="1">K384*'Cost Input'!$F$83/1000000</f>
        <v>715.95187363639866</v>
      </c>
      <c r="L424" s="1003">
        <f ca="1">L384*'Cost Input'!$F$83/1000000</f>
        <v>797.1969858152147</v>
      </c>
      <c r="M424" s="1003">
        <f ca="1">M384*'Cost Input'!$F$83/1000000</f>
        <v>1115.1081485536702</v>
      </c>
      <c r="O424" s="737"/>
    </row>
    <row r="425" spans="2:15" x14ac:dyDescent="0.3">
      <c r="B425" s="221" t="str">
        <f>"Launch costs (" &amp; 'Cost Input'!$F$85 &amp; "% of direct annual materials + " &amp; 'Cost Input'!$F$86 &amp; "% of other annual costs), mil$"</f>
        <v>Launch costs (5% of direct annual materials + 10% of other annual costs), mil$</v>
      </c>
      <c r="C425" s="221"/>
      <c r="D425" s="221"/>
      <c r="E425" s="1003"/>
      <c r="F425" s="219"/>
      <c r="G425" s="161">
        <f ca="1">('Cost Input'!$F$85/100*G431+'Cost Input'!$F$86/100*(G432+G433))*G$9/1000000*G24</f>
        <v>173.57581489440003</v>
      </c>
      <c r="H425" s="161">
        <f ca="1">('Cost Input'!$F$85/100*H431+'Cost Input'!$F$86/100*(H432+H433))*H$9/1000000*H24</f>
        <v>173.57581489440003</v>
      </c>
      <c r="I425" s="161">
        <f ca="1">('Cost Input'!$F$85/100*I431+'Cost Input'!$F$86/100*(I432+I433))*I$9/1000000*I24</f>
        <v>175.52989933658458</v>
      </c>
      <c r="J425" s="161">
        <f ca="1">('Cost Input'!$F$85/100*J431+'Cost Input'!$F$86/100*(J432+J433))*J$9/1000000*J24</f>
        <v>178.67776075224532</v>
      </c>
      <c r="K425" s="161">
        <f ca="1">('Cost Input'!$F$85/100*K431+'Cost Input'!$F$86/100*(K432+K433))*K$9/1000000*K24</f>
        <v>183.81636343398696</v>
      </c>
      <c r="L425" s="161">
        <f ca="1">('Cost Input'!$F$85/100*L431+'Cost Input'!$F$86/100*(L432+L433))*L$9/1000000*L24</f>
        <v>194.20619119098217</v>
      </c>
      <c r="M425" s="161">
        <f ca="1">('Cost Input'!$F$85/100*M431+'Cost Input'!$F$86/100*(M432+M433))*M$9/1000000*M24</f>
        <v>229.09879268636982</v>
      </c>
    </row>
    <row r="426" spans="2:15" x14ac:dyDescent="0.3">
      <c r="B426" s="221" t="str">
        <f>"Working capital (" &amp; 'Cost Input'!$F$87 &amp; "% of annual variable costs), mil$"</f>
        <v>Working capital (15% of annual variable costs), mil$</v>
      </c>
      <c r="C426" s="221"/>
      <c r="D426" s="221"/>
      <c r="E426" s="1003"/>
      <c r="F426" s="219"/>
      <c r="G426" s="1066">
        <f ca="1">G434*G$9/1000000*'Cost Input'!$F$87/100*G24</f>
        <v>492.89788277227842</v>
      </c>
      <c r="H426" s="1066">
        <f ca="1">H434*H$9/1000000*'Cost Input'!$F$87/100*H24</f>
        <v>492.89788277227842</v>
      </c>
      <c r="I426" s="1066">
        <f ca="1">I434*I$9/1000000*'Cost Input'!$F$87/100*I24</f>
        <v>498.40595229337572</v>
      </c>
      <c r="J426" s="1066">
        <f ca="1">J434*J$9/1000000*'Cost Input'!$F$87/100*J24</f>
        <v>507.30599278307398</v>
      </c>
      <c r="K426" s="1066">
        <f ca="1">K434*K$9/1000000*'Cost Input'!$F$87/100*K24</f>
        <v>521.87126057075284</v>
      </c>
      <c r="L426" s="1066">
        <f ca="1">L434*L$9/1000000*'Cost Input'!$F$87/100*L24</f>
        <v>551.35499961378378</v>
      </c>
      <c r="M426" s="1066">
        <f ca="1">M434*M$9/1000000*'Cost Input'!$F$87/100*M24</f>
        <v>650.94436933015641</v>
      </c>
    </row>
    <row r="427" spans="2:15" x14ac:dyDescent="0.3">
      <c r="B427" s="221" t="s">
        <v>1355</v>
      </c>
      <c r="C427" s="221"/>
      <c r="D427" s="221"/>
      <c r="E427" s="1003"/>
      <c r="F427" s="219"/>
      <c r="G427" s="1003">
        <f t="shared" ref="G427:M427" ca="1" si="116">SUM(G423:G426)</f>
        <v>4752.2887533571848</v>
      </c>
      <c r="H427" s="1003">
        <f t="shared" ca="1" si="116"/>
        <v>4752.2887533571848</v>
      </c>
      <c r="I427" s="1003">
        <f t="shared" ca="1" si="116"/>
        <v>4788.5503670109802</v>
      </c>
      <c r="J427" s="1003">
        <f t="shared" ca="1" si="116"/>
        <v>4845.57426337174</v>
      </c>
      <c r="K427" s="1003">
        <f t="shared" ca="1" si="116"/>
        <v>4937.1788131151752</v>
      </c>
      <c r="L427" s="1003">
        <f t="shared" ca="1" si="116"/>
        <v>5169.6110920583696</v>
      </c>
      <c r="M427" s="1003">
        <f t="shared" ca="1" si="116"/>
        <v>5958.9593718248734</v>
      </c>
    </row>
    <row r="428" spans="2:15" x14ac:dyDescent="0.3">
      <c r="B428" s="221"/>
      <c r="C428" s="221"/>
      <c r="D428" s="221"/>
      <c r="E428" s="1003"/>
      <c r="F428" s="219"/>
      <c r="G428" s="1003"/>
      <c r="H428" s="1003"/>
      <c r="I428" s="1003"/>
      <c r="J428" s="1003"/>
      <c r="K428" s="1003"/>
      <c r="L428" s="1003"/>
      <c r="M428" s="1003"/>
    </row>
    <row r="429" spans="2:15" ht="15.5" x14ac:dyDescent="0.35">
      <c r="B429" s="1001" t="s">
        <v>1356</v>
      </c>
      <c r="C429" s="1002"/>
      <c r="D429" s="737"/>
      <c r="E429" s="1003"/>
      <c r="F429" s="219"/>
      <c r="G429" s="1003"/>
      <c r="H429" s="1003"/>
      <c r="I429" s="1003"/>
      <c r="J429" s="1003"/>
      <c r="K429" s="1003"/>
      <c r="L429" s="1003"/>
      <c r="M429" s="1003"/>
    </row>
    <row r="430" spans="2:15" ht="14" x14ac:dyDescent="0.3">
      <c r="B430" s="1008" t="s">
        <v>1079</v>
      </c>
      <c r="C430" s="1004"/>
      <c r="D430" s="1004"/>
      <c r="E430" s="1003"/>
      <c r="F430" s="219"/>
      <c r="G430" s="1003"/>
      <c r="H430" s="1003"/>
      <c r="I430" s="1003"/>
      <c r="J430" s="1003"/>
      <c r="K430" s="1003"/>
      <c r="L430" s="1003"/>
      <c r="M430" s="1003"/>
    </row>
    <row r="431" spans="2:15" x14ac:dyDescent="0.3">
      <c r="B431" s="353" t="s">
        <v>1357</v>
      </c>
      <c r="F431" s="130"/>
      <c r="G431" s="1304">
        <f t="shared" ref="G431:M431" ca="1" si="117">G143</f>
        <v>15.502277362045225</v>
      </c>
      <c r="H431" s="1304">
        <f t="shared" ca="1" si="117"/>
        <v>15.502277362045225</v>
      </c>
      <c r="I431" s="1304">
        <f t="shared" ca="1" si="117"/>
        <v>15.674073552566595</v>
      </c>
      <c r="J431" s="1304">
        <f t="shared" ca="1" si="117"/>
        <v>15.952623443647063</v>
      </c>
      <c r="K431" s="1304">
        <f t="shared" ca="1" si="117"/>
        <v>16.409781027984824</v>
      </c>
      <c r="L431" s="1304">
        <f t="shared" ca="1" si="117"/>
        <v>17.336380855154037</v>
      </c>
      <c r="M431" s="1304">
        <f t="shared" ca="1" si="117"/>
        <v>20.486412020040106</v>
      </c>
    </row>
    <row r="432" spans="2:15" x14ac:dyDescent="0.3">
      <c r="B432" s="353" t="str">
        <f>"Direct labor at $" &amp; 'Cost Input'!$F$91 &amp; "/hour, $/cell"</f>
        <v>Direct labor at $25/hour, $/cell</v>
      </c>
      <c r="C432" s="221"/>
      <c r="D432" s="221"/>
      <c r="E432" s="1003"/>
      <c r="F432" s="219"/>
      <c r="G432" s="1299">
        <f ca="1">'Cost Input'!$F$91/G$9/G24*G382</f>
        <v>0.39481995325920655</v>
      </c>
      <c r="H432" s="1299">
        <f ca="1">'Cost Input'!$F$91/H$9/H24*H382</f>
        <v>0.39481995325920655</v>
      </c>
      <c r="I432" s="1299">
        <f ca="1">'Cost Input'!$F$91/I$9/I24*I382</f>
        <v>0.40149109627264878</v>
      </c>
      <c r="J432" s="1299">
        <f ca="1">'Cost Input'!$F$91/J$9/J24*J382</f>
        <v>0.41168481982494504</v>
      </c>
      <c r="K432" s="1299">
        <f ca="1">'Cost Input'!$F$91/K$9/K24*K382</f>
        <v>0.42755438034122323</v>
      </c>
      <c r="L432" s="1299">
        <f ca="1">'Cost Input'!$F$91/L$9/L24*L382</f>
        <v>0.45683856509820753</v>
      </c>
      <c r="M432" s="1299">
        <f ca="1">'Cost Input'!$F$91/M$9/M24*M382</f>
        <v>0.54256957910377601</v>
      </c>
    </row>
    <row r="433" spans="2:15" x14ac:dyDescent="0.3">
      <c r="B433" s="221" t="s">
        <v>1358</v>
      </c>
      <c r="C433" s="221"/>
      <c r="D433" s="221"/>
      <c r="E433" s="1005"/>
      <c r="F433" s="1003"/>
      <c r="G433" s="1307">
        <f ca="1">'Cost Input'!$F$93/100*G432+'Cost Input'!$F$94/100*G437</f>
        <v>0.53283211043818213</v>
      </c>
      <c r="H433" s="1307">
        <f ca="1">'Cost Input'!$F$93/100*H432+'Cost Input'!$F$94/100*H437</f>
        <v>0.53283211043818213</v>
      </c>
      <c r="I433" s="1307">
        <f ca="1">'Cost Input'!$F$93/100*I432+'Cost Input'!$F$94/100*I437</f>
        <v>0.53796709427328171</v>
      </c>
      <c r="J433" s="1307">
        <f ca="1">'Cost Input'!$F$93/100*J432+'Cost Input'!$F$94/100*J437</f>
        <v>0.54589149596378861</v>
      </c>
      <c r="K433" s="1307">
        <f ca="1">'Cost Input'!$F$93/100*K432+'Cost Input'!$F$94/100*K437</f>
        <v>0.55837327736571296</v>
      </c>
      <c r="L433" s="1307">
        <f ca="1">'Cost Input'!$F$93/100*L432+'Cost Input'!$F$94/100*L437</f>
        <v>0.58528056687388275</v>
      </c>
      <c r="M433" s="1307">
        <f ca="1">'Cost Input'!$F$93/100*M432+'Cost Input'!$F$94/100*M437</f>
        <v>0.66916404519466166</v>
      </c>
      <c r="O433" s="737"/>
    </row>
    <row r="434" spans="2:15" x14ac:dyDescent="0.3">
      <c r="B434" s="221" t="s">
        <v>1359</v>
      </c>
      <c r="C434" s="221"/>
      <c r="D434" s="221"/>
      <c r="E434" s="1005"/>
      <c r="F434" s="1003"/>
      <c r="G434" s="1307">
        <f t="shared" ref="G434:M434" ca="1" si="118">SUM(G431:G433)</f>
        <v>16.429929425742614</v>
      </c>
      <c r="H434" s="1307">
        <f t="shared" ca="1" si="118"/>
        <v>16.429929425742614</v>
      </c>
      <c r="I434" s="1307">
        <f t="shared" ca="1" si="118"/>
        <v>16.613531743112524</v>
      </c>
      <c r="J434" s="1307">
        <f t="shared" ca="1" si="118"/>
        <v>16.910199759435798</v>
      </c>
      <c r="K434" s="1307">
        <f t="shared" ca="1" si="118"/>
        <v>17.395708685691762</v>
      </c>
      <c r="L434" s="1307">
        <f t="shared" ca="1" si="118"/>
        <v>18.378499987126126</v>
      </c>
      <c r="M434" s="1307">
        <f t="shared" ca="1" si="118"/>
        <v>21.698145644338545</v>
      </c>
      <c r="O434" s="737"/>
    </row>
    <row r="435" spans="2:15" x14ac:dyDescent="0.3">
      <c r="B435" s="221"/>
      <c r="C435" s="221"/>
      <c r="D435" s="221"/>
      <c r="E435" s="1005"/>
      <c r="F435" s="1003"/>
      <c r="G435" s="1006"/>
      <c r="H435" s="1006"/>
      <c r="I435" s="1006"/>
      <c r="J435" s="1006"/>
      <c r="K435" s="1006"/>
      <c r="L435" s="1006"/>
      <c r="M435" s="1006"/>
    </row>
    <row r="436" spans="2:15" ht="14" x14ac:dyDescent="0.3">
      <c r="B436" s="667" t="s">
        <v>1084</v>
      </c>
      <c r="C436" s="510"/>
      <c r="D436" s="35"/>
      <c r="E436" s="148"/>
      <c r="F436" s="511"/>
      <c r="G436" s="499"/>
      <c r="H436" s="499"/>
      <c r="I436" s="499"/>
      <c r="J436" s="499"/>
      <c r="K436" s="499"/>
      <c r="L436" s="499"/>
      <c r="M436" s="499"/>
    </row>
    <row r="437" spans="2:15" x14ac:dyDescent="0.3">
      <c r="B437" s="353" t="s">
        <v>1360</v>
      </c>
      <c r="C437" s="132"/>
      <c r="D437" s="353"/>
      <c r="E437" s="148"/>
      <c r="F437" s="511"/>
      <c r="G437" s="1298">
        <f ca="1">('Cost Input'!$F$103/100*G423+'Cost Input'!$F$104/100*G424)*1000000/G$9/G24</f>
        <v>1.8745206456724974</v>
      </c>
      <c r="H437" s="1298">
        <f ca="1">('Cost Input'!$F$103/100*H423+'Cost Input'!$F$104/100*H424)*1000000/H$9/H24</f>
        <v>1.8745206456724974</v>
      </c>
      <c r="I437" s="1298">
        <f ca="1">('Cost Input'!$F$103/100*I423+'Cost Input'!$F$104/100*I424)*1000000/I$9/I24</f>
        <v>1.886853278821111</v>
      </c>
      <c r="J437" s="1298">
        <f ca="1">('Cost Input'!$F$103/100*J423+'Cost Input'!$F$104/100*J424)*1000000/J$9/J24</f>
        <v>1.9060878401690529</v>
      </c>
      <c r="K437" s="1298">
        <f ca="1">('Cost Input'!$F$103/100*K423+'Cost Input'!$F$104/100*K424)*1000000/K$9/K24</f>
        <v>1.9367576261461183</v>
      </c>
      <c r="L437" s="1298">
        <f ca="1">('Cost Input'!$F$103/100*L423+'Cost Input'!$F$104/100*L424)*1000000/L$9/L24</f>
        <v>2.0127257041729987</v>
      </c>
      <c r="M437" s="1298">
        <f ca="1">('Cost Input'!$F$103/100*M423+'Cost Input'!$F$104/100*M424)*1000000/M$9/M24</f>
        <v>2.2606810677657565</v>
      </c>
    </row>
    <row r="438" spans="2:15" x14ac:dyDescent="0.3">
      <c r="B438" s="353" t="s">
        <v>1361</v>
      </c>
      <c r="C438" s="132"/>
      <c r="D438" s="353"/>
      <c r="E438" s="148"/>
      <c r="F438" s="511"/>
      <c r="G438" s="1298">
        <f ca="1">'Cost Input'!$F$98/100*(G432+G433)+'Cost Input'!$F$99/100*G437</f>
        <v>0.70054317734247151</v>
      </c>
      <c r="H438" s="1298">
        <f ca="1">'Cost Input'!$F$98/100*(H432+H433)+'Cost Input'!$F$99/100*H437</f>
        <v>0.70054317734247151</v>
      </c>
      <c r="I438" s="1298">
        <f ca="1">'Cost Input'!$F$98/100*(I432+I433)+'Cost Input'!$F$99/100*I437</f>
        <v>0.70657786734176042</v>
      </c>
      <c r="J438" s="1298">
        <f ca="1">'Cost Input'!$F$98/100*(J432+J433)+'Cost Input'!$F$99/100*J437</f>
        <v>0.71591603898944656</v>
      </c>
      <c r="K438" s="1298">
        <f ca="1">'Cost Input'!$F$98/100*(K432+K433)+'Cost Input'!$F$99/100*K437</f>
        <v>0.73067132096326359</v>
      </c>
      <c r="L438" s="1298">
        <f ca="1">'Cost Input'!$F$98/100*(L432+L433)+'Cost Input'!$F$99/100*L437</f>
        <v>0.76371120903627221</v>
      </c>
      <c r="M438" s="1298">
        <f ca="1">'Cost Input'!$F$98/100*(M432+M433)+'Cost Input'!$F$99/100*M437</f>
        <v>0.86810367301604852</v>
      </c>
    </row>
    <row r="439" spans="2:15" x14ac:dyDescent="0.3">
      <c r="B439" s="353" t="s">
        <v>1362</v>
      </c>
      <c r="C439" s="132"/>
      <c r="D439" s="353"/>
      <c r="E439" s="148"/>
      <c r="F439" s="511"/>
      <c r="G439" s="1298">
        <f ca="1">G437*'Cost Input'!$F$100/100</f>
        <v>0.74980825826899899</v>
      </c>
      <c r="H439" s="1298">
        <f ca="1">H437*'Cost Input'!$F$100/100</f>
        <v>0.74980825826899899</v>
      </c>
      <c r="I439" s="1298">
        <f ca="1">I437*'Cost Input'!$F$100/100</f>
        <v>0.75474131152844437</v>
      </c>
      <c r="J439" s="1298">
        <f ca="1">J437*'Cost Input'!$F$100/100</f>
        <v>0.76243513606762126</v>
      </c>
      <c r="K439" s="1298">
        <f ca="1">K437*'Cost Input'!$F$100/100</f>
        <v>0.77470305045844734</v>
      </c>
      <c r="L439" s="1298">
        <f ca="1">L437*'Cost Input'!$F$100/100</f>
        <v>0.80509028166919949</v>
      </c>
      <c r="M439" s="1298">
        <f ca="1">M437*'Cost Input'!$F$100/100</f>
        <v>0.90427242710630251</v>
      </c>
    </row>
    <row r="440" spans="2:15" x14ac:dyDescent="0.3">
      <c r="B440" s="353" t="s">
        <v>1363</v>
      </c>
      <c r="C440" s="132"/>
      <c r="D440" s="353"/>
      <c r="E440" s="148"/>
      <c r="F440" s="511"/>
      <c r="G440" s="1298">
        <f t="shared" ref="G440:M440" ca="1" si="119">G438+G439+G437</f>
        <v>3.3248720812839681</v>
      </c>
      <c r="H440" s="1298">
        <f t="shared" ca="1" si="119"/>
        <v>3.3248720812839681</v>
      </c>
      <c r="I440" s="1298">
        <f t="shared" ca="1" si="119"/>
        <v>3.3481724576913159</v>
      </c>
      <c r="J440" s="1298">
        <f t="shared" ca="1" si="119"/>
        <v>3.3844390152261208</v>
      </c>
      <c r="K440" s="1298">
        <f t="shared" ca="1" si="119"/>
        <v>3.4421319975678291</v>
      </c>
      <c r="L440" s="1298">
        <f t="shared" ca="1" si="119"/>
        <v>3.5815271948784702</v>
      </c>
      <c r="M440" s="1298">
        <f t="shared" ca="1" si="119"/>
        <v>4.0330571678881073</v>
      </c>
    </row>
    <row r="441" spans="2:15" x14ac:dyDescent="0.3">
      <c r="B441" s="353"/>
      <c r="C441" s="132"/>
      <c r="D441" s="353"/>
      <c r="E441" s="148"/>
      <c r="F441" s="511"/>
      <c r="G441" s="132"/>
      <c r="H441" s="132"/>
      <c r="I441" s="132"/>
      <c r="J441" s="132"/>
      <c r="K441" s="132"/>
      <c r="L441" s="132"/>
      <c r="M441" s="132"/>
    </row>
    <row r="442" spans="2:15" ht="14" x14ac:dyDescent="0.3">
      <c r="B442" s="667" t="s">
        <v>1364</v>
      </c>
      <c r="C442" s="132"/>
      <c r="D442" s="353"/>
      <c r="E442" s="148"/>
      <c r="F442" s="511"/>
      <c r="G442" s="132"/>
      <c r="H442" s="132"/>
      <c r="I442" s="132"/>
      <c r="J442" s="132"/>
      <c r="K442" s="132"/>
      <c r="L442" s="132"/>
      <c r="M442" s="132"/>
    </row>
    <row r="443" spans="2:15" x14ac:dyDescent="0.3">
      <c r="B443" s="353" t="s">
        <v>1365</v>
      </c>
      <c r="C443" s="132"/>
      <c r="D443" s="353"/>
      <c r="E443" s="1080"/>
      <c r="F443" s="511"/>
      <c r="G443" s="1014">
        <f ca="1">'Cost Input'!$F$105/100*G427*1000000*Lists!$C$154/G13</f>
        <v>0</v>
      </c>
      <c r="H443" s="1065">
        <f ca="1">'Cost Input'!$F$105/100*H427*1000000*Lists!$C$154/H13</f>
        <v>0</v>
      </c>
      <c r="I443" s="1065">
        <f ca="1">'Cost Input'!$F$105/100*I427*1000000*Lists!$C$154/I13</f>
        <v>0</v>
      </c>
      <c r="J443" s="1065">
        <f ca="1">'Cost Input'!$F$105/100*J427*1000000*Lists!$C$154/J13</f>
        <v>0</v>
      </c>
      <c r="K443" s="1065">
        <f ca="1">'Cost Input'!$F$105/100*K427*1000000*Lists!$C$154/K13</f>
        <v>0</v>
      </c>
      <c r="L443" s="1065">
        <f ca="1">'Cost Input'!$F$105/100*L427*1000000*Lists!$C$154/L13</f>
        <v>0</v>
      </c>
      <c r="M443" s="1065">
        <f ca="1">'Cost Input'!$F$105/100*M427*1000000*Lists!$C$154/M13</f>
        <v>0</v>
      </c>
    </row>
    <row r="444" spans="2:15" x14ac:dyDescent="0.3">
      <c r="B444" s="353" t="s">
        <v>1366</v>
      </c>
      <c r="C444" s="132"/>
      <c r="D444" s="353"/>
      <c r="E444" s="178"/>
      <c r="F444" s="511"/>
      <c r="G444" s="1067">
        <f ca="1">'Cost Input'!$F$106/100*(G434+G440+G443)*Lists!$C$154</f>
        <v>0</v>
      </c>
      <c r="H444" s="1067">
        <f ca="1">'Cost Input'!$F$106/100*(H434+H440+H443)*Lists!$C$154</f>
        <v>0</v>
      </c>
      <c r="I444" s="1067">
        <f ca="1">'Cost Input'!$F$106/100*(I434+I440+I443)*Lists!$C$154</f>
        <v>0</v>
      </c>
      <c r="J444" s="1067">
        <f ca="1">'Cost Input'!$F$106/100*(J434+J440+J443)*Lists!$C$154</f>
        <v>0</v>
      </c>
      <c r="K444" s="1067">
        <f ca="1">'Cost Input'!$F$106/100*(K434+K440+K443)*Lists!$C$154</f>
        <v>0</v>
      </c>
      <c r="L444" s="1067">
        <f ca="1">'Cost Input'!$F$106/100*(L434+L440+L443)*Lists!$C$154</f>
        <v>0</v>
      </c>
      <c r="M444" s="1067">
        <f ca="1">'Cost Input'!$F$106/100*(M434+M440+M443)*Lists!$C$154</f>
        <v>0</v>
      </c>
    </row>
    <row r="445" spans="2:15" x14ac:dyDescent="0.3">
      <c r="B445" s="353"/>
      <c r="C445" s="132"/>
      <c r="D445" s="353"/>
      <c r="E445" s="178"/>
      <c r="F445" s="511"/>
      <c r="G445" s="203"/>
      <c r="H445" s="203"/>
      <c r="I445" s="203"/>
      <c r="J445" s="203"/>
      <c r="K445" s="203"/>
      <c r="L445" s="203"/>
      <c r="M445" s="203"/>
    </row>
    <row r="446" spans="2:15" ht="14" x14ac:dyDescent="0.3">
      <c r="B446" s="667" t="s">
        <v>963</v>
      </c>
      <c r="C446" s="132"/>
      <c r="D446" s="353"/>
      <c r="E446" s="178"/>
      <c r="F446" s="511"/>
      <c r="G446" s="203"/>
      <c r="H446" s="203"/>
      <c r="I446" s="203"/>
      <c r="J446" s="203"/>
      <c r="K446" s="203"/>
      <c r="L446" s="203"/>
      <c r="M446" s="203"/>
    </row>
    <row r="447" spans="2:15" x14ac:dyDescent="0.3">
      <c r="B447" s="353" t="s">
        <v>1367</v>
      </c>
      <c r="C447" s="132"/>
      <c r="D447" s="353"/>
      <c r="E447" s="148"/>
      <c r="F447" s="511"/>
      <c r="G447" s="1298">
        <f t="shared" ref="G447:M447" ca="1" si="120">G434+G440+G443+G444</f>
        <v>19.754801507026581</v>
      </c>
      <c r="H447" s="1298">
        <f t="shared" ca="1" si="120"/>
        <v>19.754801507026581</v>
      </c>
      <c r="I447" s="1298">
        <f t="shared" ca="1" si="120"/>
        <v>19.96170420080384</v>
      </c>
      <c r="J447" s="1298">
        <f t="shared" ca="1" si="120"/>
        <v>20.294638774661919</v>
      </c>
      <c r="K447" s="1298">
        <f t="shared" ca="1" si="120"/>
        <v>20.837840683259593</v>
      </c>
      <c r="L447" s="1298">
        <f t="shared" ca="1" si="120"/>
        <v>21.960027182004595</v>
      </c>
      <c r="M447" s="1298">
        <f t="shared" ca="1" si="120"/>
        <v>25.731202812226652</v>
      </c>
    </row>
    <row r="448" spans="2:15" x14ac:dyDescent="0.3">
      <c r="B448" s="353" t="s">
        <v>1368</v>
      </c>
      <c r="C448" s="132"/>
      <c r="D448" s="353"/>
      <c r="E448" s="148"/>
      <c r="F448" s="511"/>
      <c r="G448" s="1079">
        <f t="shared" ref="G448:M448" ca="1" si="121">G447*G24</f>
        <v>7901.9206028106328</v>
      </c>
      <c r="H448" s="1079">
        <f t="shared" ca="1" si="121"/>
        <v>7901.9206028106328</v>
      </c>
      <c r="I448" s="1079">
        <f t="shared" ca="1" si="121"/>
        <v>7984.6816803215361</v>
      </c>
      <c r="J448" s="1079">
        <f t="shared" ca="1" si="121"/>
        <v>8117.8555098647676</v>
      </c>
      <c r="K448" s="1079">
        <f t="shared" ca="1" si="121"/>
        <v>8335.1362733038368</v>
      </c>
      <c r="L448" s="1079">
        <f t="shared" ca="1" si="121"/>
        <v>8784.0108728018386</v>
      </c>
      <c r="M448" s="1079">
        <f t="shared" ca="1" si="121"/>
        <v>10292.481124890661</v>
      </c>
    </row>
    <row r="449" spans="2:15" ht="13.5" thickBot="1" x14ac:dyDescent="0.35">
      <c r="B449" s="353"/>
      <c r="C449" s="132"/>
      <c r="D449" s="353"/>
      <c r="E449" s="148"/>
      <c r="F449" s="511"/>
      <c r="G449" s="132"/>
      <c r="H449" s="132"/>
      <c r="I449" s="132"/>
      <c r="J449" s="132"/>
      <c r="K449" s="132"/>
      <c r="L449" s="132"/>
      <c r="M449" s="132"/>
    </row>
    <row r="450" spans="2:15" ht="18.5" thickBot="1" x14ac:dyDescent="0.45">
      <c r="B450" s="1496" t="s">
        <v>1369</v>
      </c>
      <c r="C450" s="1497"/>
      <c r="D450" s="1497"/>
      <c r="E450" s="1497"/>
      <c r="F450" s="1497"/>
      <c r="G450" s="1497"/>
      <c r="H450" s="1497"/>
      <c r="I450" s="1497"/>
      <c r="J450" s="1497"/>
      <c r="K450" s="1497"/>
      <c r="L450" s="1497"/>
      <c r="M450" s="1498"/>
    </row>
    <row r="451" spans="2:15" x14ac:dyDescent="0.3">
      <c r="H451" s="132"/>
    </row>
    <row r="452" spans="2:15" ht="15.5" x14ac:dyDescent="0.35">
      <c r="B452" s="996" t="s">
        <v>1370</v>
      </c>
    </row>
    <row r="453" spans="2:15" x14ac:dyDescent="0.3">
      <c r="B453" s="221" t="s">
        <v>1353</v>
      </c>
      <c r="C453" s="221"/>
      <c r="D453" s="221"/>
      <c r="E453" s="1003"/>
      <c r="F453" s="219"/>
      <c r="G453" s="1003">
        <f ca="1">G388-G383*Lists!$C$154</f>
        <v>3753.7540719453709</v>
      </c>
      <c r="H453" s="1003">
        <f ca="1">H388-H383*Lists!$C$154</f>
        <v>3753.7540719453709</v>
      </c>
      <c r="I453" s="1003">
        <f ca="1">I388-I383*Lists!$C$154</f>
        <v>3772.5543493574428</v>
      </c>
      <c r="J453" s="1003">
        <f ca="1">J388-J383*Lists!$C$154</f>
        <v>3801.8585932721021</v>
      </c>
      <c r="K453" s="1003">
        <f ca="1">K388-K383*Lists!$C$154</f>
        <v>3848.4869300867422</v>
      </c>
      <c r="L453" s="1003">
        <f ca="1">L388-L383*Lists!$C$154</f>
        <v>3945.5061795323418</v>
      </c>
      <c r="M453" s="1003">
        <f ca="1">M388-M383*Lists!$C$154</f>
        <v>4243.7400337267991</v>
      </c>
      <c r="N453" s="1003" t="e">
        <f>N388</f>
        <v>#DIV/0!</v>
      </c>
      <c r="O453" s="737"/>
    </row>
    <row r="454" spans="2:15" x14ac:dyDescent="0.3">
      <c r="B454" s="353" t="s">
        <v>1354</v>
      </c>
      <c r="C454" s="221"/>
      <c r="D454" s="221"/>
      <c r="E454" s="1003"/>
      <c r="F454" s="219"/>
      <c r="G454" s="1003">
        <f ca="1">(G389-G384*Lists!$C$154)*'Cost Input'!$F$83/1000000</f>
        <v>764.54752869102379</v>
      </c>
      <c r="H454" s="1003">
        <f ca="1">(H389-H384*Lists!$C$154)*'Cost Input'!$F$83/1000000</f>
        <v>764.54752869102379</v>
      </c>
      <c r="I454" s="1003">
        <f ca="1">(I389-I384*Lists!$C$154)*'Cost Input'!$F$83/1000000</f>
        <v>772.81591547759592</v>
      </c>
      <c r="J454" s="1003">
        <f ca="1">(J389-J384*Lists!$C$154)*'Cost Input'!$F$83/1000000</f>
        <v>785.82965899663134</v>
      </c>
      <c r="K454" s="1003">
        <f ca="1">(K389-K384*Lists!$C$154)*'Cost Input'!$F$83/1000000</f>
        <v>806.95187363639877</v>
      </c>
      <c r="L454" s="1003">
        <f ca="1">(L389-L384*Lists!$C$154)*'Cost Input'!$F$83/1000000</f>
        <v>888.19698581521459</v>
      </c>
      <c r="M454" s="1003">
        <f ca="1">(M389-M384*Lists!$C$154)*'Cost Input'!$F$83/1000000</f>
        <v>1206.1081485536702</v>
      </c>
      <c r="N454" s="1003">
        <f>N384*'Cost Input'!$F$83/1000000</f>
        <v>0</v>
      </c>
      <c r="O454" s="737"/>
    </row>
    <row r="455" spans="2:15" x14ac:dyDescent="0.3">
      <c r="B455" s="221" t="str">
        <f>"Launch costs (" &amp; 'Cost Input'!$F$85 &amp; "% of direct annual materials + " &amp; 'Cost Input'!$F$86 &amp; "% of other annual costs), mil$"</f>
        <v>Launch costs (5% of direct annual materials + 10% of other annual costs), mil$</v>
      </c>
      <c r="C455" s="221"/>
      <c r="D455" s="221"/>
      <c r="E455" s="1003"/>
      <c r="F455" s="219"/>
      <c r="G455" s="148">
        <f ca="1">('Cost Input'!$F$85/100*G461+'Cost Input'!$F$86/100*(G462+G463))*G$9/1000000*G25</f>
        <v>193.45750026873981</v>
      </c>
      <c r="H455" s="148">
        <f ca="1">('Cost Input'!$F$85/100*H461+'Cost Input'!$F$86/100*(H462+H463))*H$9/1000000*H25</f>
        <v>193.45750026873981</v>
      </c>
      <c r="I455" s="148">
        <f ca="1">('Cost Input'!$F$85/100*I461+'Cost Input'!$F$86/100*(I462+I463))*I$9/1000000*I25</f>
        <v>195.41027656755969</v>
      </c>
      <c r="J455" s="148">
        <f ca="1">('Cost Input'!$F$85/100*J461+'Cost Input'!$F$86/100*(J462+J463))*J$9/1000000*J25</f>
        <v>198.57127576547174</v>
      </c>
      <c r="K455" s="148">
        <f ca="1">('Cost Input'!$F$85/100*K461+'Cost Input'!$F$86/100*(K462+K463))*K$9/1000000*K25</f>
        <v>203.70815910232449</v>
      </c>
      <c r="L455" s="148">
        <f ca="1">('Cost Input'!$F$85/100*L461+'Cost Input'!$F$86/100*(L462+L463))*L$9/1000000*L25</f>
        <v>214.11850173794994</v>
      </c>
      <c r="M455" s="148">
        <f ca="1">('Cost Input'!$F$85/100*M461+'Cost Input'!$F$86/100*(M462+M463))*M$9/1000000*M25</f>
        <v>249.08133090223291</v>
      </c>
    </row>
    <row r="456" spans="2:15" x14ac:dyDescent="0.3">
      <c r="B456" s="221" t="str">
        <f>"Working capital (" &amp; 'Cost Input'!$F$87 &amp; "% of annual variable costs), mil$"</f>
        <v>Working capital (15% of annual variable costs), mil$</v>
      </c>
      <c r="C456" s="221"/>
      <c r="D456" s="221"/>
      <c r="E456" s="1003"/>
      <c r="F456" s="219"/>
      <c r="G456" s="1003">
        <f ca="1">G464*G$9/1000000*'Cost Input'!$F$87/100*G25</f>
        <v>550.43522926046012</v>
      </c>
      <c r="H456" s="1003">
        <f ca="1">H464*H$9/1000000*'Cost Input'!$F$87/100*H25</f>
        <v>550.43522926046012</v>
      </c>
      <c r="I456" s="1003">
        <f ca="1">I464*I$9/1000000*'Cost Input'!$F$87/100*I25</f>
        <v>555.94456673793911</v>
      </c>
      <c r="J456" s="1003">
        <f ca="1">J464*J$9/1000000*'Cost Input'!$F$87/100*J25</f>
        <v>564.89199459545625</v>
      </c>
      <c r="K456" s="1003">
        <f ca="1">K464*K$9/1000000*'Cost Input'!$F$87/100*K25</f>
        <v>579.46455473192725</v>
      </c>
      <c r="L456" s="1003">
        <f ca="1">L464*L$9/1000000*'Cost Input'!$F$87/100*L25</f>
        <v>609.0527214624052</v>
      </c>
      <c r="M456" s="1003">
        <f ca="1">M464*M$9/1000000*'Cost Input'!$F$87/100*M25</f>
        <v>708.96893806032926</v>
      </c>
    </row>
    <row r="457" spans="2:15" x14ac:dyDescent="0.3">
      <c r="B457" s="221" t="s">
        <v>1355</v>
      </c>
      <c r="C457" s="221"/>
      <c r="D457" s="221"/>
      <c r="E457" s="1003"/>
      <c r="F457" s="219"/>
      <c r="G457" s="1003">
        <f t="shared" ref="G457:M457" ca="1" si="122">SUM(G453:G456)</f>
        <v>5262.1943301655947</v>
      </c>
      <c r="H457" s="1003">
        <f t="shared" ca="1" si="122"/>
        <v>5262.1943301655947</v>
      </c>
      <c r="I457" s="1003">
        <f t="shared" ca="1" si="122"/>
        <v>5296.7251081405375</v>
      </c>
      <c r="J457" s="1003">
        <f t="shared" ca="1" si="122"/>
        <v>5351.1515226296615</v>
      </c>
      <c r="K457" s="1003">
        <f t="shared" ca="1" si="122"/>
        <v>5438.6115175573923</v>
      </c>
      <c r="L457" s="1003">
        <f t="shared" ca="1" si="122"/>
        <v>5656.8743885479116</v>
      </c>
      <c r="M457" s="1003">
        <f t="shared" ca="1" si="122"/>
        <v>6407.8984512430325</v>
      </c>
    </row>
    <row r="458" spans="2:15" x14ac:dyDescent="0.3">
      <c r="B458" s="221"/>
      <c r="C458" s="221"/>
      <c r="D458" s="221"/>
      <c r="E458" s="1003"/>
      <c r="F458" s="219"/>
      <c r="G458" s="1003"/>
      <c r="H458" s="1003"/>
      <c r="I458" s="1003"/>
      <c r="J458" s="1003"/>
      <c r="K458" s="1003"/>
      <c r="L458" s="1003"/>
      <c r="M458" s="1003"/>
    </row>
    <row r="459" spans="2:15" ht="15.5" x14ac:dyDescent="0.35">
      <c r="B459" s="1001" t="s">
        <v>1371</v>
      </c>
      <c r="C459" s="1002"/>
      <c r="D459" s="737"/>
      <c r="E459" s="1003"/>
      <c r="F459" s="219"/>
      <c r="G459" s="1003"/>
      <c r="H459" s="1003"/>
      <c r="I459" s="1003"/>
      <c r="J459" s="1003"/>
      <c r="K459" s="1003"/>
      <c r="L459" s="1003"/>
      <c r="M459" s="1003"/>
    </row>
    <row r="460" spans="2:15" ht="14" x14ac:dyDescent="0.3">
      <c r="B460" s="1008" t="s">
        <v>1079</v>
      </c>
      <c r="C460" s="1004"/>
      <c r="D460" s="1004"/>
      <c r="E460" s="1003"/>
      <c r="F460" s="219"/>
      <c r="G460" s="1003"/>
      <c r="H460" s="1003"/>
      <c r="I460" s="1003"/>
      <c r="J460" s="1003"/>
      <c r="K460" s="1003"/>
      <c r="L460" s="1003"/>
      <c r="M460" s="1003"/>
    </row>
    <row r="461" spans="2:15" x14ac:dyDescent="0.3">
      <c r="B461" s="353" t="s">
        <v>1372</v>
      </c>
      <c r="F461" s="130"/>
      <c r="G461" s="1304">
        <f ca="1">(G448*Lists!$C$154+(G143*G24)*(1-Lists!$C$154))/G25+G153</f>
        <v>346.99863847646714</v>
      </c>
      <c r="H461" s="1304">
        <f ca="1">(H448*Lists!$C$154+(H143*H24)*(1-Lists!$C$154))/H25+H153</f>
        <v>346.99863847646714</v>
      </c>
      <c r="I461" s="1304">
        <f ca="1">(I448*Lists!$C$154+(I143*I24)*(1-Lists!$C$154))/I25+I153</f>
        <v>350.43886918213275</v>
      </c>
      <c r="J461" s="1304">
        <f ca="1">(J448*Lists!$C$154+(J143*J24)*(1-Lists!$C$154))/J25+J153</f>
        <v>356.04677459633155</v>
      </c>
      <c r="K461" s="1304">
        <f ca="1">(K448*Lists!$C$154+(K143*K24)*(1-Lists!$C$154))/K25+K153</f>
        <v>365.20308810458738</v>
      </c>
      <c r="L461" s="1304">
        <f ca="1">(L448*Lists!$C$154+(L143*L24)*(1-Lists!$C$154))/L25+L153</f>
        <v>383.83329180730709</v>
      </c>
      <c r="M461" s="1304">
        <f ca="1">(M448*Lists!$C$154+(M143*M24)*(1-Lists!$C$154))/M25+M153</f>
        <v>447.12925560930648</v>
      </c>
    </row>
    <row r="462" spans="2:15" x14ac:dyDescent="0.3">
      <c r="B462" s="353" t="str">
        <f>"Direct labor at $" &amp; 'Cost Input'!$F$91 &amp; "/hour, $/module"</f>
        <v>Direct labor at $25/hour, $/module</v>
      </c>
      <c r="C462" s="221"/>
      <c r="D462" s="221"/>
      <c r="E462" s="1003"/>
      <c r="F462" s="219"/>
      <c r="G462" s="1299">
        <f ca="1">'Cost Input'!$F$91/G$9*(G387-G382*Lists!$C$154)/G25</f>
        <v>8.3472323985174661</v>
      </c>
      <c r="H462" s="1299">
        <f ca="1">'Cost Input'!$F$91/H$9*(H387-H382*Lists!$C$154)/H25</f>
        <v>8.3472323985174661</v>
      </c>
      <c r="I462" s="1299">
        <f ca="1">'Cost Input'!$F$91/I$9*(I387-I382*Lists!$C$154)/I25</f>
        <v>8.4806552587863102</v>
      </c>
      <c r="J462" s="1299">
        <f ca="1">'Cost Input'!$F$91/J$9*(J387-J382*Lists!$C$154)/J25</f>
        <v>8.684529729832235</v>
      </c>
      <c r="K462" s="1299">
        <f ca="1">'Cost Input'!$F$91/K$9*(K387-K382*Lists!$C$154)/K25</f>
        <v>9.0019209401577989</v>
      </c>
      <c r="L462" s="1299">
        <f ca="1">'Cost Input'!$F$91/L$9*(L387-L382*Lists!$C$154)/L25</f>
        <v>9.5876046352974846</v>
      </c>
      <c r="M462" s="1299">
        <f ca="1">'Cost Input'!$F$91/M$9*(M387-M382*Lists!$C$154)/M25</f>
        <v>11.302224915408853</v>
      </c>
    </row>
    <row r="463" spans="2:15" x14ac:dyDescent="0.3">
      <c r="B463" s="221" t="s">
        <v>1373</v>
      </c>
      <c r="C463" s="221"/>
      <c r="D463" s="221"/>
      <c r="E463" s="1005"/>
      <c r="F463" s="1003"/>
      <c r="G463" s="1307">
        <f ca="1">'Cost Input'!$F$93/100*G462+'Cost Input'!$F$94/100*G467</f>
        <v>11.610948631988753</v>
      </c>
      <c r="H463" s="1307">
        <f ca="1">'Cost Input'!$F$93/100*H462+'Cost Input'!$F$94/100*H467</f>
        <v>11.610948631988753</v>
      </c>
      <c r="I463" s="1307">
        <f ca="1">'Cost Input'!$F$93/100*I462+'Cost Input'!$F$94/100*I467</f>
        <v>11.710186717707007</v>
      </c>
      <c r="J463" s="1307">
        <f ca="1">'Cost Input'!$F$93/100*J462+'Cost Input'!$F$94/100*J467</f>
        <v>11.863358737473728</v>
      </c>
      <c r="K463" s="1307">
        <f ca="1">'Cost Input'!$F$93/100*K462+'Cost Input'!$F$94/100*K467</f>
        <v>12.104694109873005</v>
      </c>
      <c r="L463" s="1307">
        <f ca="1">'Cost Input'!$F$93/100*L462+'Cost Input'!$F$94/100*L467</f>
        <v>12.614251198998895</v>
      </c>
      <c r="M463" s="1307">
        <f ca="1">'Cost Input'!$F$93/100*M462+'Cost Input'!$F$94/100*M467</f>
        <v>14.214478182170811</v>
      </c>
      <c r="O463" s="737"/>
    </row>
    <row r="464" spans="2:15" x14ac:dyDescent="0.3">
      <c r="B464" s="221" t="s">
        <v>1374</v>
      </c>
      <c r="C464" s="221"/>
      <c r="D464" s="221"/>
      <c r="E464" s="1005"/>
      <c r="F464" s="1003"/>
      <c r="G464" s="1307">
        <f t="shared" ref="G464:M464" ca="1" si="123">SUM(G461:G463)</f>
        <v>366.95681950697337</v>
      </c>
      <c r="H464" s="1307">
        <f t="shared" ca="1" si="123"/>
        <v>366.95681950697337</v>
      </c>
      <c r="I464" s="1307">
        <f t="shared" ca="1" si="123"/>
        <v>370.62971115862609</v>
      </c>
      <c r="J464" s="1307">
        <f t="shared" ca="1" si="123"/>
        <v>376.59466306363754</v>
      </c>
      <c r="K464" s="1307">
        <f t="shared" ca="1" si="123"/>
        <v>386.30970315461815</v>
      </c>
      <c r="L464" s="1307">
        <f t="shared" ca="1" si="123"/>
        <v>406.03514764160349</v>
      </c>
      <c r="M464" s="1307">
        <f t="shared" ca="1" si="123"/>
        <v>472.64595870688612</v>
      </c>
    </row>
    <row r="465" spans="2:14" x14ac:dyDescent="0.3">
      <c r="B465" s="221"/>
      <c r="C465" s="221"/>
      <c r="D465" s="221"/>
      <c r="E465" s="1005"/>
      <c r="F465" s="1003"/>
      <c r="G465" s="1006"/>
      <c r="H465" s="1006"/>
      <c r="I465" s="1006"/>
      <c r="J465" s="1006"/>
      <c r="K465" s="1006"/>
      <c r="L465" s="1006"/>
      <c r="M465" s="1006"/>
    </row>
    <row r="466" spans="2:14" ht="14" x14ac:dyDescent="0.3">
      <c r="B466" s="667" t="s">
        <v>1084</v>
      </c>
      <c r="C466" s="510"/>
      <c r="D466" s="35"/>
      <c r="E466" s="148"/>
      <c r="F466" s="511"/>
      <c r="G466" s="499"/>
      <c r="H466" s="499"/>
      <c r="I466" s="499"/>
      <c r="J466" s="499"/>
      <c r="K466" s="499"/>
      <c r="L466" s="499"/>
      <c r="M466" s="499"/>
    </row>
    <row r="467" spans="2:14" x14ac:dyDescent="0.3">
      <c r="B467" s="353" t="s">
        <v>1375</v>
      </c>
      <c r="C467" s="132"/>
      <c r="D467" s="353"/>
      <c r="E467" s="148"/>
      <c r="F467" s="511"/>
      <c r="G467" s="1298">
        <f ca="1">('Cost Input'!$F$103/100*G453+'Cost Input'!$F$104/100*G454)*1000000/G$9/G25</f>
        <v>41.360278362908829</v>
      </c>
      <c r="H467" s="1298">
        <f ca="1">('Cost Input'!$F$103/100*H453+'Cost Input'!$F$104/100*H454)*1000000/H$9/H25</f>
        <v>41.360278362908829</v>
      </c>
      <c r="I467" s="1298">
        <f ca="1">('Cost Input'!$F$103/100*I453+'Cost Input'!$F$104/100*I454)*1000000/I$9/I25</f>
        <v>41.589623070962411</v>
      </c>
      <c r="J467" s="1298">
        <f ca="1">('Cost Input'!$F$103/100*J453+'Cost Input'!$F$104/100*J454)*1000000/J$9/J25</f>
        <v>41.947734227704174</v>
      </c>
      <c r="K467" s="1298">
        <f ca="1">('Cost Input'!$F$103/100*K453+'Cost Input'!$F$104/100*K454)*1000000/K$9/K25</f>
        <v>42.519628669049418</v>
      </c>
      <c r="L467" s="1298">
        <f ca="1">('Cost Input'!$F$103/100*L453+'Cost Input'!$F$104/100*L454)*1000000/L$9/L25</f>
        <v>43.896046724399497</v>
      </c>
      <c r="M467" s="1298">
        <f ca="1">('Cost Input'!$F$103/100*M453+'Cost Input'!$F$104/100*M454)*1000000/M$9/M25</f>
        <v>48.46794108003634</v>
      </c>
    </row>
    <row r="468" spans="2:14" x14ac:dyDescent="0.3">
      <c r="B468" s="353" t="s">
        <v>1376</v>
      </c>
      <c r="C468" s="132"/>
      <c r="D468" s="353"/>
      <c r="E468" s="148"/>
      <c r="F468" s="511"/>
      <c r="G468" s="1298">
        <f ca="1">'Cost Input'!$F$98/100*(G462+G463)+'Cost Input'!$F$99/100*G467</f>
        <v>15.329614848353762</v>
      </c>
      <c r="H468" s="1298">
        <f ca="1">'Cost Input'!$F$98/100*(H462+H463)+'Cost Input'!$F$99/100*H467</f>
        <v>15.329614848353762</v>
      </c>
      <c r="I468" s="1298">
        <f ca="1">'Cost Input'!$F$98/100*(I462+I463)+'Cost Input'!$F$99/100*I467</f>
        <v>15.445116261863932</v>
      </c>
      <c r="J468" s="1298">
        <f ca="1">'Cost Input'!$F$98/100*(J462+J463)+'Cost Input'!$F$99/100*J467</f>
        <v>15.623905673752535</v>
      </c>
      <c r="K468" s="1298">
        <f ca="1">'Cost Input'!$F$98/100*(K462+K463)+'Cost Input'!$F$99/100*K467</f>
        <v>15.906560929770055</v>
      </c>
      <c r="L468" s="1298">
        <f ca="1">'Cost Input'!$F$98/100*(L462+L463)+'Cost Input'!$F$99/100*L467</f>
        <v>16.52447563967397</v>
      </c>
      <c r="M468" s="1298">
        <f ca="1">'Cost Input'!$F$98/100*(M462+M463)+'Cost Input'!$F$99/100*M467</f>
        <v>18.496161044404001</v>
      </c>
    </row>
    <row r="469" spans="2:14" x14ac:dyDescent="0.3">
      <c r="B469" s="353" t="s">
        <v>1377</v>
      </c>
      <c r="C469" s="132"/>
      <c r="D469" s="353"/>
      <c r="E469" s="148"/>
      <c r="F469" s="511"/>
      <c r="G469" s="1298">
        <f ca="1">G467*'Cost Input'!$F$100/100</f>
        <v>16.544111345163532</v>
      </c>
      <c r="H469" s="1298">
        <f ca="1">H467*'Cost Input'!$F$100/100</f>
        <v>16.544111345163532</v>
      </c>
      <c r="I469" s="1298">
        <f ca="1">I467*'Cost Input'!$F$100/100</f>
        <v>16.635849228384963</v>
      </c>
      <c r="J469" s="1298">
        <f ca="1">J467*'Cost Input'!$F$100/100</f>
        <v>16.77909369108167</v>
      </c>
      <c r="K469" s="1298">
        <f ca="1">K467*'Cost Input'!$F$100/100</f>
        <v>17.007851467619766</v>
      </c>
      <c r="L469" s="1298">
        <f ca="1">L467*'Cost Input'!$F$100/100</f>
        <v>17.558418689759797</v>
      </c>
      <c r="M469" s="1298">
        <f ca="1">M467*'Cost Input'!$F$100/100</f>
        <v>19.387176432014535</v>
      </c>
    </row>
    <row r="470" spans="2:14" x14ac:dyDescent="0.3">
      <c r="B470" s="353" t="s">
        <v>1378</v>
      </c>
      <c r="C470" s="132"/>
      <c r="D470" s="353"/>
      <c r="E470" s="148"/>
      <c r="F470" s="511"/>
      <c r="G470" s="1298">
        <f t="shared" ref="G470:M470" ca="1" si="124">G468+G469+G467</f>
        <v>73.234004556426129</v>
      </c>
      <c r="H470" s="1298">
        <f t="shared" ca="1" si="124"/>
        <v>73.234004556426129</v>
      </c>
      <c r="I470" s="1298">
        <f t="shared" ca="1" si="124"/>
        <v>73.670588561211304</v>
      </c>
      <c r="J470" s="1298">
        <f t="shared" ca="1" si="124"/>
        <v>74.350733592538376</v>
      </c>
      <c r="K470" s="1298">
        <f t="shared" ca="1" si="124"/>
        <v>75.434041066439249</v>
      </c>
      <c r="L470" s="1298">
        <f t="shared" ca="1" si="124"/>
        <v>77.978941053833267</v>
      </c>
      <c r="M470" s="1298">
        <f t="shared" ca="1" si="124"/>
        <v>86.351278556454872</v>
      </c>
    </row>
    <row r="471" spans="2:14" x14ac:dyDescent="0.3">
      <c r="B471" s="353"/>
      <c r="C471" s="132"/>
      <c r="D471" s="353"/>
      <c r="E471" s="148"/>
      <c r="F471" s="511"/>
      <c r="G471" s="132"/>
      <c r="H471" s="132"/>
      <c r="I471" s="132"/>
      <c r="J471" s="132"/>
      <c r="K471" s="132"/>
      <c r="L471" s="132"/>
      <c r="M471" s="132"/>
    </row>
    <row r="472" spans="2:14" ht="14" x14ac:dyDescent="0.3">
      <c r="B472" s="667" t="s">
        <v>1364</v>
      </c>
      <c r="C472" s="132"/>
      <c r="D472" s="353"/>
      <c r="E472" s="148"/>
      <c r="F472" s="511"/>
      <c r="G472" s="132"/>
      <c r="H472" s="132"/>
      <c r="I472" s="132"/>
      <c r="J472" s="132"/>
      <c r="K472" s="132"/>
      <c r="L472" s="132"/>
      <c r="M472" s="132"/>
    </row>
    <row r="473" spans="2:14" x14ac:dyDescent="0.3">
      <c r="B473" s="353" t="s">
        <v>1379</v>
      </c>
      <c r="C473" s="132"/>
      <c r="D473" s="353"/>
      <c r="E473" s="178"/>
      <c r="F473" s="511"/>
      <c r="G473" s="203">
        <f ca="1">'Cost Input'!$F$107/100*G457*1000000/G$9*Lists!$D$154*Lists!$D$154/G25</f>
        <v>0</v>
      </c>
      <c r="H473" s="203">
        <f ca="1">'Cost Input'!$F$107/100*H457*1000000/H$9*Lists!$D$154*Lists!$D$154/H25</f>
        <v>0</v>
      </c>
      <c r="I473" s="203">
        <f ca="1">'Cost Input'!$F$107/100*I457*1000000/I$9*Lists!$D$154*Lists!$D$154/I25</f>
        <v>0</v>
      </c>
      <c r="J473" s="203">
        <f ca="1">'Cost Input'!$F$107/100*J457*1000000/J$9*Lists!$D$154*Lists!$D$154/J25</f>
        <v>0</v>
      </c>
      <c r="K473" s="203">
        <f ca="1">'Cost Input'!$F$107/100*K457*1000000/K$9*Lists!$D$154*Lists!$D$154/K25</f>
        <v>0</v>
      </c>
      <c r="L473" s="203">
        <f ca="1">'Cost Input'!$F$107/100*L457*1000000/L$9*Lists!$D$154*Lists!$D$154/L25</f>
        <v>0</v>
      </c>
      <c r="M473" s="203">
        <f ca="1">'Cost Input'!$F$107/100*M457*1000000/M$9*Lists!$D$154*Lists!$D$154/M25</f>
        <v>0</v>
      </c>
      <c r="N473" s="203" t="e">
        <f>'Cost Input'!$F$107/100*N457*1000000/N$9*Lists!$D$154*Lists!$D$154/N25</f>
        <v>#DIV/0!</v>
      </c>
    </row>
    <row r="474" spans="2:14" x14ac:dyDescent="0.3">
      <c r="B474" s="353" t="s">
        <v>1380</v>
      </c>
      <c r="C474" s="132"/>
      <c r="D474" s="353"/>
      <c r="E474" s="178"/>
      <c r="F474" s="511"/>
      <c r="G474" s="179">
        <f ca="1">'Cost Input'!$F$108/100*(G464+G470+G473)*Lists!$D$154*Lists!$D$154</f>
        <v>0</v>
      </c>
      <c r="H474" s="179">
        <f ca="1">'Cost Input'!$F$108/100*(H464+H470+H473)*Lists!$D$154*Lists!$D$154</f>
        <v>0</v>
      </c>
      <c r="I474" s="179">
        <f ca="1">'Cost Input'!$F$108/100*(I464+I470+I473)*Lists!$D$154*Lists!$D$154</f>
        <v>0</v>
      </c>
      <c r="J474" s="179">
        <f ca="1">'Cost Input'!$F$108/100*(J464+J470+J473)*Lists!$D$154*Lists!$D$154</f>
        <v>0</v>
      </c>
      <c r="K474" s="179">
        <f ca="1">'Cost Input'!$F$108/100*(K464+K470+K473)*Lists!$D$154*Lists!$D$154</f>
        <v>0</v>
      </c>
      <c r="L474" s="179">
        <f ca="1">'Cost Input'!$F$108/100*(L464+L470+L473)*Lists!$D$154*Lists!$D$154</f>
        <v>0</v>
      </c>
      <c r="M474" s="179">
        <f ca="1">'Cost Input'!$F$108/100*(M464+M470+M473)*Lists!$D$154*Lists!$D$154</f>
        <v>0</v>
      </c>
      <c r="N474" s="179" t="e">
        <f>'Cost Input'!$F$108/100*(N464+N470+N473)*Lists!$D$154*Lists!$D$154</f>
        <v>#DIV/0!</v>
      </c>
    </row>
    <row r="475" spans="2:14" x14ac:dyDescent="0.3">
      <c r="B475" s="353"/>
      <c r="C475" s="132"/>
      <c r="D475" s="353"/>
      <c r="E475" s="178"/>
      <c r="F475" s="511"/>
      <c r="G475" s="179"/>
      <c r="H475" s="179"/>
      <c r="I475" s="179"/>
      <c r="J475" s="179"/>
      <c r="K475" s="179"/>
      <c r="L475" s="179"/>
      <c r="M475" s="179"/>
    </row>
    <row r="476" spans="2:14" ht="14" x14ac:dyDescent="0.3">
      <c r="B476" s="667" t="s">
        <v>963</v>
      </c>
      <c r="C476" s="132"/>
      <c r="D476" s="353"/>
      <c r="E476" s="178"/>
      <c r="F476" s="511"/>
      <c r="G476" s="203"/>
      <c r="H476" s="203"/>
      <c r="I476" s="203"/>
      <c r="J476" s="203"/>
      <c r="K476" s="203"/>
      <c r="L476" s="203"/>
      <c r="M476" s="203"/>
    </row>
    <row r="477" spans="2:14" x14ac:dyDescent="0.3">
      <c r="B477" s="353" t="s">
        <v>1381</v>
      </c>
      <c r="C477" s="132"/>
      <c r="D477" s="353"/>
      <c r="E477" s="148"/>
      <c r="F477" s="511"/>
      <c r="G477" s="1079">
        <f t="shared" ref="G477:M477" ca="1" si="125">G464+G470+G473+G474</f>
        <v>440.19082406339953</v>
      </c>
      <c r="H477" s="1079">
        <f t="shared" ca="1" si="125"/>
        <v>440.19082406339953</v>
      </c>
      <c r="I477" s="1079">
        <f t="shared" ca="1" si="125"/>
        <v>444.30029971983743</v>
      </c>
      <c r="J477" s="1079">
        <f t="shared" ca="1" si="125"/>
        <v>450.94539665617594</v>
      </c>
      <c r="K477" s="1079">
        <f t="shared" ca="1" si="125"/>
        <v>461.7437442210574</v>
      </c>
      <c r="L477" s="1079">
        <f t="shared" ca="1" si="125"/>
        <v>484.01408869543673</v>
      </c>
      <c r="M477" s="1079">
        <f t="shared" ca="1" si="125"/>
        <v>558.99723726334105</v>
      </c>
    </row>
    <row r="478" spans="2:14" x14ac:dyDescent="0.3">
      <c r="B478" s="353" t="s">
        <v>1382</v>
      </c>
      <c r="C478" s="132"/>
      <c r="D478" s="353"/>
      <c r="E478" s="148"/>
      <c r="F478" s="511"/>
      <c r="G478" s="1079">
        <f t="shared" ref="G478:M478" ca="1" si="126">G477*G25</f>
        <v>8803.8164812679897</v>
      </c>
      <c r="H478" s="1079">
        <f t="shared" ca="1" si="126"/>
        <v>8803.8164812679897</v>
      </c>
      <c r="I478" s="1079">
        <f t="shared" ca="1" si="126"/>
        <v>8886.0059943967481</v>
      </c>
      <c r="J478" s="1079">
        <f t="shared" ca="1" si="126"/>
        <v>9018.9079331235189</v>
      </c>
      <c r="K478" s="1079">
        <f t="shared" ca="1" si="126"/>
        <v>9234.8748844211477</v>
      </c>
      <c r="L478" s="1079">
        <f t="shared" ca="1" si="126"/>
        <v>9680.281773908735</v>
      </c>
      <c r="M478" s="1079">
        <f t="shared" ca="1" si="126"/>
        <v>11179.944745266821</v>
      </c>
    </row>
    <row r="479" spans="2:14" ht="13.5" thickBot="1" x14ac:dyDescent="0.35">
      <c r="H479" s="132"/>
    </row>
    <row r="480" spans="2:14" ht="18.5" thickBot="1" x14ac:dyDescent="0.45">
      <c r="B480" s="1496" t="s">
        <v>1383</v>
      </c>
      <c r="C480" s="1497"/>
      <c r="D480" s="1497"/>
      <c r="E480" s="1497"/>
      <c r="F480" s="1497"/>
      <c r="G480" s="1497"/>
      <c r="H480" s="1497"/>
      <c r="I480" s="1497"/>
      <c r="J480" s="1497"/>
      <c r="K480" s="1497"/>
      <c r="L480" s="1497"/>
      <c r="M480" s="1498"/>
    </row>
    <row r="481" spans="2:17" x14ac:dyDescent="0.3">
      <c r="H481" s="132"/>
    </row>
    <row r="482" spans="2:17" ht="15.5" x14ac:dyDescent="0.35">
      <c r="B482" s="996" t="s">
        <v>1072</v>
      </c>
      <c r="Q482" s="353"/>
    </row>
    <row r="483" spans="2:17" x14ac:dyDescent="0.3">
      <c r="B483" s="221" t="s">
        <v>1353</v>
      </c>
      <c r="C483" s="221"/>
      <c r="D483" s="221"/>
      <c r="E483" s="1003"/>
      <c r="F483" s="219"/>
      <c r="G483" s="1003">
        <f ca="1">G393-G383*Lists!$C$154-G388*Lists!$D$154</f>
        <v>4095.2406168912594</v>
      </c>
      <c r="H483" s="1003">
        <f ca="1">H393-H383*Lists!$C$154-H388*Lists!$D$154</f>
        <v>4095.2406168912594</v>
      </c>
      <c r="I483" s="1003">
        <f ca="1">I393-I383*Lists!$C$154-I388*Lists!$D$154</f>
        <v>4112.310098811462</v>
      </c>
      <c r="J483" s="1003">
        <f ca="1">J393-J383*Lists!$C$154-J388*Lists!$D$154</f>
        <v>4138.9563357044144</v>
      </c>
      <c r="K483" s="1003">
        <f ca="1">K393-K383*Lists!$C$154-K388*Lists!$D$154</f>
        <v>4181.4345446994475</v>
      </c>
      <c r="L483" s="1003">
        <f ca="1">L393-L383*Lists!$C$154-L388*Lists!$D$154</f>
        <v>4264.1594436262949</v>
      </c>
      <c r="M483" s="1003">
        <f ca="1">M393-M383*Lists!$C$154-M388*Lists!$D$154</f>
        <v>4523.6720061989208</v>
      </c>
      <c r="N483" s="1003">
        <f>N393</f>
        <v>0</v>
      </c>
    </row>
    <row r="484" spans="2:17" x14ac:dyDescent="0.3">
      <c r="B484" s="353" t="s">
        <v>1354</v>
      </c>
      <c r="C484" s="221"/>
      <c r="D484" s="221"/>
      <c r="E484" s="1003"/>
      <c r="F484" s="219"/>
      <c r="G484" s="1003">
        <f ca="1">(G394-G389*Lists!$D$154-G384*Lists!$C$154)*'Cost Input'!$F$83/1000000</f>
        <v>855.54752869102367</v>
      </c>
      <c r="H484" s="1003">
        <f ca="1">(H394-H389*Lists!$D$154-H384*Lists!$C$154)*'Cost Input'!$F$83/1000000</f>
        <v>855.54752869102367</v>
      </c>
      <c r="I484" s="1003">
        <f ca="1">(I394-I389*Lists!$D$154-I384*Lists!$C$154)*'Cost Input'!$F$83/1000000</f>
        <v>863.81591547759592</v>
      </c>
      <c r="J484" s="1003">
        <f ca="1">(J394-J389*Lists!$D$154-J384*Lists!$C$154)*'Cost Input'!$F$83/1000000</f>
        <v>876.82965899663122</v>
      </c>
      <c r="K484" s="1003">
        <f ca="1">(K394-K389*Lists!$D$154-K384*Lists!$C$154)*'Cost Input'!$F$83/1000000</f>
        <v>897.95187363639866</v>
      </c>
      <c r="L484" s="1003">
        <f ca="1">(L394-L389*Lists!$D$154-L384*Lists!$C$154)*'Cost Input'!$F$83/1000000</f>
        <v>979.1969858152147</v>
      </c>
      <c r="M484" s="1003">
        <f ca="1">(M394-M389*Lists!$D$154-M384*Lists!$C$154)*'Cost Input'!$F$83/1000000</f>
        <v>1297.1081485536702</v>
      </c>
      <c r="N484" s="1003">
        <f>N394*'Cost Input'!$F$83/1000000</f>
        <v>0</v>
      </c>
      <c r="O484" s="737"/>
    </row>
    <row r="485" spans="2:17" x14ac:dyDescent="0.3">
      <c r="B485" s="221" t="str">
        <f>"Launch costs (" &amp; 'Cost Input'!$F$85 &amp; "% of direct annual materials + " &amp; 'Cost Input'!$F$86 &amp; "% of other annual costs), mil$"</f>
        <v>Launch costs (5% of direct annual materials + 10% of other annual costs), mil$</v>
      </c>
      <c r="C485" s="221"/>
      <c r="D485" s="221"/>
      <c r="E485" s="1003"/>
      <c r="F485" s="219"/>
      <c r="G485" s="148">
        <f ca="1">('Cost Input'!$F$85/100*G491+'Cost Input'!$F$86/100*(G492+G493))*G$9/1000000</f>
        <v>216.83574492588781</v>
      </c>
      <c r="H485" s="148">
        <f ca="1">('Cost Input'!$F$85/100*H491+'Cost Input'!$F$86/100*(H492+H493))*H$9/1000000</f>
        <v>216.83574492588781</v>
      </c>
      <c r="I485" s="148">
        <f ca="1">('Cost Input'!$F$85/100*I491+'Cost Input'!$F$86/100*(I492+I493))*I$9/1000000</f>
        <v>218.79399352785614</v>
      </c>
      <c r="J485" s="148">
        <f ca="1">('Cost Input'!$F$85/100*J491+'Cost Input'!$F$86/100*(J492+J493))*J$9/1000000</f>
        <v>222.00282690486733</v>
      </c>
      <c r="K485" s="148">
        <f ca="1">('Cost Input'!$F$85/100*K491+'Cost Input'!$F$86/100*(K492+K493))*K$9/1000000</f>
        <v>227.1484131297654</v>
      </c>
      <c r="L485" s="148">
        <f ca="1">('Cost Input'!$F$85/100*L491+'Cost Input'!$F$86/100*(L492+L493))*L$9/1000000</f>
        <v>237.65576121952571</v>
      </c>
      <c r="M485" s="148">
        <f ca="1">('Cost Input'!$F$85/100*M491+'Cost Input'!$F$86/100*(M492+M493))*M$9/1000000</f>
        <v>272.88375753308696</v>
      </c>
      <c r="N485" s="168">
        <f>('Cost Input'!$F$85/100*N491+'Cost Input'!$F$86/100*(N492+N493))*N9/1000000</f>
        <v>0</v>
      </c>
    </row>
    <row r="486" spans="2:17" x14ac:dyDescent="0.3">
      <c r="B486" s="221" t="str">
        <f>"Working capital (" &amp; 'Cost Input'!$F$87 &amp; "% of annual variable costs), mil$"</f>
        <v>Working capital (15% of annual variable costs), mil$</v>
      </c>
      <c r="C486" s="221"/>
      <c r="D486" s="221"/>
      <c r="E486" s="1003"/>
      <c r="F486" s="219"/>
      <c r="G486" s="1003">
        <f ca="1">G494*G$9/1000000*'Cost Input'!$F$87/100</f>
        <v>618.5672535970665</v>
      </c>
      <c r="H486" s="1003">
        <f ca="1">H494*H$9/1000000*'Cost Input'!$F$87/100</f>
        <v>618.5672535970665</v>
      </c>
      <c r="I486" s="1003">
        <f ca="1">I494*I$9/1000000*'Cost Input'!$F$87/100</f>
        <v>624.09820037046632</v>
      </c>
      <c r="J486" s="1003">
        <f ca="1">J494*J$9/1000000*'Cost Input'!$F$87/100</f>
        <v>633.19710478634602</v>
      </c>
      <c r="K486" s="1003">
        <f ca="1">K494*K$9/1000000*'Cost Input'!$F$87/100</f>
        <v>647.80822397041175</v>
      </c>
      <c r="L486" s="1003">
        <f ca="1">L494*L$9/1000000*'Cost Input'!$F$87/100</f>
        <v>677.73029011485062</v>
      </c>
      <c r="M486" s="1003">
        <f ca="1">M494*M$9/1000000*'Cost Input'!$F$87/100</f>
        <v>778.55817203547485</v>
      </c>
      <c r="N486" s="1003">
        <f>N494*N9/1000000*'Cost Input'!$F$87/100</f>
        <v>0</v>
      </c>
    </row>
    <row r="487" spans="2:17" x14ac:dyDescent="0.3">
      <c r="B487" s="221" t="s">
        <v>1355</v>
      </c>
      <c r="C487" s="221"/>
      <c r="D487" s="221"/>
      <c r="E487" s="1003"/>
      <c r="F487" s="219"/>
      <c r="G487" s="1003">
        <f t="shared" ref="G487:M487" ca="1" si="127">SUM(G483:G486)</f>
        <v>5786.1911441052362</v>
      </c>
      <c r="H487" s="1003">
        <f t="shared" ca="1" si="127"/>
        <v>5786.1911441052362</v>
      </c>
      <c r="I487" s="1003">
        <f t="shared" ca="1" si="127"/>
        <v>5819.0182081873809</v>
      </c>
      <c r="J487" s="1003">
        <f t="shared" ca="1" si="127"/>
        <v>5870.985926392259</v>
      </c>
      <c r="K487" s="1003">
        <f t="shared" ca="1" si="127"/>
        <v>5954.3430554360239</v>
      </c>
      <c r="L487" s="1003">
        <f t="shared" ca="1" si="127"/>
        <v>6158.7424807758862</v>
      </c>
      <c r="M487" s="1003">
        <f t="shared" ca="1" si="127"/>
        <v>6872.2220843211526</v>
      </c>
    </row>
    <row r="488" spans="2:17" x14ac:dyDescent="0.3">
      <c r="B488" s="221"/>
      <c r="C488" s="221"/>
      <c r="D488" s="221"/>
      <c r="E488" s="1003"/>
      <c r="F488" s="219"/>
      <c r="G488" s="1373"/>
      <c r="H488" s="1003"/>
      <c r="I488" s="1003"/>
      <c r="J488" s="1003"/>
      <c r="K488" s="1003"/>
      <c r="L488" s="1003"/>
      <c r="M488" s="1003"/>
    </row>
    <row r="489" spans="2:17" ht="15.5" x14ac:dyDescent="0.35">
      <c r="B489" s="1001" t="s">
        <v>1384</v>
      </c>
      <c r="C489" s="1002"/>
      <c r="D489" s="1002"/>
      <c r="E489" s="1003"/>
      <c r="F489" s="219"/>
      <c r="G489" s="1003"/>
      <c r="H489" s="1003"/>
      <c r="I489" s="1003"/>
      <c r="J489" s="1003"/>
      <c r="K489" s="1003"/>
      <c r="L489" s="1003"/>
      <c r="M489" s="1003"/>
    </row>
    <row r="490" spans="2:17" ht="14" x14ac:dyDescent="0.3">
      <c r="B490" s="1008" t="s">
        <v>1079</v>
      </c>
      <c r="C490" s="1004"/>
      <c r="D490" s="1004"/>
      <c r="E490" s="1003"/>
      <c r="F490" s="219"/>
      <c r="G490" s="1003"/>
      <c r="H490" s="1003"/>
      <c r="I490" s="1003"/>
      <c r="J490" s="1003"/>
      <c r="K490" s="1003"/>
      <c r="L490" s="1003"/>
      <c r="M490" s="1003"/>
    </row>
    <row r="491" spans="2:17" x14ac:dyDescent="0.3">
      <c r="B491" s="353" t="s">
        <v>1385</v>
      </c>
      <c r="F491" s="130"/>
      <c r="G491" s="1078">
        <f ca="1">(G448+G153*G25)*Lists!$C$154+G478*Lists!$D$154+(G143*G24+G153*G25)*(1-Lists!$C$154-Lists!$D$154)+G168+G169</f>
        <v>7821.6969655529265</v>
      </c>
      <c r="H491" s="1078">
        <f ca="1">(H448+H153*H25)*Lists!$C$154+H478*Lists!$D$154+(H143*H24+H153*H25)*(1-Lists!$C$154-Lists!$D$154)+H168+H169</f>
        <v>7821.6969655529265</v>
      </c>
      <c r="I491" s="1078">
        <f ca="1">(I448+I153*I25)*Lists!$C$154+I478*Lists!$D$154+(I143*I24+I153*I25)*(1-Lists!$C$154-Lists!$D$154)+I168+I169</f>
        <v>7890.8589354315236</v>
      </c>
      <c r="J491" s="1078">
        <f ca="1">(J448+J153*J25)*Lists!$C$154+J478*Lists!$D$154+(J143*J24+J153*J25)*(1-Lists!$C$154-Lists!$D$154)+J168+J169</f>
        <v>8005.1430514412023</v>
      </c>
      <c r="K491" s="1078">
        <f ca="1">(K448+K153*K25)*Lists!$C$154+K478*Lists!$D$154+(K143*K24+K153*K25)*(1-Lists!$C$154-Lists!$D$154)+K168+K169</f>
        <v>8188.9494473536997</v>
      </c>
      <c r="L491" s="1078">
        <f ca="1">(L448+L153*L25)*Lists!$C$154+L478*Lists!$D$154+(L143*L24+L153*L25)*(1-Lists!$C$154-Lists!$D$154)+L168+L169</f>
        <v>8566.5772876149895</v>
      </c>
      <c r="M491" s="1078">
        <f ca="1">(M448+M153*M25)*Lists!$C$154+M478*Lists!$D$154+(M143*M24+M153*M25)*(1-Lists!$C$154-Lists!$D$154)+M168+M169</f>
        <v>9846.2009529558545</v>
      </c>
      <c r="N491" s="19">
        <f>N143*'Battery Design'!N$31+N153*'Battery Design'!N$29+N168+N169</f>
        <v>0</v>
      </c>
    </row>
    <row r="492" spans="2:17" x14ac:dyDescent="0.3">
      <c r="B492" s="353" t="str">
        <f>"Direct labor at $" &amp; 'Cost Input'!$F$91 &amp; "/hour, $/pack"</f>
        <v>Direct labor at $25/hour, $/pack</v>
      </c>
      <c r="C492" s="221"/>
      <c r="D492" s="221"/>
      <c r="E492" s="1003"/>
      <c r="F492" s="219"/>
      <c r="G492" s="1301">
        <f ca="1">'Cost Input'!$F$91/G$9*(G392-G387*Lists!$D$154-G382*Lists!$C$154)</f>
        <v>174.96131463701596</v>
      </c>
      <c r="H492" s="1301">
        <f ca="1">'Cost Input'!$F$91/H$9*(H392-H387*Lists!$D$154-H382*Lists!$C$154)</f>
        <v>174.96131463701596</v>
      </c>
      <c r="I492" s="1301">
        <f ca="1">'Cost Input'!$F$91/I$9*(I392-I387*Lists!$D$154-I382*Lists!$C$154)</f>
        <v>177.62977184239284</v>
      </c>
      <c r="J492" s="1301">
        <f ca="1">'Cost Input'!$F$91/J$9*(J392-J387*Lists!$D$154-J382*Lists!$C$154)</f>
        <v>181.70726126331135</v>
      </c>
      <c r="K492" s="1301">
        <f ca="1">'Cost Input'!$F$91/K$9*(K392-K387*Lists!$D$154-K382*Lists!$C$154)</f>
        <v>188.05508546982264</v>
      </c>
      <c r="L492" s="1301">
        <f ca="1">'Cost Input'!$F$91/L$9*(L392-L387*Lists!$D$154-L382*Lists!$C$154)</f>
        <v>199.76875937261636</v>
      </c>
      <c r="M492" s="1301">
        <f ca="1">'Cost Input'!$F$91/M$9*(M392-M387*Lists!$D$154-M382*Lists!$C$154)</f>
        <v>234.06116497484376</v>
      </c>
    </row>
    <row r="493" spans="2:17" x14ac:dyDescent="0.3">
      <c r="B493" s="221" t="s">
        <v>1386</v>
      </c>
      <c r="C493" s="221"/>
      <c r="D493" s="221"/>
      <c r="E493" s="1005"/>
      <c r="F493" s="1003"/>
      <c r="G493" s="1308">
        <f ca="1">'Cost Input'!$F$93/100*G492+'Cost Input'!$F$94/100*G497</f>
        <v>250.90510110427726</v>
      </c>
      <c r="H493" s="1308">
        <f ca="1">'Cost Input'!$F$93/100*H492+'Cost Input'!$F$94/100*H497</f>
        <v>250.90510110427726</v>
      </c>
      <c r="I493" s="1308">
        <f ca="1">'Cost Input'!$F$93/100*I492+'Cost Input'!$F$94/100*I497</f>
        <v>252.8206309989676</v>
      </c>
      <c r="J493" s="1308">
        <f ca="1">'Cost Input'!$F$93/100*J492+'Cost Input'!$F$94/100*J497</f>
        <v>255.77775111343379</v>
      </c>
      <c r="K493" s="1308">
        <f ca="1">'Cost Input'!$F$93/100*K492+'Cost Input'!$F$94/100*K497</f>
        <v>260.43845344863496</v>
      </c>
      <c r="L493" s="1308">
        <f ca="1">'Cost Input'!$F$93/100*L492+'Cost Input'!$F$94/100*L497</f>
        <v>270.05782121040266</v>
      </c>
      <c r="M493" s="1308">
        <f ca="1">'Cost Input'!$F$93/100*M492+'Cost Input'!$F$94/100*M497</f>
        <v>300.51350920896778</v>
      </c>
      <c r="O493" s="737"/>
    </row>
    <row r="494" spans="2:17" x14ac:dyDescent="0.3">
      <c r="B494" s="221" t="s">
        <v>1387</v>
      </c>
      <c r="C494" s="221"/>
      <c r="D494" s="221"/>
      <c r="E494" s="1005"/>
      <c r="F494" s="1003"/>
      <c r="G494" s="1308">
        <f t="shared" ref="G494:M494" ca="1" si="128">SUM(G491:G493)</f>
        <v>8247.5633812942197</v>
      </c>
      <c r="H494" s="1308">
        <f t="shared" ca="1" si="128"/>
        <v>8247.5633812942197</v>
      </c>
      <c r="I494" s="1308">
        <f t="shared" ca="1" si="128"/>
        <v>8321.3093382728839</v>
      </c>
      <c r="J494" s="1308">
        <f t="shared" ca="1" si="128"/>
        <v>8442.6280638179469</v>
      </c>
      <c r="K494" s="1308">
        <f t="shared" ca="1" si="128"/>
        <v>8637.4429862721572</v>
      </c>
      <c r="L494" s="1308">
        <f t="shared" ca="1" si="128"/>
        <v>9036.4038681980091</v>
      </c>
      <c r="M494" s="1308">
        <f t="shared" ca="1" si="128"/>
        <v>10380.775627139667</v>
      </c>
    </row>
    <row r="495" spans="2:17" x14ac:dyDescent="0.3">
      <c r="B495" s="221"/>
      <c r="C495" s="221"/>
      <c r="D495" s="221"/>
      <c r="E495" s="1005"/>
      <c r="F495" s="1003"/>
      <c r="G495" s="1006"/>
      <c r="H495" s="1006"/>
      <c r="I495" s="1006"/>
      <c r="J495" s="1006"/>
      <c r="K495" s="1006"/>
      <c r="L495" s="1006"/>
      <c r="M495" s="1006"/>
    </row>
    <row r="496" spans="2:17" ht="14" x14ac:dyDescent="0.3">
      <c r="B496" s="667" t="s">
        <v>1084</v>
      </c>
      <c r="C496" s="510"/>
      <c r="D496" s="35"/>
      <c r="E496" s="148"/>
      <c r="F496" s="511"/>
      <c r="G496" s="499"/>
      <c r="H496" s="499"/>
      <c r="I496" s="499"/>
      <c r="J496" s="499"/>
      <c r="K496" s="499"/>
      <c r="L496" s="499"/>
      <c r="M496" s="499"/>
    </row>
    <row r="497" spans="2:15" x14ac:dyDescent="0.3">
      <c r="B497" s="353" t="s">
        <v>1388</v>
      </c>
      <c r="C497" s="132"/>
      <c r="D497" s="353"/>
      <c r="E497" s="148"/>
      <c r="F497" s="511"/>
      <c r="G497" s="1079">
        <f ca="1">('Cost Input'!$F$103/100*G483+'Cost Input'!$F$104/100*G484)*1000000/G$9</f>
        <v>904.60287624735429</v>
      </c>
      <c r="H497" s="1079">
        <f ca="1">('Cost Input'!$F$103/100*H483+'Cost Input'!$F$104/100*H484)*1000000/H$9</f>
        <v>904.60287624735429</v>
      </c>
      <c r="I497" s="1079">
        <f ca="1">('Cost Input'!$F$103/100*I483+'Cost Input'!$F$104/100*I484)*1000000/I$9</f>
        <v>908.84361131005221</v>
      </c>
      <c r="J497" s="1079">
        <f ca="1">('Cost Input'!$F$103/100*J483+'Cost Input'!$F$104/100*J484)*1000000/J$9</f>
        <v>915.4742330405461</v>
      </c>
      <c r="K497" s="1079">
        <f ca="1">('Cost Input'!$F$103/100*K483+'Cost Input'!$F$104/100*K484)*1000000/K$9</f>
        <v>926.08209630352951</v>
      </c>
      <c r="L497" s="1079">
        <f ca="1">('Cost Input'!$F$103/100*L483+'Cost Input'!$F$104/100*L484)*1000000/L$9</f>
        <v>950.75158730678049</v>
      </c>
      <c r="M497" s="1079">
        <f ca="1">('Cost Input'!$F$103/100*M483+'Cost Input'!$F$104/100*M484)*1000000/M$9</f>
        <v>1034.4452160951512</v>
      </c>
    </row>
    <row r="498" spans="2:15" x14ac:dyDescent="0.3">
      <c r="B498" s="353" t="s">
        <v>1389</v>
      </c>
      <c r="C498" s="132"/>
      <c r="D498" s="353"/>
      <c r="E498" s="148"/>
      <c r="F498" s="511"/>
      <c r="G498" s="1079">
        <f ca="1">'Cost Input'!$F$98/100*(G492+G493)+'Cost Input'!$F$99/100*G497</f>
        <v>332.61732299716186</v>
      </c>
      <c r="H498" s="1079">
        <f ca="1">'Cost Input'!$F$98/100*(H492+H493)+'Cost Input'!$F$99/100*H497</f>
        <v>332.61732299716186</v>
      </c>
      <c r="I498" s="1079">
        <f ca="1">'Cost Input'!$F$98/100*(I492+I493)+'Cost Input'!$F$99/100*I497</f>
        <v>334.82350353785318</v>
      </c>
      <c r="J498" s="1079">
        <f ca="1">'Cost Input'!$F$98/100*(J492+J493)+'Cost Input'!$F$99/100*J497</f>
        <v>338.2398113543228</v>
      </c>
      <c r="K498" s="1079">
        <f ca="1">'Cost Input'!$F$98/100*(K492+K493)+'Cost Input'!$F$99/100*K497</f>
        <v>343.64390880549678</v>
      </c>
      <c r="L498" s="1079">
        <f ca="1">'Cost Input'!$F$98/100*(L492+L493)+'Cost Input'!$F$99/100*L497</f>
        <v>355.14454197244987</v>
      </c>
      <c r="M498" s="1079">
        <f ca="1">'Cost Input'!$F$98/100*(M492+M493)+'Cost Input'!$F$99/100*M497</f>
        <v>392.25497256974069</v>
      </c>
    </row>
    <row r="499" spans="2:15" x14ac:dyDescent="0.3">
      <c r="B499" s="353" t="s">
        <v>1390</v>
      </c>
      <c r="C499" s="132"/>
      <c r="D499" s="353"/>
      <c r="E499" s="148"/>
      <c r="F499" s="511"/>
      <c r="G499" s="1079">
        <f ca="1">G497*'Cost Input'!$F$100/100</f>
        <v>361.84115049894172</v>
      </c>
      <c r="H499" s="1079">
        <f ca="1">H497*'Cost Input'!$F$100/100</f>
        <v>361.84115049894172</v>
      </c>
      <c r="I499" s="1079">
        <f ca="1">I497*'Cost Input'!$F$100/100</f>
        <v>363.53744452402088</v>
      </c>
      <c r="J499" s="1079">
        <f ca="1">J497*'Cost Input'!$F$100/100</f>
        <v>366.18969321621842</v>
      </c>
      <c r="K499" s="1079">
        <f ca="1">K497*'Cost Input'!$F$100/100</f>
        <v>370.43283852141184</v>
      </c>
      <c r="L499" s="1079">
        <f ca="1">L497*'Cost Input'!$F$100/100</f>
        <v>380.30063492271222</v>
      </c>
      <c r="M499" s="1079">
        <f ca="1">M497*'Cost Input'!$F$100/100</f>
        <v>413.77808643806048</v>
      </c>
    </row>
    <row r="500" spans="2:15" x14ac:dyDescent="0.3">
      <c r="B500" s="353" t="s">
        <v>1391</v>
      </c>
      <c r="C500" s="132"/>
      <c r="D500" s="353"/>
      <c r="E500" s="148"/>
      <c r="F500" s="511"/>
      <c r="G500" s="1079">
        <f t="shared" ref="G500:M500" ca="1" si="129">G498+G499+G497</f>
        <v>1599.0613497434579</v>
      </c>
      <c r="H500" s="1079">
        <f t="shared" ca="1" si="129"/>
        <v>1599.0613497434579</v>
      </c>
      <c r="I500" s="1079">
        <f t="shared" ca="1" si="129"/>
        <v>1607.2045593719263</v>
      </c>
      <c r="J500" s="1079">
        <f t="shared" ca="1" si="129"/>
        <v>1619.9037376110873</v>
      </c>
      <c r="K500" s="1079">
        <f t="shared" ca="1" si="129"/>
        <v>1640.1588436304382</v>
      </c>
      <c r="L500" s="1079">
        <f t="shared" ca="1" si="129"/>
        <v>1686.1967642019426</v>
      </c>
      <c r="M500" s="1079">
        <f t="shared" ca="1" si="129"/>
        <v>1840.4782751029525</v>
      </c>
    </row>
    <row r="501" spans="2:15" x14ac:dyDescent="0.3">
      <c r="B501" s="353"/>
      <c r="C501" s="132"/>
      <c r="D501" s="353"/>
      <c r="E501" s="148"/>
      <c r="F501" s="511"/>
      <c r="G501" s="132"/>
      <c r="H501" s="132"/>
      <c r="I501" s="132"/>
      <c r="J501" s="132"/>
      <c r="K501" s="132"/>
      <c r="L501" s="132"/>
      <c r="M501" s="132"/>
    </row>
    <row r="502" spans="2:15" ht="14" x14ac:dyDescent="0.3">
      <c r="B502" s="667" t="s">
        <v>1364</v>
      </c>
      <c r="C502" s="132"/>
      <c r="D502" s="353"/>
      <c r="E502" s="148"/>
      <c r="F502" s="511"/>
      <c r="G502" s="132"/>
      <c r="H502" s="132"/>
      <c r="I502" s="132"/>
      <c r="J502" s="132"/>
      <c r="K502" s="132"/>
      <c r="L502" s="132"/>
      <c r="M502" s="132"/>
    </row>
    <row r="503" spans="2:15" x14ac:dyDescent="0.3">
      <c r="B503" s="353" t="s">
        <v>1392</v>
      </c>
      <c r="C503" s="132"/>
      <c r="D503" s="353"/>
      <c r="E503" s="178"/>
      <c r="F503" s="511"/>
      <c r="G503" s="1079">
        <f ca="1">'Cost Input'!$F$109/100*G487*1000000/G$9*Lists!$C$162</f>
        <v>578.61911441052371</v>
      </c>
      <c r="H503" s="1079">
        <f ca="1">'Cost Input'!$F$109/100*H487*1000000/H$9*Lists!$C$162</f>
        <v>578.61911441052371</v>
      </c>
      <c r="I503" s="1079">
        <f ca="1">'Cost Input'!$F$109/100*I487*1000000/I$9*Lists!$C$162</f>
        <v>581.90182081873809</v>
      </c>
      <c r="J503" s="1079">
        <f ca="1">'Cost Input'!$F$109/100*J487*1000000/J$9*Lists!$C$162</f>
        <v>587.09859263922579</v>
      </c>
      <c r="K503" s="1079">
        <f ca="1">'Cost Input'!$F$109/100*K487*1000000/K$9*Lists!$C$162</f>
        <v>595.43430554360236</v>
      </c>
      <c r="L503" s="1079">
        <f ca="1">'Cost Input'!$F$109/100*L487*1000000/L$9*Lists!$C$162</f>
        <v>615.87424807758873</v>
      </c>
      <c r="M503" s="1079">
        <f ca="1">'Cost Input'!$F$109/100*M487*1000000/M$9*Lists!$C$162</f>
        <v>687.22220843211528</v>
      </c>
      <c r="O503" s="737"/>
    </row>
    <row r="504" spans="2:15" x14ac:dyDescent="0.3">
      <c r="B504" s="353" t="s">
        <v>1393</v>
      </c>
      <c r="C504" s="132"/>
      <c r="D504" s="353"/>
      <c r="E504" s="353"/>
      <c r="F504" s="511"/>
      <c r="G504" s="1300">
        <f ca="1">'Cost Input'!$F$110/100*(G494+G500+G503)*Lists!$D$162</f>
        <v>583.81365534509928</v>
      </c>
      <c r="H504" s="1300">
        <f ca="1">'Cost Input'!$F$110/100*(H494+H500+H503)*Lists!$D$162</f>
        <v>583.81365534509928</v>
      </c>
      <c r="I504" s="1300">
        <f ca="1">'Cost Input'!$F$110/100*(I494+I500+I503)*Lists!$D$162</f>
        <v>588.58328023395859</v>
      </c>
      <c r="J504" s="1300">
        <f ca="1">'Cost Input'!$F$110/100*(J494+J500+J503)*Lists!$D$162</f>
        <v>596.37930206782255</v>
      </c>
      <c r="K504" s="1300">
        <f ca="1">'Cost Input'!$F$110/100*(K494+K500+K503)*Lists!$D$162</f>
        <v>608.89002358498703</v>
      </c>
      <c r="L504" s="1300">
        <f ca="1">'Cost Input'!$F$110/100*(L494+L500+L503)*Lists!$D$162</f>
        <v>634.95459330674225</v>
      </c>
      <c r="M504" s="1300">
        <f ca="1">'Cost Input'!$F$110/100*(M494+M500+M503)*Lists!$D$162</f>
        <v>722.87466219778503</v>
      </c>
    </row>
    <row r="505" spans="2:15" x14ac:dyDescent="0.3">
      <c r="B505" s="353"/>
      <c r="C505" s="132"/>
      <c r="D505" s="353"/>
      <c r="E505" s="353"/>
      <c r="F505" s="511"/>
      <c r="G505" s="179"/>
      <c r="H505" s="179"/>
      <c r="I505" s="179"/>
      <c r="J505" s="179"/>
      <c r="K505" s="179"/>
      <c r="L505" s="179"/>
      <c r="M505" s="179"/>
    </row>
    <row r="506" spans="2:15" ht="14" x14ac:dyDescent="0.3">
      <c r="B506" s="667" t="s">
        <v>963</v>
      </c>
      <c r="C506" s="132"/>
      <c r="D506" s="353"/>
      <c r="E506" s="178"/>
      <c r="F506" s="511"/>
      <c r="G506" s="203"/>
      <c r="H506" s="203"/>
      <c r="I506" s="203"/>
      <c r="J506" s="203"/>
      <c r="K506" s="203"/>
      <c r="L506" s="203"/>
      <c r="M506" s="203"/>
    </row>
    <row r="507" spans="2:15" x14ac:dyDescent="0.3">
      <c r="B507" s="353" t="s">
        <v>1394</v>
      </c>
      <c r="C507" s="132"/>
      <c r="D507" s="353"/>
      <c r="E507" s="148"/>
      <c r="F507" s="1068"/>
      <c r="G507" s="1079">
        <f ca="1">G494+G500+G503+G504</f>
        <v>11009.0575007933</v>
      </c>
      <c r="H507" s="1079">
        <f t="shared" ref="H507:M507" ca="1" si="130">H494+H500+H503+H504</f>
        <v>11009.0575007933</v>
      </c>
      <c r="I507" s="1079">
        <f t="shared" ca="1" si="130"/>
        <v>11098.998998697507</v>
      </c>
      <c r="J507" s="1079">
        <f t="shared" ca="1" si="130"/>
        <v>11246.009696136083</v>
      </c>
      <c r="K507" s="1079">
        <f t="shared" ca="1" si="130"/>
        <v>11481.926159031185</v>
      </c>
      <c r="L507" s="1079">
        <f t="shared" ca="1" si="130"/>
        <v>11973.429473784283</v>
      </c>
      <c r="M507" s="1079">
        <f t="shared" ca="1" si="130"/>
        <v>13631.350772872518</v>
      </c>
    </row>
    <row r="508" spans="2:15" x14ac:dyDescent="0.3">
      <c r="B508" s="353"/>
      <c r="C508" s="132"/>
      <c r="D508" s="353"/>
      <c r="E508" s="148"/>
      <c r="F508" s="1068"/>
      <c r="G508" s="132"/>
      <c r="H508" s="132"/>
      <c r="I508" s="132"/>
      <c r="J508" s="132"/>
      <c r="K508" s="132"/>
      <c r="L508" s="132"/>
      <c r="M508" s="132"/>
    </row>
    <row r="509" spans="2:15" ht="13.5" thickBot="1" x14ac:dyDescent="0.35">
      <c r="H509" s="132"/>
    </row>
    <row r="510" spans="2:15" ht="20.5" thickBot="1" x14ac:dyDescent="0.45">
      <c r="B510" s="1453" t="s">
        <v>1395</v>
      </c>
      <c r="C510" s="1454"/>
      <c r="D510" s="1454"/>
      <c r="E510" s="1454"/>
      <c r="F510" s="1454"/>
      <c r="G510" s="1454"/>
      <c r="H510" s="1454"/>
      <c r="I510" s="1454"/>
      <c r="J510" s="1454"/>
      <c r="K510" s="1454"/>
      <c r="L510" s="1454"/>
      <c r="M510" s="1455"/>
    </row>
    <row r="511" spans="2:15" x14ac:dyDescent="0.3">
      <c r="H511" s="132"/>
    </row>
    <row r="512" spans="2:15" x14ac:dyDescent="0.3">
      <c r="B512" s="353" t="s">
        <v>1396</v>
      </c>
      <c r="G512" s="1078">
        <f t="shared" ref="G512:M512" ca="1" si="131">G507*G26</f>
        <v>11009.0575007933</v>
      </c>
      <c r="H512" s="1078">
        <f t="shared" ca="1" si="131"/>
        <v>11009.0575007933</v>
      </c>
      <c r="I512" s="1078">
        <f t="shared" ca="1" si="131"/>
        <v>11098.998998697507</v>
      </c>
      <c r="J512" s="1078">
        <f t="shared" ca="1" si="131"/>
        <v>11246.009696136083</v>
      </c>
      <c r="K512" s="1078">
        <f t="shared" ca="1" si="131"/>
        <v>11481.926159031185</v>
      </c>
      <c r="L512" s="1078">
        <f t="shared" ca="1" si="131"/>
        <v>11973.429473784283</v>
      </c>
      <c r="M512" s="1078">
        <f t="shared" ca="1" si="131"/>
        <v>13631.350772872518</v>
      </c>
    </row>
    <row r="513" spans="2:14" x14ac:dyDescent="0.3">
      <c r="B513" s="353" t="s">
        <v>1397</v>
      </c>
      <c r="G513" s="1304">
        <f t="shared" ref="G513:M513" ca="1" si="132">G174</f>
        <v>160</v>
      </c>
      <c r="H513" s="1304">
        <f t="shared" ca="1" si="132"/>
        <v>160</v>
      </c>
      <c r="I513" s="1304">
        <f t="shared" ca="1" si="132"/>
        <v>160</v>
      </c>
      <c r="J513" s="1304">
        <f t="shared" ca="1" si="132"/>
        <v>160</v>
      </c>
      <c r="K513" s="1304">
        <f t="shared" ca="1" si="132"/>
        <v>160</v>
      </c>
      <c r="L513" s="1304">
        <f t="shared" ca="1" si="132"/>
        <v>160</v>
      </c>
      <c r="M513" s="1304">
        <f t="shared" ca="1" si="132"/>
        <v>160</v>
      </c>
      <c r="N513" s="21" t="e">
        <f>N174*#REF!</f>
        <v>#REF!</v>
      </c>
    </row>
    <row r="514" spans="2:14" x14ac:dyDescent="0.3">
      <c r="B514" s="353" t="s">
        <v>1398</v>
      </c>
      <c r="G514" s="1078">
        <f t="shared" ref="G514:M514" ca="1" si="133">SUM(G512:G513)</f>
        <v>11169.0575007933</v>
      </c>
      <c r="H514" s="1078">
        <f t="shared" ca="1" si="133"/>
        <v>11169.0575007933</v>
      </c>
      <c r="I514" s="1078">
        <f t="shared" ca="1" si="133"/>
        <v>11258.998998697507</v>
      </c>
      <c r="J514" s="1078">
        <f t="shared" ca="1" si="133"/>
        <v>11406.009696136083</v>
      </c>
      <c r="K514" s="1078">
        <f t="shared" ca="1" si="133"/>
        <v>11641.926159031185</v>
      </c>
      <c r="L514" s="1078">
        <f t="shared" ca="1" si="133"/>
        <v>12133.429473784283</v>
      </c>
      <c r="M514" s="1078">
        <f t="shared" ca="1" si="133"/>
        <v>13791.350772872518</v>
      </c>
    </row>
    <row r="515" spans="2:14" x14ac:dyDescent="0.3">
      <c r="B515" s="10" t="s">
        <v>1399</v>
      </c>
      <c r="C515" s="353"/>
      <c r="D515" s="353"/>
      <c r="E515" s="353"/>
      <c r="F515" s="353"/>
      <c r="G515" s="500">
        <v>10</v>
      </c>
      <c r="H515" s="500">
        <v>10</v>
      </c>
      <c r="I515" s="500">
        <v>10</v>
      </c>
      <c r="J515" s="500">
        <v>10</v>
      </c>
      <c r="K515" s="500">
        <v>10</v>
      </c>
      <c r="L515" s="500">
        <v>10</v>
      </c>
      <c r="M515" s="500">
        <v>10</v>
      </c>
    </row>
    <row r="516" spans="2:14" x14ac:dyDescent="0.3">
      <c r="B516" s="10" t="s">
        <v>1400</v>
      </c>
      <c r="C516" s="353"/>
      <c r="D516" s="353"/>
      <c r="E516" s="353"/>
      <c r="F516" s="353"/>
      <c r="G516" s="500">
        <v>5</v>
      </c>
      <c r="H516" s="500">
        <v>5</v>
      </c>
      <c r="I516" s="500">
        <v>5</v>
      </c>
      <c r="J516" s="500">
        <v>5</v>
      </c>
      <c r="K516" s="500">
        <v>5</v>
      </c>
      <c r="L516" s="500">
        <v>5</v>
      </c>
      <c r="M516" s="500">
        <v>5</v>
      </c>
    </row>
    <row r="517" spans="2:14" x14ac:dyDescent="0.3">
      <c r="B517" s="353" t="s">
        <v>1401</v>
      </c>
      <c r="C517" s="353"/>
      <c r="D517" s="353"/>
      <c r="E517" s="353"/>
      <c r="F517" s="353"/>
      <c r="G517" s="1309">
        <f t="shared" ref="G517:M517" ca="1" si="134">G514*(100+G515+G516)/100</f>
        <v>12844.416125912296</v>
      </c>
      <c r="H517" s="1309">
        <f t="shared" ca="1" si="134"/>
        <v>12844.416125912296</v>
      </c>
      <c r="I517" s="1309">
        <f t="shared" ca="1" si="134"/>
        <v>12947.848848502133</v>
      </c>
      <c r="J517" s="1309">
        <f t="shared" ca="1" si="134"/>
        <v>13116.911150556496</v>
      </c>
      <c r="K517" s="1309">
        <f t="shared" ca="1" si="134"/>
        <v>13388.215082885863</v>
      </c>
      <c r="L517" s="1309">
        <f t="shared" ca="1" si="134"/>
        <v>13953.443894851926</v>
      </c>
      <c r="M517" s="1309">
        <f t="shared" ca="1" si="134"/>
        <v>15860.053388803397</v>
      </c>
    </row>
    <row r="518" spans="2:14" x14ac:dyDescent="0.3">
      <c r="B518" s="353" t="s">
        <v>1402</v>
      </c>
      <c r="C518" s="353"/>
      <c r="D518" s="353"/>
      <c r="E518" s="353"/>
      <c r="F518" s="353"/>
      <c r="G518" s="1309">
        <f t="shared" ref="G518:M518" ca="1" si="135">G514*(100-G515-G516)/100</f>
        <v>9493.6988756743049</v>
      </c>
      <c r="H518" s="1309">
        <f t="shared" ca="1" si="135"/>
        <v>9493.6988756743049</v>
      </c>
      <c r="I518" s="1309">
        <f t="shared" ca="1" si="135"/>
        <v>9570.1491488928805</v>
      </c>
      <c r="J518" s="1309">
        <f t="shared" ca="1" si="135"/>
        <v>9695.1082417156704</v>
      </c>
      <c r="K518" s="1309">
        <f t="shared" ca="1" si="135"/>
        <v>9895.6372351765076</v>
      </c>
      <c r="L518" s="1309">
        <f t="shared" ca="1" si="135"/>
        <v>10313.41505271664</v>
      </c>
      <c r="M518" s="1309">
        <f t="shared" ca="1" si="135"/>
        <v>11722.648156941641</v>
      </c>
    </row>
    <row r="523" spans="2:14" x14ac:dyDescent="0.3">
      <c r="B523" s="353"/>
    </row>
    <row r="524" spans="2:14" x14ac:dyDescent="0.3">
      <c r="B524" s="353"/>
    </row>
    <row r="525" spans="2:14" x14ac:dyDescent="0.3">
      <c r="B525" s="353"/>
    </row>
    <row r="526" spans="2:14" x14ac:dyDescent="0.3">
      <c r="B526" s="353"/>
    </row>
    <row r="527" spans="2:14" x14ac:dyDescent="0.3">
      <c r="B527" s="353"/>
    </row>
    <row r="528" spans="2:14" x14ac:dyDescent="0.3">
      <c r="B528" s="353"/>
    </row>
    <row r="529" spans="2:2" x14ac:dyDescent="0.3">
      <c r="B529" s="353"/>
    </row>
    <row r="530" spans="2:2" x14ac:dyDescent="0.3">
      <c r="B530" s="353"/>
    </row>
    <row r="531" spans="2:2" x14ac:dyDescent="0.3">
      <c r="B531" s="353"/>
    </row>
    <row r="532" spans="2:2" x14ac:dyDescent="0.3">
      <c r="B532" s="353"/>
    </row>
    <row r="533" spans="2:2" x14ac:dyDescent="0.3">
      <c r="B533" s="353"/>
    </row>
    <row r="534" spans="2:2" x14ac:dyDescent="0.3">
      <c r="B534" s="353"/>
    </row>
    <row r="535" spans="2:2" x14ac:dyDescent="0.3">
      <c r="B535" s="353"/>
    </row>
    <row r="536" spans="2:2" x14ac:dyDescent="0.3">
      <c r="B536" s="353"/>
    </row>
    <row r="537" spans="2:2" x14ac:dyDescent="0.3">
      <c r="B537" s="353"/>
    </row>
    <row r="564" spans="2:15" ht="15.5" x14ac:dyDescent="0.35">
      <c r="B564" s="6"/>
    </row>
    <row r="566" spans="2:15" x14ac:dyDescent="0.3">
      <c r="B566" s="353"/>
      <c r="G566" s="1018"/>
      <c r="H566" s="1018"/>
      <c r="I566" s="1018"/>
      <c r="J566" s="1018"/>
      <c r="K566" s="1018"/>
      <c r="L566" s="1018"/>
      <c r="M566" s="1018"/>
    </row>
    <row r="567" spans="2:15" x14ac:dyDescent="0.3">
      <c r="G567" s="578"/>
      <c r="H567" s="578"/>
      <c r="I567" s="578"/>
      <c r="J567" s="578"/>
      <c r="K567" s="578"/>
      <c r="L567" s="578"/>
      <c r="M567" s="578"/>
    </row>
    <row r="568" spans="2:15" x14ac:dyDescent="0.3">
      <c r="B568" s="353"/>
      <c r="G568" s="578"/>
      <c r="H568" s="578"/>
      <c r="I568" s="578"/>
      <c r="J568" s="578"/>
      <c r="K568" s="578"/>
      <c r="L568" s="578"/>
      <c r="M568" s="578"/>
    </row>
    <row r="569" spans="2:15" x14ac:dyDescent="0.3">
      <c r="B569" s="353"/>
    </row>
    <row r="570" spans="2:15" x14ac:dyDescent="0.3">
      <c r="C570" s="353"/>
    </row>
    <row r="573" spans="2:15" x14ac:dyDescent="0.3">
      <c r="B573" s="353"/>
    </row>
    <row r="575" spans="2:15" x14ac:dyDescent="0.3">
      <c r="G575" s="578"/>
      <c r="H575" s="578"/>
      <c r="I575" s="578"/>
      <c r="J575" s="578"/>
      <c r="K575" s="578"/>
      <c r="L575" s="578"/>
      <c r="M575" s="578"/>
      <c r="O575" s="737"/>
    </row>
    <row r="576" spans="2:15" x14ac:dyDescent="0.3">
      <c r="G576" s="578"/>
      <c r="H576" s="578"/>
      <c r="I576" s="578"/>
      <c r="J576" s="578"/>
      <c r="K576" s="578"/>
      <c r="L576" s="578"/>
      <c r="M576" s="578"/>
    </row>
    <row r="577" spans="2:13" x14ac:dyDescent="0.3">
      <c r="G577" s="578"/>
      <c r="H577" s="578"/>
      <c r="I577" s="578"/>
      <c r="J577" s="578"/>
      <c r="K577" s="578"/>
      <c r="L577" s="578"/>
      <c r="M577" s="578"/>
    </row>
    <row r="578" spans="2:13" x14ac:dyDescent="0.3">
      <c r="G578" s="578"/>
      <c r="H578" s="578"/>
      <c r="I578" s="578"/>
      <c r="J578" s="578"/>
      <c r="K578" s="578"/>
      <c r="L578" s="578"/>
      <c r="M578" s="578"/>
    </row>
    <row r="586" spans="2:13" x14ac:dyDescent="0.3">
      <c r="B586" s="1050"/>
      <c r="C586" s="1050"/>
      <c r="D586" s="1050"/>
      <c r="E586" s="1050"/>
      <c r="F586" s="1050"/>
      <c r="G586" s="475"/>
      <c r="H586" s="475"/>
      <c r="I586" s="475"/>
      <c r="J586" s="475"/>
      <c r="K586" s="475"/>
      <c r="L586" s="475"/>
      <c r="M586" s="475"/>
    </row>
    <row r="587" spans="2:13" x14ac:dyDescent="0.3">
      <c r="B587" s="1050"/>
      <c r="C587" s="1050"/>
      <c r="D587" s="1050"/>
      <c r="E587" s="1050"/>
      <c r="F587" s="1050"/>
      <c r="G587" s="475"/>
      <c r="H587" s="475"/>
      <c r="I587" s="475"/>
      <c r="J587" s="475"/>
      <c r="K587" s="475"/>
      <c r="L587" s="475"/>
      <c r="M587" s="475"/>
    </row>
    <row r="588" spans="2:13" x14ac:dyDescent="0.3">
      <c r="B588" s="1050"/>
      <c r="C588" s="1050"/>
      <c r="D588" s="1050"/>
      <c r="E588" s="1050"/>
      <c r="F588" s="1050"/>
      <c r="G588" s="475"/>
      <c r="H588" s="475"/>
      <c r="I588" s="475"/>
      <c r="J588" s="475"/>
      <c r="K588" s="475"/>
      <c r="L588" s="475"/>
      <c r="M588" s="475"/>
    </row>
    <row r="589" spans="2:13" x14ac:dyDescent="0.3">
      <c r="B589" s="1052"/>
      <c r="C589" s="1052"/>
      <c r="D589" s="1052"/>
      <c r="E589" s="1052"/>
      <c r="F589" s="1052"/>
      <c r="G589" s="350"/>
      <c r="H589" s="350"/>
      <c r="I589" s="350"/>
      <c r="J589" s="350"/>
      <c r="K589" s="350"/>
      <c r="L589" s="350"/>
      <c r="M589" s="350"/>
    </row>
    <row r="590" spans="2:13" x14ac:dyDescent="0.3">
      <c r="B590" s="1052"/>
      <c r="C590" s="1052"/>
      <c r="D590" s="1052"/>
      <c r="E590" s="1052"/>
      <c r="F590" s="1052"/>
      <c r="G590" s="351"/>
      <c r="H590" s="351"/>
      <c r="I590" s="351"/>
      <c r="J590" s="351"/>
      <c r="K590" s="351"/>
      <c r="L590" s="351"/>
      <c r="M590" s="351"/>
    </row>
    <row r="591" spans="2:13" x14ac:dyDescent="0.3">
      <c r="B591" s="1052"/>
      <c r="C591" s="1052"/>
      <c r="D591" s="1052"/>
      <c r="E591" s="1052"/>
      <c r="F591" s="1052"/>
      <c r="G591" s="351"/>
      <c r="H591" s="351"/>
      <c r="I591" s="351"/>
      <c r="J591" s="351"/>
      <c r="K591" s="351"/>
      <c r="L591" s="351"/>
      <c r="M591" s="351"/>
    </row>
    <row r="592" spans="2:13" x14ac:dyDescent="0.3">
      <c r="B592" s="1051"/>
      <c r="C592" s="1051"/>
      <c r="D592" s="1051"/>
      <c r="E592" s="1051"/>
      <c r="F592" s="1051"/>
      <c r="G592" s="455"/>
      <c r="H592" s="455"/>
      <c r="I592" s="455"/>
      <c r="J592" s="455"/>
      <c r="K592" s="455"/>
      <c r="L592" s="455"/>
      <c r="M592" s="455"/>
    </row>
  </sheetData>
  <mergeCells count="21">
    <mergeCell ref="O1:P1"/>
    <mergeCell ref="B28:M28"/>
    <mergeCell ref="B176:M176"/>
    <mergeCell ref="B180:C180"/>
    <mergeCell ref="B178:M178"/>
    <mergeCell ref="B1:M1"/>
    <mergeCell ref="B2:M2"/>
    <mergeCell ref="B3:M3"/>
    <mergeCell ref="B4:E4"/>
    <mergeCell ref="G4:M4"/>
    <mergeCell ref="B5:E5"/>
    <mergeCell ref="G5:M5"/>
    <mergeCell ref="B510:M510"/>
    <mergeCell ref="B349:M349"/>
    <mergeCell ref="B480:M480"/>
    <mergeCell ref="B450:M450"/>
    <mergeCell ref="B420:M420"/>
    <mergeCell ref="B397:M397"/>
    <mergeCell ref="B405:M405"/>
    <mergeCell ref="B407:M407"/>
    <mergeCell ref="B413:D413"/>
  </mergeCells>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60" min="1" max="12" man="1"/>
    <brk id="91" min="1" max="12" man="1"/>
    <brk id="174" min="1" max="12" man="1"/>
    <brk id="334" min="1" max="12" man="1"/>
    <brk id="346" min="1" max="12" man="1"/>
    <brk id="293" min="1" max="12" man="1"/>
    <brk id="324" min="1" max="12"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51"/>
  <sheetViews>
    <sheetView workbookViewId="0">
      <pane ySplit="6" topLeftCell="A7" activePane="bottomLeft" state="frozen"/>
      <selection pane="bottomLeft"/>
    </sheetView>
  </sheetViews>
  <sheetFormatPr defaultColWidth="8.54296875" defaultRowHeight="12.5" x14ac:dyDescent="0.25"/>
  <cols>
    <col min="1" max="1" width="3" customWidth="1"/>
    <col min="2" max="2" width="36.54296875" customWidth="1"/>
    <col min="6" max="6" width="22.54296875" customWidth="1"/>
    <col min="7" max="7" width="11" customWidth="1"/>
    <col min="8" max="13" width="10.54296875" customWidth="1"/>
    <col min="14" max="15" width="17.453125" bestFit="1" customWidth="1"/>
  </cols>
  <sheetData>
    <row r="1" spans="2:15" ht="18.5" thickBot="1" x14ac:dyDescent="0.45">
      <c r="B1" s="1503" t="s">
        <v>1403</v>
      </c>
      <c r="C1" s="1503"/>
      <c r="D1" s="1503"/>
      <c r="E1" s="1503"/>
      <c r="F1" s="1503"/>
      <c r="G1" s="1503"/>
      <c r="H1" s="1503"/>
      <c r="I1" s="1503"/>
      <c r="J1" s="1503"/>
      <c r="K1" s="1503"/>
      <c r="L1" s="1503"/>
      <c r="M1" s="1503"/>
      <c r="N1" s="1419" t="s">
        <v>6</v>
      </c>
      <c r="O1" s="1420"/>
    </row>
    <row r="2" spans="2:15"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2:15" ht="15.5" x14ac:dyDescent="0.35">
      <c r="B3" s="1445" t="s">
        <v>122</v>
      </c>
      <c r="C3" s="1466"/>
      <c r="D3" s="1466"/>
      <c r="E3" s="1466"/>
      <c r="F3" s="1466"/>
      <c r="G3" s="1466"/>
      <c r="H3" s="1466"/>
      <c r="I3" s="1466"/>
      <c r="J3" s="1466"/>
      <c r="K3" s="1466"/>
      <c r="L3" s="1466"/>
      <c r="M3" s="1467"/>
      <c r="N3" s="1243" t="s">
        <v>12</v>
      </c>
      <c r="O3" s="1242" t="s">
        <v>13</v>
      </c>
    </row>
    <row r="4" spans="2:15" ht="13" x14ac:dyDescent="0.3">
      <c r="B4" s="1447" t="s">
        <v>282</v>
      </c>
      <c r="C4" s="1468"/>
      <c r="D4" s="1468"/>
      <c r="E4" s="1469"/>
      <c r="F4" s="245"/>
      <c r="G4" s="1448" t="s">
        <v>9</v>
      </c>
      <c r="H4" s="1473"/>
      <c r="I4" s="1473"/>
      <c r="J4" s="1473"/>
      <c r="K4" s="1473"/>
      <c r="L4" s="1473"/>
      <c r="M4" s="1474"/>
      <c r="N4" s="1240" t="s">
        <v>14</v>
      </c>
      <c r="O4" s="1242" t="s">
        <v>15</v>
      </c>
    </row>
    <row r="5" spans="2:15" ht="13.5" thickBot="1" x14ac:dyDescent="0.35">
      <c r="B5" s="1450" t="s">
        <v>10</v>
      </c>
      <c r="C5" s="1488"/>
      <c r="D5" s="1488"/>
      <c r="E5" s="1489"/>
      <c r="F5" s="254"/>
      <c r="G5" s="1451" t="s">
        <v>11</v>
      </c>
      <c r="H5" s="1475"/>
      <c r="I5" s="1475"/>
      <c r="J5" s="1475"/>
      <c r="K5" s="1475"/>
      <c r="L5" s="1475"/>
      <c r="M5" s="1476"/>
      <c r="N5" s="1240" t="s">
        <v>17</v>
      </c>
      <c r="O5" s="1246" t="s">
        <v>18</v>
      </c>
    </row>
    <row r="6" spans="2:15" ht="16" thickBot="1" x14ac:dyDescent="0.4">
      <c r="B6" s="28"/>
      <c r="C6" s="28"/>
      <c r="D6" s="28"/>
      <c r="E6" s="28"/>
      <c r="F6" s="28"/>
      <c r="G6" s="443" t="s">
        <v>50</v>
      </c>
      <c r="H6" s="443" t="s">
        <v>51</v>
      </c>
      <c r="I6" s="443" t="s">
        <v>52</v>
      </c>
      <c r="J6" s="443" t="s">
        <v>53</v>
      </c>
      <c r="K6" s="443" t="s">
        <v>54</v>
      </c>
      <c r="L6" s="443" t="s">
        <v>55</v>
      </c>
      <c r="M6" s="443" t="s">
        <v>56</v>
      </c>
      <c r="N6" s="1244" t="s">
        <v>22</v>
      </c>
      <c r="O6" s="1245" t="s">
        <v>23</v>
      </c>
    </row>
    <row r="7" spans="2:15" ht="15.5" x14ac:dyDescent="0.35">
      <c r="B7" s="27" t="s">
        <v>1172</v>
      </c>
      <c r="C7" s="28"/>
      <c r="D7" s="28"/>
      <c r="E7" s="28"/>
      <c r="F7" s="28"/>
      <c r="G7" s="1380"/>
      <c r="H7" s="1380"/>
      <c r="I7" s="1380"/>
      <c r="J7" s="1380"/>
      <c r="K7" s="1380"/>
      <c r="L7" s="1380"/>
      <c r="M7" s="1380"/>
    </row>
    <row r="8" spans="2:15" ht="13" x14ac:dyDescent="0.3">
      <c r="B8" t="s">
        <v>153</v>
      </c>
      <c r="C8" s="130"/>
      <c r="D8" s="130"/>
      <c r="E8" s="130"/>
      <c r="F8" s="130"/>
      <c r="G8" s="85">
        <f>'Battery Design'!G31</f>
        <v>400</v>
      </c>
      <c r="H8" s="85">
        <f>'Battery Design'!H31</f>
        <v>400</v>
      </c>
      <c r="I8" s="85">
        <f>'Battery Design'!I31</f>
        <v>400</v>
      </c>
      <c r="J8" s="85">
        <f>'Battery Design'!J31</f>
        <v>400</v>
      </c>
      <c r="K8" s="85">
        <f>'Battery Design'!K31</f>
        <v>400</v>
      </c>
      <c r="L8" s="85">
        <f>'Battery Design'!L31</f>
        <v>400</v>
      </c>
      <c r="M8" s="85">
        <f>'Battery Design'!M31</f>
        <v>400</v>
      </c>
    </row>
    <row r="9" spans="2:15" ht="13" x14ac:dyDescent="0.3">
      <c r="B9" t="s">
        <v>154</v>
      </c>
      <c r="C9" s="130"/>
      <c r="D9" s="130"/>
      <c r="E9" s="130"/>
      <c r="F9" s="130"/>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25">
      <c r="B10" s="353" t="s">
        <v>1173</v>
      </c>
      <c r="C10" s="353"/>
      <c r="D10" s="353"/>
      <c r="E10" s="353"/>
      <c r="F10" s="210"/>
      <c r="G10" s="87">
        <f>'Battery Design'!G$12</f>
        <v>1</v>
      </c>
      <c r="H10" s="87">
        <f>'Battery Design'!H$12</f>
        <v>1</v>
      </c>
      <c r="I10" s="87">
        <f>'Battery Design'!I$12</f>
        <v>1</v>
      </c>
      <c r="J10" s="87">
        <f>'Battery Design'!J$12</f>
        <v>1</v>
      </c>
      <c r="K10" s="87">
        <f>'Battery Design'!K$12</f>
        <v>1</v>
      </c>
      <c r="L10" s="87">
        <f>'Battery Design'!L$12</f>
        <v>1</v>
      </c>
      <c r="M10" s="87">
        <f>'Battery Design'!M$12</f>
        <v>1</v>
      </c>
    </row>
    <row r="11" spans="2:15" ht="13.5" thickBot="1" x14ac:dyDescent="0.35">
      <c r="C11" s="130"/>
      <c r="D11" s="130"/>
      <c r="E11" s="130"/>
      <c r="F11" s="130"/>
      <c r="G11" s="3"/>
      <c r="H11" s="3"/>
      <c r="I11" s="3"/>
      <c r="J11" s="3"/>
      <c r="K11" s="3"/>
      <c r="L11" s="3"/>
      <c r="M11" s="3"/>
    </row>
    <row r="12" spans="2:15" ht="20.5" thickBot="1" x14ac:dyDescent="0.45">
      <c r="B12" s="1453" t="s">
        <v>1351</v>
      </c>
      <c r="C12" s="1454"/>
      <c r="D12" s="1454"/>
      <c r="E12" s="1454"/>
      <c r="F12" s="1454"/>
      <c r="G12" s="1454"/>
      <c r="H12" s="1454"/>
      <c r="I12" s="1454"/>
      <c r="J12" s="1454"/>
      <c r="K12" s="1454"/>
      <c r="L12" s="1454"/>
      <c r="M12" s="1455"/>
    </row>
    <row r="13" spans="2:15" ht="18" x14ac:dyDescent="0.4">
      <c r="B13" s="657"/>
      <c r="C13" s="657"/>
      <c r="D13" s="657"/>
      <c r="E13" s="657"/>
      <c r="F13" s="657"/>
      <c r="G13" s="657"/>
      <c r="H13" s="657"/>
      <c r="I13" s="657"/>
      <c r="J13" s="657"/>
      <c r="K13" s="657"/>
      <c r="L13" s="657"/>
      <c r="M13" s="657"/>
    </row>
    <row r="14" spans="2:15" ht="14.15" customHeight="1" x14ac:dyDescent="0.25">
      <c r="B14" s="353" t="str">
        <f>'Manufacturing Costs'!B409</f>
        <v>Pack manufacturing strategy: All manufacturing in-house (Default)</v>
      </c>
      <c r="E14" s="628">
        <f>'Manufacturing Costs'!E409</f>
        <v>1</v>
      </c>
      <c r="F14" s="1050" t="s">
        <v>229</v>
      </c>
      <c r="H14" s="132"/>
    </row>
    <row r="15" spans="2:15" x14ac:dyDescent="0.25">
      <c r="E15" s="1086"/>
      <c r="H15" s="132"/>
    </row>
    <row r="16" spans="2:15" x14ac:dyDescent="0.25">
      <c r="B16" s="353" t="str">
        <f>'Manufacturing Costs'!B411</f>
        <v>Pack cost option: Cost to consumer - includes pack profit/warranty (Default)</v>
      </c>
      <c r="E16" s="628">
        <f>'Manufacturing Costs'!E411</f>
        <v>1</v>
      </c>
      <c r="F16" s="353" t="s">
        <v>229</v>
      </c>
      <c r="H16" s="132"/>
    </row>
    <row r="17" spans="2:15" x14ac:dyDescent="0.25">
      <c r="H17" s="132"/>
    </row>
    <row r="18" spans="2:15" ht="13" x14ac:dyDescent="0.3">
      <c r="B18" s="1504" t="s">
        <v>230</v>
      </c>
      <c r="C18" s="1504"/>
      <c r="D18" s="1504"/>
      <c r="E18" s="882" t="s">
        <v>231</v>
      </c>
      <c r="H18" s="132"/>
    </row>
    <row r="19" spans="2:15" ht="13" x14ac:dyDescent="0.3">
      <c r="B19" s="681"/>
      <c r="C19" s="681"/>
      <c r="E19" s="1091"/>
      <c r="H19" s="132"/>
    </row>
    <row r="20" spans="2:15" ht="13" x14ac:dyDescent="0.3">
      <c r="B20" s="353" t="s">
        <v>232</v>
      </c>
      <c r="E20" s="628" t="str">
        <f>'Manufacturing Costs'!E415</f>
        <v/>
      </c>
      <c r="F20" s="130"/>
      <c r="H20" s="132"/>
    </row>
    <row r="21" spans="2:15" ht="13" x14ac:dyDescent="0.3">
      <c r="B21" s="353" t="s">
        <v>233</v>
      </c>
      <c r="E21" s="628" t="str">
        <f>'Manufacturing Costs'!E416</f>
        <v/>
      </c>
      <c r="F21" s="130"/>
      <c r="H21" s="132"/>
    </row>
    <row r="22" spans="2:15" ht="13" x14ac:dyDescent="0.3">
      <c r="B22" s="353" t="s">
        <v>234</v>
      </c>
      <c r="E22" s="628" t="str">
        <f>'Manufacturing Costs'!E417</f>
        <v>x</v>
      </c>
      <c r="F22" s="130"/>
      <c r="H22" s="132"/>
    </row>
    <row r="23" spans="2:15" ht="13" x14ac:dyDescent="0.3">
      <c r="B23" s="353" t="s">
        <v>235</v>
      </c>
      <c r="E23" s="628" t="str">
        <f>'Manufacturing Costs'!E418</f>
        <v>x</v>
      </c>
      <c r="F23" s="130"/>
      <c r="H23" s="132"/>
    </row>
    <row r="24" spans="2:15" ht="13" x14ac:dyDescent="0.3">
      <c r="B24" s="353"/>
      <c r="D24" s="130"/>
      <c r="E24" s="353"/>
      <c r="F24" s="130"/>
      <c r="H24" s="132"/>
    </row>
    <row r="25" spans="2:15" ht="13.5" thickBot="1" x14ac:dyDescent="0.35">
      <c r="C25" s="130"/>
      <c r="D25" s="130"/>
      <c r="E25" s="130"/>
      <c r="F25" s="130"/>
      <c r="G25" s="3"/>
      <c r="H25" s="3"/>
      <c r="I25" s="3"/>
      <c r="J25" s="3"/>
      <c r="K25" s="3"/>
      <c r="L25" s="3"/>
      <c r="M25" s="3"/>
    </row>
    <row r="26" spans="2:15" ht="20.5" thickBot="1" x14ac:dyDescent="0.45">
      <c r="B26" s="1453" t="s">
        <v>1404</v>
      </c>
      <c r="C26" s="1454"/>
      <c r="D26" s="1454"/>
      <c r="E26" s="1454"/>
      <c r="F26" s="1454"/>
      <c r="G26" s="1454"/>
      <c r="H26" s="1454"/>
      <c r="I26" s="1454"/>
      <c r="J26" s="1454"/>
      <c r="K26" s="1454"/>
      <c r="L26" s="1454"/>
      <c r="M26" s="1455"/>
    </row>
    <row r="27" spans="2:15" ht="13" x14ac:dyDescent="0.3">
      <c r="C27" s="130"/>
      <c r="D27" s="130"/>
      <c r="E27" s="130"/>
      <c r="F27" s="130"/>
      <c r="G27" s="3"/>
      <c r="H27" s="3"/>
      <c r="I27" s="3"/>
      <c r="J27" s="3"/>
      <c r="K27" s="3"/>
      <c r="L27" s="3"/>
      <c r="M27" s="3"/>
    </row>
    <row r="28" spans="2:15" ht="13" x14ac:dyDescent="0.3">
      <c r="B28" s="353" t="s">
        <v>1405</v>
      </c>
      <c r="C28" s="130"/>
      <c r="D28" s="130"/>
      <c r="E28" s="130"/>
      <c r="F28" s="130"/>
      <c r="G28" s="1297">
        <f ca="1">G$8*'Manufacturing Costs'!G118*(1-Lists!$C$154)*(1-Lists!$D$154)</f>
        <v>3789.9098199701675</v>
      </c>
      <c r="H28" s="1297">
        <f ca="1">H8*'Manufacturing Costs'!H118*(1-Lists!$C$154-Lists!$D$154)</f>
        <v>3789.9098199701675</v>
      </c>
      <c r="I28" s="1297">
        <f ca="1">I8*'Manufacturing Costs'!I118*(1-Lists!$C$154-Lists!$D$154)</f>
        <v>3785.3890168116409</v>
      </c>
      <c r="J28" s="1297">
        <f ca="1">J8*'Manufacturing Costs'!J118*(1-Lists!$C$154-Lists!$D$154)</f>
        <v>3779.8262299605758</v>
      </c>
      <c r="K28" s="1297">
        <f ca="1">K8*'Manufacturing Costs'!K118*(1-Lists!$C$154-Lists!$D$154)</f>
        <v>3773.3983941857673</v>
      </c>
      <c r="L28" s="1297">
        <f ca="1">L8*'Manufacturing Costs'!L118*(1-Lists!$C$154-Lists!$D$154)</f>
        <v>3765.7022342864152</v>
      </c>
      <c r="M28" s="1297">
        <f ca="1">M8*'Manufacturing Costs'!M118*(1-Lists!$C$154-Lists!$D$154)</f>
        <v>3755.553337611404</v>
      </c>
      <c r="O28" s="55"/>
    </row>
    <row r="29" spans="2:15" ht="13" x14ac:dyDescent="0.3">
      <c r="B29" s="353" t="s">
        <v>1406</v>
      </c>
      <c r="C29" s="130"/>
      <c r="D29" s="130"/>
      <c r="E29" s="130"/>
      <c r="F29" s="130"/>
      <c r="G29" s="1297">
        <f ca="1">G$8*'Manufacturing Costs'!G124*(1-Lists!$C$154)*(1-Lists!$D$154)</f>
        <v>988.7920935006548</v>
      </c>
      <c r="H29" s="1297">
        <f ca="1">H$8*'Manufacturing Costs'!H124*(1-Lists!$C$154-Lists!$D$154)</f>
        <v>988.7920935006548</v>
      </c>
      <c r="I29" s="1297">
        <f ca="1">I$8*'Manufacturing Costs'!I124*(1-Lists!$C$154-Lists!$D$154)</f>
        <v>987.38277658494735</v>
      </c>
      <c r="J29" s="1297">
        <f ca="1">J$8*'Manufacturing Costs'!J124*(1-Lists!$C$154-Lists!$D$154)</f>
        <v>985.78005735044133</v>
      </c>
      <c r="K29" s="1297">
        <f ca="1">K$8*'Manufacturing Costs'!K124*(1-Lists!$C$154-Lists!$D$154)</f>
        <v>983.46990634799545</v>
      </c>
      <c r="L29" s="1297">
        <f ca="1">L$8*'Manufacturing Costs'!L124*(1-Lists!$C$154-Lists!$D$154)</f>
        <v>980.72942886142198</v>
      </c>
      <c r="M29" s="1297">
        <f ca="1">M$8*'Manufacturing Costs'!M124*(1-Lists!$C$154-Lists!$D$154)</f>
        <v>975.53545938233697</v>
      </c>
    </row>
    <row r="30" spans="2:15" ht="13" x14ac:dyDescent="0.3">
      <c r="B30" s="353" t="s">
        <v>727</v>
      </c>
      <c r="C30" s="130"/>
      <c r="D30" s="130"/>
      <c r="E30" s="130"/>
      <c r="F30" s="130"/>
      <c r="G30" s="1297">
        <f ca="1">G$8*('Manufacturing Costs'!G119+'Manufacturing Costs'!G125)*(1-Lists!$C$154)*(1-Lists!$D$154)</f>
        <v>21.257507003037798</v>
      </c>
      <c r="H30" s="1297">
        <f ca="1">H$8*('Manufacturing Costs'!H119+'Manufacturing Costs'!H125)*(1-Lists!$C$154-Lists!$D$154)</f>
        <v>21.257507003037798</v>
      </c>
      <c r="I30" s="1297">
        <f ca="1">I$8*('Manufacturing Costs'!I119+'Manufacturing Costs'!I125)*(1-Lists!$C$154-Lists!$D$154)</f>
        <v>21.232149934039654</v>
      </c>
      <c r="J30" s="1297">
        <f ca="1">J$8*('Manufacturing Costs'!J119+'Manufacturing Costs'!J125)*(1-Lists!$C$154-Lists!$D$154)</f>
        <v>21.200948405227592</v>
      </c>
      <c r="K30" s="1297">
        <f ca="1">K$8*('Manufacturing Costs'!K119+'Manufacturing Costs'!K125)*(1-Lists!$C$154-Lists!$D$154)</f>
        <v>21.164894839182988</v>
      </c>
      <c r="L30" s="1297">
        <f ca="1">L$8*('Manufacturing Costs'!L119+'Manufacturing Costs'!L125)*(1-Lists!$C$154-Lists!$D$154)</f>
        <v>21.121727275644965</v>
      </c>
      <c r="M30" s="1297">
        <f ca="1">M$8*('Manufacturing Costs'!M119+'Manufacturing Costs'!M125)*(1-Lists!$C$154-Lists!$D$154)</f>
        <v>21.064802374422946</v>
      </c>
    </row>
    <row r="31" spans="2:15" ht="13" x14ac:dyDescent="0.3">
      <c r="B31" s="353" t="s">
        <v>1407</v>
      </c>
      <c r="C31" s="130"/>
      <c r="D31" s="130"/>
      <c r="E31" s="130"/>
      <c r="F31" s="130"/>
      <c r="G31" s="1297">
        <f ca="1">G$8*('Manufacturing Costs'!G120+'Manufacturing Costs'!G126)*(1-Lists!$C$154)*(1-Lists!$D$154)</f>
        <v>65.731231200400472</v>
      </c>
      <c r="H31" s="1297">
        <f ca="1">H$8*('Manufacturing Costs'!H120+'Manufacturing Costs'!H126)*(1-Lists!$C$154-Lists!$D$154)</f>
        <v>65.731231200400472</v>
      </c>
      <c r="I31" s="1297">
        <f ca="1">I$8*('Manufacturing Costs'!I120+'Manufacturing Costs'!I126)*(1-Lists!$C$154-Lists!$D$154)</f>
        <v>65.648133054267575</v>
      </c>
      <c r="J31" s="1297">
        <f ca="1">J$8*('Manufacturing Costs'!J120+'Manufacturing Costs'!J126)*(1-Lists!$C$154-Lists!$D$154)</f>
        <v>65.548564079578341</v>
      </c>
      <c r="K31" s="1297">
        <f ca="1">K$8*('Manufacturing Costs'!K120+'Manufacturing Costs'!K126)*(1-Lists!$C$154-Lists!$D$154)</f>
        <v>65.424160499228762</v>
      </c>
      <c r="L31" s="1297">
        <f ca="1">L$8*('Manufacturing Costs'!L120+'Manufacturing Costs'!L126)*(1-Lists!$C$154-Lists!$D$154)</f>
        <v>65.27573046539068</v>
      </c>
      <c r="M31" s="1297">
        <f ca="1">M$8*('Manufacturing Costs'!M120+'Manufacturing Costs'!M126)*(1-Lists!$C$154-Lists!$D$154)</f>
        <v>65.047749157076453</v>
      </c>
    </row>
    <row r="32" spans="2:15" ht="13" x14ac:dyDescent="0.3">
      <c r="B32" s="353" t="s">
        <v>1408</v>
      </c>
      <c r="C32" s="130"/>
      <c r="D32" s="130"/>
      <c r="E32" s="130"/>
      <c r="F32" s="130"/>
      <c r="G32" s="1297">
        <f ca="1">G$8*('Manufacturing Costs'!G121+'Manufacturing Costs'!G127)*(1-Lists!$C$154)*(1-Lists!$D$154)</f>
        <v>124.62972677209594</v>
      </c>
      <c r="H32" s="1297">
        <f ca="1">H$8*('Manufacturing Costs'!H121+'Manufacturing Costs'!H127)*(1-Lists!$C$154)*(1-Lists!$D$154)</f>
        <v>124.62972677209594</v>
      </c>
      <c r="I32" s="1297">
        <f ca="1">I$8*('Manufacturing Costs'!I121+'Manufacturing Costs'!I127)*(1-Lists!$C$154)*(1-Lists!$D$154)</f>
        <v>124.48106189899821</v>
      </c>
      <c r="J32" s="1297">
        <f ca="1">J$8*('Manufacturing Costs'!J121+'Manufacturing Costs'!J127)*(1-Lists!$C$154)*(1-Lists!$D$154)</f>
        <v>124.29813179293436</v>
      </c>
      <c r="K32" s="1297">
        <f ca="1">K$8*('Manufacturing Costs'!K121+'Manufacturing Costs'!K127)*(1-Lists!$C$154)*(1-Lists!$D$154)</f>
        <v>124.08675488572429</v>
      </c>
      <c r="L32" s="1297">
        <f ca="1">L$8*('Manufacturing Costs'!L121+'Manufacturing Costs'!L127)*(1-Lists!$C$154)*(1-Lists!$D$154)</f>
        <v>123.83366962749565</v>
      </c>
      <c r="M32" s="1297">
        <f ca="1">M$8*('Manufacturing Costs'!M121+'Manufacturing Costs'!M127)*(1-Lists!$C$154)*(1-Lists!$D$154)</f>
        <v>123.49992706375967</v>
      </c>
    </row>
    <row r="33" spans="2:14" ht="13" x14ac:dyDescent="0.3">
      <c r="B33" s="353" t="s">
        <v>1409</v>
      </c>
      <c r="C33" s="130"/>
      <c r="D33" s="130"/>
      <c r="E33" s="130"/>
      <c r="F33" s="130"/>
      <c r="G33" s="1297">
        <f ca="1">G$8*'Manufacturing Costs'!G135*(1-Lists!$C$154)*(1-Lists!$D$154)</f>
        <v>46.11508842873338</v>
      </c>
      <c r="H33" s="1297">
        <f ca="1">H$8*'Manufacturing Costs'!H135*(1-Lists!$C$154-Lists!$D$154)</f>
        <v>46.11508842873338</v>
      </c>
      <c r="I33" s="1297">
        <f ca="1">I$8*'Manufacturing Costs'!I135*(1-Lists!$C$154-Lists!$D$154)</f>
        <v>50.992078415318417</v>
      </c>
      <c r="J33" s="1297">
        <f ca="1">J$8*'Manufacturing Costs'!J135*(1-Lists!$C$154-Lists!$D$154)</f>
        <v>58.755965478281048</v>
      </c>
      <c r="K33" s="1297">
        <f ca="1">K$8*'Manufacturing Costs'!K135*(1-Lists!$C$154-Lists!$D$154)</f>
        <v>71.203220236588066</v>
      </c>
      <c r="L33" s="1297">
        <f ca="1">L$8*'Manufacturing Costs'!L135*(1-Lists!$C$154-Lists!$D$154)</f>
        <v>95.999154157232994</v>
      </c>
      <c r="M33" s="1297">
        <f ca="1">M$8*'Manufacturing Costs'!M135*(1-Lists!$C$154-Lists!$D$154)</f>
        <v>178.62217722855638</v>
      </c>
    </row>
    <row r="34" spans="2:14" ht="13" x14ac:dyDescent="0.3">
      <c r="B34" s="353" t="s">
        <v>1410</v>
      </c>
      <c r="C34" s="130"/>
      <c r="D34" s="130"/>
      <c r="E34" s="130"/>
      <c r="F34" s="130"/>
      <c r="G34" s="1297">
        <f ca="1">G$8*'Manufacturing Costs'!G136*(1-Lists!$C$154)*(1-Lists!$D$154)</f>
        <v>295.25804736690071</v>
      </c>
      <c r="H34" s="1297">
        <f ca="1">H$8*'Manufacturing Costs'!H136*(1-Lists!$C$154-Lists!$D$154)</f>
        <v>295.25804736690071</v>
      </c>
      <c r="I34" s="1297">
        <f ca="1">I$8*'Manufacturing Costs'!I136*(1-Lists!$C$154-Lists!$D$154)</f>
        <v>325.57167036066915</v>
      </c>
      <c r="J34" s="1297">
        <f ca="1">J$8*'Manufacturing Costs'!J136*(1-Lists!$C$154-Lists!$D$154)</f>
        <v>373.78870283969172</v>
      </c>
      <c r="K34" s="1297">
        <f ca="1">K$8*'Manufacturing Costs'!K136*(1-Lists!$C$154-Lists!$D$154)</f>
        <v>451.0814907611599</v>
      </c>
      <c r="L34" s="1297">
        <f ca="1">L$8*'Manufacturing Costs'!L136*(1-Lists!$C$154-Lists!$D$154)</f>
        <v>604.87312881092464</v>
      </c>
      <c r="M34" s="1297">
        <f ca="1">M$8*'Manufacturing Costs'!M136*(1-Lists!$C$154-Lists!$D$154)</f>
        <v>1116.0223431393633</v>
      </c>
    </row>
    <row r="35" spans="2:14" ht="13" x14ac:dyDescent="0.3">
      <c r="B35" s="353" t="s">
        <v>1411</v>
      </c>
      <c r="C35" s="130"/>
      <c r="D35" s="130"/>
      <c r="E35" s="130"/>
      <c r="F35" s="130"/>
      <c r="G35" s="1297">
        <f ca="1">G$8*'Manufacturing Costs'!G137*(1-Lists!$C$154)*(1-Lists!$D$154)</f>
        <v>343.33148264669455</v>
      </c>
      <c r="H35" s="1297">
        <f ca="1">H$8*'Manufacturing Costs'!H137*(1-Lists!$C$154-Lists!$D$154)</f>
        <v>343.33148264669455</v>
      </c>
      <c r="I35" s="1297">
        <f ca="1">I$8*'Manufacturing Costs'!I137*(1-Lists!$C$154-Lists!$D$154)</f>
        <v>379.90470422898704</v>
      </c>
      <c r="J35" s="1297">
        <f ca="1">J$8*'Manufacturing Costs'!J137*(1-Lists!$C$154-Lists!$D$154)</f>
        <v>437.57413015952909</v>
      </c>
      <c r="K35" s="1297">
        <f ca="1">K$8*'Manufacturing Costs'!K137*(1-Lists!$C$154-Lists!$D$154)</f>
        <v>531.37743891422269</v>
      </c>
      <c r="L35" s="1297">
        <f ca="1">L$8*'Manufacturing Costs'!L137*(1-Lists!$C$154-Lists!$D$154)</f>
        <v>716.85249976379953</v>
      </c>
      <c r="M35" s="1297">
        <f ca="1">M$8*'Manufacturing Costs'!M137*(1-Lists!$C$154-Lists!$D$154)</f>
        <v>1339.5993720652586</v>
      </c>
    </row>
    <row r="36" spans="2:14" ht="13" x14ac:dyDescent="0.3">
      <c r="B36" s="353" t="s">
        <v>781</v>
      </c>
      <c r="C36" s="130"/>
      <c r="D36" s="130"/>
      <c r="E36" s="130"/>
      <c r="F36" s="130"/>
      <c r="G36" s="1297">
        <f ca="1">G$8*'Manufacturing Costs'!G138*(1-Lists!$C$154)*(1-Lists!$D$154)</f>
        <v>301.44854650822174</v>
      </c>
      <c r="H36" s="1297">
        <f ca="1">H$8*'Manufacturing Costs'!H138*(1-Lists!$C$154-Lists!$D$154)</f>
        <v>301.44854650822174</v>
      </c>
      <c r="I36" s="1297">
        <f ca="1">I$8*'Manufacturing Costs'!I138*(1-Lists!$C$154-Lists!$D$154)</f>
        <v>304.33127730000831</v>
      </c>
      <c r="J36" s="1297">
        <f ca="1">J$8*'Manufacturing Costs'!J138*(1-Lists!$C$154-Lists!$D$154)</f>
        <v>309.01492671886041</v>
      </c>
      <c r="K36" s="1297">
        <f ca="1">K$8*'Manufacturing Costs'!K138*(1-Lists!$C$154-Lists!$D$154)</f>
        <v>316.77391941133305</v>
      </c>
      <c r="L36" s="1297">
        <f ca="1">L$8*'Manufacturing Costs'!L138*(1-Lists!$C$154-Lists!$D$154)</f>
        <v>332.53948910542795</v>
      </c>
      <c r="M36" s="1297">
        <f ca="1">M$8*'Manufacturing Costs'!M138*(1-Lists!$C$154-Lists!$D$154)</f>
        <v>386.60773669241439</v>
      </c>
    </row>
    <row r="37" spans="2:14" ht="13" x14ac:dyDescent="0.3">
      <c r="B37" s="353" t="s">
        <v>315</v>
      </c>
      <c r="C37" s="130"/>
      <c r="D37" s="130"/>
      <c r="E37" s="130"/>
      <c r="F37" s="130"/>
      <c r="G37" s="1297">
        <f ca="1">G$8*SUM('Manufacturing Costs'!G130:G132)*(1-Lists!$C$154)*(1-Lists!$D$154)</f>
        <v>0</v>
      </c>
      <c r="H37" s="1297">
        <f ca="1">H$8*SUM('Manufacturing Costs'!H130:H132)*(1-Lists!$C$154-Lists!$D$154)</f>
        <v>0</v>
      </c>
      <c r="I37" s="1297">
        <f ca="1">I$8*SUM('Manufacturing Costs'!I130:I132)*(1-Lists!$C$154-Lists!$D$154)</f>
        <v>0</v>
      </c>
      <c r="J37" s="1297">
        <f ca="1">J$8*SUM('Manufacturing Costs'!J130:J132)*(1-Lists!$C$154-Lists!$D$154)</f>
        <v>0</v>
      </c>
      <c r="K37" s="1297">
        <f ca="1">K$8*SUM('Manufacturing Costs'!K130:K132)*(1-Lists!$C$154-Lists!$D$154)</f>
        <v>0</v>
      </c>
      <c r="L37" s="1297">
        <f ca="1">L$8*SUM('Manufacturing Costs'!L130:L132)*(1-Lists!$C$154-Lists!$D$154)</f>
        <v>0</v>
      </c>
      <c r="M37" s="1297">
        <f ca="1">M$8*SUM('Manufacturing Costs'!M130:M132)*(1-Lists!$C$154-Lists!$D$154)</f>
        <v>0</v>
      </c>
    </row>
    <row r="38" spans="2:14" ht="13" x14ac:dyDescent="0.3">
      <c r="B38" s="9" t="s">
        <v>1412</v>
      </c>
      <c r="C38" s="130"/>
      <c r="D38" s="130"/>
      <c r="E38" s="130"/>
      <c r="F38" s="130"/>
      <c r="G38" s="1297">
        <f ca="1">G8*SUM('Manufacturing Costs'!G139:G141)*(1-Lists!$C$154)*(1-Lists!$D$154)</f>
        <v>224.43740142118261</v>
      </c>
      <c r="H38" s="1297">
        <f ca="1">H8*SUM('Manufacturing Costs'!H139:H141)*(1-Lists!$C$154-Lists!$D$154)</f>
        <v>224.43740142118261</v>
      </c>
      <c r="I38" s="1297">
        <f ca="1">I8*SUM('Manufacturing Costs'!I139:I141)*(1-Lists!$C$154-Lists!$D$154)</f>
        <v>224.69655243776185</v>
      </c>
      <c r="J38" s="1297">
        <f ca="1">J8*SUM('Manufacturing Costs'!J139:J141)*(1-Lists!$C$154-Lists!$D$154)</f>
        <v>225.2617206737055</v>
      </c>
      <c r="K38" s="1297">
        <f ca="1">K8*SUM('Manufacturing Costs'!K139:K141)*(1-Lists!$C$154-Lists!$D$154)</f>
        <v>225.93223111272752</v>
      </c>
      <c r="L38" s="1297">
        <f ca="1">L8*SUM('Manufacturing Costs'!L139:L141)*(1-Lists!$C$154-Lists!$D$154)</f>
        <v>227.62527970786053</v>
      </c>
      <c r="M38" s="1297">
        <f ca="1">M8*SUM('Manufacturing Costs'!M139:M141)*(1-Lists!$C$154-Lists!$D$154)</f>
        <v>233.01190330145127</v>
      </c>
    </row>
    <row r="39" spans="2:14" ht="13" x14ac:dyDescent="0.3">
      <c r="B39" s="355" t="s">
        <v>1413</v>
      </c>
      <c r="C39" s="130"/>
      <c r="D39" s="130"/>
      <c r="E39" s="130"/>
      <c r="F39" s="130"/>
      <c r="G39" s="1297">
        <f ca="1">(G9*'Manufacturing Costs'!G153+Lists!$C$154*'Manufacturing Costs'!G448)*(1-Lists!$D$154)</f>
        <v>739.06182471125237</v>
      </c>
      <c r="H39" s="1297">
        <f ca="1">(H9*'Manufacturing Costs'!H153+Lists!$C$154*'Manufacturing Costs'!H448)*(1-Lists!$D$154)</f>
        <v>739.06182471125237</v>
      </c>
      <c r="I39" s="1297">
        <f ca="1">(I9*'Manufacturing Costs'!I153+Lists!$C$154*'Manufacturing Costs'!I448)*(1-Lists!$D$154)</f>
        <v>739.14796261601748</v>
      </c>
      <c r="J39" s="1297">
        <f ca="1">(J9*'Manufacturing Costs'!J153+Lists!$C$154*'Manufacturing Costs'!J448)*(1-Lists!$D$154)</f>
        <v>739.88611446780601</v>
      </c>
      <c r="K39" s="1297">
        <f ca="1">(K9*'Manufacturing Costs'!K153+Lists!$C$154*'Manufacturing Costs'!K448)*(1-Lists!$D$154)</f>
        <v>740.14935089781738</v>
      </c>
      <c r="L39" s="1297">
        <f ca="1">(L9*'Manufacturing Costs'!L153+Lists!$C$154*'Manufacturing Costs'!L448)*(1-Lists!$D$154)</f>
        <v>742.11349408452736</v>
      </c>
      <c r="M39" s="1297">
        <f ca="1">(M9*'Manufacturing Costs'!M153+Lists!$C$154*'Manufacturing Costs'!M448)*(1-Lists!$D$154)</f>
        <v>748.02030417008746</v>
      </c>
      <c r="N39" s="737"/>
    </row>
    <row r="40" spans="2:14" ht="13" x14ac:dyDescent="0.3">
      <c r="B40" s="353" t="s">
        <v>1414</v>
      </c>
      <c r="C40" s="130"/>
      <c r="D40" s="130"/>
      <c r="E40" s="130"/>
      <c r="F40" s="130"/>
      <c r="G40" s="1297">
        <f ca="1">'Manufacturing Costs'!G168+Lists!$D$154*'Manufacturing Costs'!G478</f>
        <v>526.12305635359508</v>
      </c>
      <c r="H40" s="1297">
        <f ca="1">'Manufacturing Costs'!H168+Lists!$D$154*'Manufacturing Costs'!H478</f>
        <v>526.12305635359508</v>
      </c>
      <c r="I40" s="1297">
        <f ca="1">'Manufacturing Costs'!I168+Lists!$D$154*'Manufacturing Costs'!I478</f>
        <v>526.48041211888017</v>
      </c>
      <c r="J40" s="1297">
        <f ca="1">'Manufacturing Costs'!J168+Lists!$D$154*'Manufacturing Costs'!J478</f>
        <v>528.60641984458334</v>
      </c>
      <c r="K40" s="1297">
        <f ca="1">'Manufacturing Costs'!K168+Lists!$D$154*'Manufacturing Costs'!K478</f>
        <v>529.28654559196332</v>
      </c>
      <c r="L40" s="1297">
        <f ca="1">'Manufacturing Costs'!L168+Lists!$D$154*'Manufacturing Costs'!L478</f>
        <v>534.31031179885872</v>
      </c>
      <c r="M40" s="1297">
        <f ca="1">'Manufacturing Costs'!M168+Lists!$D$154*'Manufacturing Costs'!M478</f>
        <v>548.01470109973548</v>
      </c>
      <c r="N40" s="737"/>
    </row>
    <row r="41" spans="2:14" x14ac:dyDescent="0.25">
      <c r="B41" s="353" t="s">
        <v>1415</v>
      </c>
      <c r="G41" s="1297">
        <f ca="1">'Manufacturing Costs'!G169</f>
        <v>355.60113966998904</v>
      </c>
      <c r="H41" s="1297">
        <f ca="1">'Manufacturing Costs'!H169</f>
        <v>355.60113966998904</v>
      </c>
      <c r="I41" s="1297">
        <f ca="1">'Manufacturing Costs'!I169</f>
        <v>355.60113966998904</v>
      </c>
      <c r="J41" s="1297">
        <f ca="1">'Manufacturing Costs'!J169</f>
        <v>355.60113966998904</v>
      </c>
      <c r="K41" s="1297">
        <f ca="1">'Manufacturing Costs'!K169</f>
        <v>355.60113966998904</v>
      </c>
      <c r="L41" s="1297">
        <f ca="1">'Manufacturing Costs'!L169</f>
        <v>355.60113966998904</v>
      </c>
      <c r="M41" s="1297">
        <f ca="1">'Manufacturing Costs'!M169</f>
        <v>355.60113966998904</v>
      </c>
    </row>
    <row r="42" spans="2:14" x14ac:dyDescent="0.25">
      <c r="B42" s="353" t="s">
        <v>1416</v>
      </c>
      <c r="G42" s="1297">
        <f ca="1">SUM(G28:G41)</f>
        <v>7821.6969655529265</v>
      </c>
      <c r="H42" s="1297">
        <f t="shared" ref="H42:M42" ca="1" si="0">SUM(H28:H41)</f>
        <v>7821.6969655529265</v>
      </c>
      <c r="I42" s="1297">
        <f t="shared" ca="1" si="0"/>
        <v>7890.8589354315245</v>
      </c>
      <c r="J42" s="1297">
        <f t="shared" ca="1" si="0"/>
        <v>8005.1430514412041</v>
      </c>
      <c r="K42" s="1297">
        <f t="shared" ca="1" si="0"/>
        <v>8188.9494473536988</v>
      </c>
      <c r="L42" s="1297">
        <f t="shared" ca="1" si="0"/>
        <v>8566.5772876149877</v>
      </c>
      <c r="M42" s="1297">
        <f t="shared" ca="1" si="0"/>
        <v>9846.2009529558563</v>
      </c>
    </row>
    <row r="43" spans="2:14" x14ac:dyDescent="0.25">
      <c r="B43" s="353"/>
      <c r="G43" s="1082"/>
      <c r="H43" s="1082"/>
      <c r="I43" s="1082"/>
      <c r="J43" s="1082"/>
      <c r="K43" s="1082"/>
      <c r="L43" s="1082"/>
      <c r="M43" s="1082"/>
    </row>
    <row r="44" spans="2:14" ht="13.5" thickBot="1" x14ac:dyDescent="0.35">
      <c r="C44" s="130"/>
      <c r="D44" s="130"/>
      <c r="E44" s="130"/>
      <c r="F44" s="130"/>
      <c r="G44" s="3"/>
      <c r="H44" s="3"/>
      <c r="I44" s="3"/>
      <c r="J44" s="3"/>
      <c r="K44" s="3"/>
      <c r="L44" s="3"/>
      <c r="M44" s="3"/>
    </row>
    <row r="45" spans="2:14" ht="20.5" thickBot="1" x14ac:dyDescent="0.45">
      <c r="B45" s="1453" t="s">
        <v>1417</v>
      </c>
      <c r="C45" s="1454"/>
      <c r="D45" s="1454"/>
      <c r="E45" s="1454"/>
      <c r="F45" s="1454"/>
      <c r="G45" s="1454"/>
      <c r="H45" s="1454"/>
      <c r="I45" s="1454"/>
      <c r="J45" s="1454"/>
      <c r="K45" s="1454"/>
      <c r="L45" s="1454"/>
      <c r="M45" s="1455"/>
    </row>
    <row r="46" spans="2:14" x14ac:dyDescent="0.25">
      <c r="B46" s="221"/>
      <c r="C46" s="221"/>
      <c r="D46" s="221"/>
      <c r="E46" s="1003"/>
      <c r="F46" s="1003"/>
      <c r="G46" s="1007"/>
    </row>
    <row r="47" spans="2:14" ht="13" x14ac:dyDescent="0.3">
      <c r="B47" s="353" t="s">
        <v>1418</v>
      </c>
      <c r="C47" s="132"/>
      <c r="D47" s="353"/>
      <c r="E47" s="353"/>
      <c r="F47" s="511"/>
      <c r="G47" s="1079">
        <f t="shared" ref="G47:M47" ca="1" si="1">SUM(G28:G37)</f>
        <v>5976.4735433969072</v>
      </c>
      <c r="H47" s="1079">
        <f t="shared" ca="1" si="1"/>
        <v>5976.4735433969072</v>
      </c>
      <c r="I47" s="1079">
        <f t="shared" ca="1" si="1"/>
        <v>6044.9328685888768</v>
      </c>
      <c r="J47" s="1079">
        <f t="shared" ca="1" si="1"/>
        <v>6155.7876567851199</v>
      </c>
      <c r="K47" s="1079">
        <f t="shared" ca="1" si="1"/>
        <v>6337.980180081202</v>
      </c>
      <c r="L47" s="1079">
        <f t="shared" ca="1" si="1"/>
        <v>6706.9270623537523</v>
      </c>
      <c r="M47" s="1079">
        <f t="shared" ca="1" si="1"/>
        <v>7961.5529047145938</v>
      </c>
      <c r="N47" s="737"/>
    </row>
    <row r="48" spans="2:14" ht="13" x14ac:dyDescent="0.3">
      <c r="B48" s="353" t="s">
        <v>1419</v>
      </c>
      <c r="C48" s="132"/>
      <c r="D48" s="353"/>
      <c r="E48" s="353"/>
      <c r="F48" s="511"/>
      <c r="G48" s="1079">
        <f ca="1">SUM(G38:G40)</f>
        <v>1489.6222824860301</v>
      </c>
      <c r="H48" s="1079">
        <f t="shared" ref="H48:M48" ca="1" si="2">SUM(H38:H40)</f>
        <v>1489.6222824860301</v>
      </c>
      <c r="I48" s="1079">
        <f t="shared" ca="1" si="2"/>
        <v>1490.3249271726595</v>
      </c>
      <c r="J48" s="1079">
        <f t="shared" ca="1" si="2"/>
        <v>1493.7542549860948</v>
      </c>
      <c r="K48" s="1079">
        <f t="shared" ca="1" si="2"/>
        <v>1495.3681276025081</v>
      </c>
      <c r="L48" s="1079">
        <f t="shared" ca="1" si="2"/>
        <v>1504.0490855912467</v>
      </c>
      <c r="M48" s="1079">
        <f t="shared" ca="1" si="2"/>
        <v>1529.0469085712743</v>
      </c>
      <c r="N48" s="737"/>
    </row>
    <row r="49" spans="2:21" ht="13" x14ac:dyDescent="0.3">
      <c r="B49" s="353" t="s">
        <v>1420</v>
      </c>
      <c r="C49" s="132"/>
      <c r="D49" s="353"/>
      <c r="E49" s="353"/>
      <c r="F49" s="511"/>
      <c r="G49" s="1300">
        <f ca="1">G41</f>
        <v>355.60113966998904</v>
      </c>
      <c r="H49" s="1300">
        <f t="shared" ref="H49:M49" ca="1" si="3">H41</f>
        <v>355.60113966998904</v>
      </c>
      <c r="I49" s="1300">
        <f t="shared" ca="1" si="3"/>
        <v>355.60113966998904</v>
      </c>
      <c r="J49" s="1300">
        <f t="shared" ca="1" si="3"/>
        <v>355.60113966998904</v>
      </c>
      <c r="K49" s="1300">
        <f t="shared" ca="1" si="3"/>
        <v>355.60113966998904</v>
      </c>
      <c r="L49" s="1300">
        <f t="shared" ca="1" si="3"/>
        <v>355.60113966998904</v>
      </c>
      <c r="M49" s="1300">
        <f t="shared" ca="1" si="3"/>
        <v>355.60113966998904</v>
      </c>
      <c r="N49" s="737"/>
    </row>
    <row r="50" spans="2:21" ht="13" x14ac:dyDescent="0.3">
      <c r="B50" s="353" t="s">
        <v>1421</v>
      </c>
      <c r="C50" s="132"/>
      <c r="D50" s="353"/>
      <c r="E50" s="353"/>
      <c r="F50" s="511"/>
      <c r="G50" s="1079">
        <f ca="1">'Manufacturing Costs'!G492</f>
        <v>174.96131463701596</v>
      </c>
      <c r="H50" s="1079">
        <f ca="1">'Manufacturing Costs'!H492</f>
        <v>174.96131463701596</v>
      </c>
      <c r="I50" s="1079">
        <f ca="1">'Manufacturing Costs'!I492</f>
        <v>177.62977184239284</v>
      </c>
      <c r="J50" s="1079">
        <f ca="1">'Manufacturing Costs'!J492</f>
        <v>181.70726126331135</v>
      </c>
      <c r="K50" s="1079">
        <f ca="1">'Manufacturing Costs'!K492</f>
        <v>188.05508546982264</v>
      </c>
      <c r="L50" s="1079">
        <f ca="1">'Manufacturing Costs'!L492</f>
        <v>199.76875937261636</v>
      </c>
      <c r="M50" s="1079">
        <f ca="1">'Manufacturing Costs'!M492</f>
        <v>234.06116497484376</v>
      </c>
      <c r="N50" s="737"/>
    </row>
    <row r="51" spans="2:21" ht="13" x14ac:dyDescent="0.3">
      <c r="B51" s="353" t="s">
        <v>1422</v>
      </c>
      <c r="C51" s="132"/>
      <c r="D51" s="353"/>
      <c r="E51" s="353"/>
      <c r="F51" s="511"/>
      <c r="G51" s="1079">
        <f ca="1">'Manufacturing Costs'!G493</f>
        <v>250.90510110427726</v>
      </c>
      <c r="H51" s="1079">
        <f ca="1">'Manufacturing Costs'!H493</f>
        <v>250.90510110427726</v>
      </c>
      <c r="I51" s="1079">
        <f ca="1">'Manufacturing Costs'!I493</f>
        <v>252.8206309989676</v>
      </c>
      <c r="J51" s="1079">
        <f ca="1">'Manufacturing Costs'!J493</f>
        <v>255.77775111343379</v>
      </c>
      <c r="K51" s="1079">
        <f ca="1">'Manufacturing Costs'!K493</f>
        <v>260.43845344863496</v>
      </c>
      <c r="L51" s="1079">
        <f ca="1">'Manufacturing Costs'!L493</f>
        <v>270.05782121040266</v>
      </c>
      <c r="M51" s="1079">
        <f ca="1">'Manufacturing Costs'!M493</f>
        <v>300.51350920896778</v>
      </c>
      <c r="N51" s="737"/>
    </row>
    <row r="52" spans="2:21" ht="13" x14ac:dyDescent="0.3">
      <c r="B52" s="353" t="s">
        <v>1423</v>
      </c>
      <c r="C52" s="132"/>
      <c r="D52" s="353"/>
      <c r="E52" s="353"/>
      <c r="F52" s="511"/>
      <c r="G52" s="1301">
        <f ca="1">'Manufacturing Costs'!G498</f>
        <v>332.61732299716186</v>
      </c>
      <c r="H52" s="1301">
        <f ca="1">'Manufacturing Costs'!H498</f>
        <v>332.61732299716186</v>
      </c>
      <c r="I52" s="1301">
        <f ca="1">'Manufacturing Costs'!I498</f>
        <v>334.82350353785318</v>
      </c>
      <c r="J52" s="1301">
        <f ca="1">'Manufacturing Costs'!J498</f>
        <v>338.2398113543228</v>
      </c>
      <c r="K52" s="1301">
        <f ca="1">'Manufacturing Costs'!K498</f>
        <v>343.64390880549678</v>
      </c>
      <c r="L52" s="1301">
        <f ca="1">'Manufacturing Costs'!L498</f>
        <v>355.14454197244987</v>
      </c>
      <c r="M52" s="1301">
        <f ca="1">'Manufacturing Costs'!M498</f>
        <v>392.25497256974069</v>
      </c>
      <c r="N52" s="737"/>
    </row>
    <row r="53" spans="2:21" ht="13" x14ac:dyDescent="0.3">
      <c r="B53" s="353" t="s">
        <v>1424</v>
      </c>
      <c r="C53" s="132"/>
      <c r="D53" s="353"/>
      <c r="E53" s="353"/>
      <c r="F53" s="511"/>
      <c r="G53" s="1079">
        <f ca="1">'Manufacturing Costs'!G499</f>
        <v>361.84115049894172</v>
      </c>
      <c r="H53" s="1079">
        <f ca="1">'Manufacturing Costs'!H499</f>
        <v>361.84115049894172</v>
      </c>
      <c r="I53" s="1079">
        <f ca="1">'Manufacturing Costs'!I499</f>
        <v>363.53744452402088</v>
      </c>
      <c r="J53" s="1079">
        <f ca="1">'Manufacturing Costs'!J499</f>
        <v>366.18969321621842</v>
      </c>
      <c r="K53" s="1079">
        <f ca="1">'Manufacturing Costs'!K499</f>
        <v>370.43283852141184</v>
      </c>
      <c r="L53" s="1079">
        <f ca="1">'Manufacturing Costs'!L499</f>
        <v>380.30063492271222</v>
      </c>
      <c r="M53" s="1079">
        <f ca="1">'Manufacturing Costs'!M499</f>
        <v>413.77808643806048</v>
      </c>
      <c r="N53" s="737"/>
    </row>
    <row r="54" spans="2:21" ht="13" x14ac:dyDescent="0.3">
      <c r="B54" s="353" t="s">
        <v>1425</v>
      </c>
      <c r="C54" s="132"/>
      <c r="D54" s="353"/>
      <c r="E54" s="353"/>
      <c r="F54" s="511"/>
      <c r="G54" s="1079">
        <f ca="1">'Manufacturing Costs'!G497</f>
        <v>904.60287624735429</v>
      </c>
      <c r="H54" s="1079">
        <f ca="1">'Manufacturing Costs'!H497</f>
        <v>904.60287624735429</v>
      </c>
      <c r="I54" s="1079">
        <f ca="1">'Manufacturing Costs'!I497</f>
        <v>908.84361131005221</v>
      </c>
      <c r="J54" s="1079">
        <f ca="1">'Manufacturing Costs'!J497</f>
        <v>915.4742330405461</v>
      </c>
      <c r="K54" s="1079">
        <f ca="1">'Manufacturing Costs'!K497</f>
        <v>926.08209630352951</v>
      </c>
      <c r="L54" s="1079">
        <f ca="1">'Manufacturing Costs'!L497</f>
        <v>950.75158730678049</v>
      </c>
      <c r="M54" s="1079">
        <f ca="1">'Manufacturing Costs'!M497</f>
        <v>1034.4452160951512</v>
      </c>
      <c r="N54" s="737"/>
    </row>
    <row r="55" spans="2:21" ht="13" x14ac:dyDescent="0.3">
      <c r="B55" s="353" t="s">
        <v>1426</v>
      </c>
      <c r="C55" s="132"/>
      <c r="D55" s="353"/>
      <c r="E55" s="353"/>
      <c r="F55" s="511"/>
      <c r="G55" s="1300">
        <f ca="1">'Manufacturing Costs'!G503</f>
        <v>578.61911441052371</v>
      </c>
      <c r="H55" s="1300">
        <f ca="1">'Manufacturing Costs'!H503</f>
        <v>578.61911441052371</v>
      </c>
      <c r="I55" s="1300">
        <f ca="1">'Manufacturing Costs'!I503</f>
        <v>581.90182081873809</v>
      </c>
      <c r="J55" s="1300">
        <f ca="1">'Manufacturing Costs'!J503</f>
        <v>587.09859263922579</v>
      </c>
      <c r="K55" s="1300">
        <f ca="1">'Manufacturing Costs'!K503</f>
        <v>595.43430554360236</v>
      </c>
      <c r="L55" s="1300">
        <f ca="1">'Manufacturing Costs'!L503</f>
        <v>615.87424807758873</v>
      </c>
      <c r="M55" s="1300">
        <f ca="1">'Manufacturing Costs'!M503</f>
        <v>687.22220843211528</v>
      </c>
      <c r="N55" s="737"/>
    </row>
    <row r="56" spans="2:21" x14ac:dyDescent="0.25">
      <c r="B56" s="353" t="s">
        <v>1427</v>
      </c>
      <c r="C56" s="132"/>
      <c r="D56" s="353"/>
      <c r="E56" s="353"/>
      <c r="F56" s="511"/>
      <c r="G56" s="1300">
        <f ca="1">'Manufacturing Costs'!G504</f>
        <v>583.81365534509928</v>
      </c>
      <c r="H56" s="1300">
        <f ca="1">'Manufacturing Costs'!H504</f>
        <v>583.81365534509928</v>
      </c>
      <c r="I56" s="1300">
        <f ca="1">'Manufacturing Costs'!I504</f>
        <v>588.58328023395859</v>
      </c>
      <c r="J56" s="1300">
        <f ca="1">'Manufacturing Costs'!J504</f>
        <v>596.37930206782255</v>
      </c>
      <c r="K56" s="1300">
        <f ca="1">'Manufacturing Costs'!K504</f>
        <v>608.89002358498703</v>
      </c>
      <c r="L56" s="1300">
        <f ca="1">'Manufacturing Costs'!L504</f>
        <v>634.95459330674225</v>
      </c>
      <c r="M56" s="1300">
        <f ca="1">'Manufacturing Costs'!M504</f>
        <v>722.87466219778503</v>
      </c>
    </row>
    <row r="57" spans="2:21" x14ac:dyDescent="0.25">
      <c r="B57" s="353" t="s">
        <v>1428</v>
      </c>
      <c r="C57" s="132"/>
      <c r="D57" s="353"/>
      <c r="E57" s="353"/>
      <c r="F57" s="511"/>
      <c r="G57" s="1300">
        <f ca="1">SUM(G47:G56)</f>
        <v>11009.0575007933</v>
      </c>
      <c r="H57" s="1300">
        <f t="shared" ref="H57:M57" ca="1" si="4">SUM(H47:H56)</f>
        <v>11009.0575007933</v>
      </c>
      <c r="I57" s="1300">
        <f t="shared" ca="1" si="4"/>
        <v>11098.998998697511</v>
      </c>
      <c r="J57" s="1300">
        <f t="shared" ca="1" si="4"/>
        <v>11246.009696136083</v>
      </c>
      <c r="K57" s="1300">
        <f t="shared" ca="1" si="4"/>
        <v>11481.926159031183</v>
      </c>
      <c r="L57" s="1300">
        <f t="shared" ca="1" si="4"/>
        <v>11973.429473784281</v>
      </c>
      <c r="M57" s="1300">
        <f t="shared" ca="1" si="4"/>
        <v>13631.35077287252</v>
      </c>
      <c r="O57" s="455"/>
      <c r="P57" s="455"/>
      <c r="Q57" s="455"/>
      <c r="R57" s="455"/>
      <c r="S57" s="455"/>
      <c r="T57" s="455"/>
      <c r="U57" s="455"/>
    </row>
    <row r="58" spans="2:21" x14ac:dyDescent="0.25">
      <c r="B58" s="353"/>
      <c r="C58" s="132"/>
      <c r="D58" s="353"/>
      <c r="E58" s="353"/>
      <c r="F58" s="511"/>
      <c r="G58" s="179"/>
      <c r="H58" s="179"/>
      <c r="I58" s="179"/>
      <c r="J58" s="179"/>
      <c r="K58" s="179"/>
      <c r="L58" s="179"/>
      <c r="M58" s="179"/>
      <c r="O58" s="455"/>
      <c r="P58" s="455"/>
      <c r="Q58" s="455"/>
      <c r="R58" s="455"/>
      <c r="S58" s="455"/>
      <c r="T58" s="455"/>
      <c r="U58" s="455"/>
    </row>
    <row r="59" spans="2:21" ht="13" thickBot="1" x14ac:dyDescent="0.3"/>
    <row r="60" spans="2:21" ht="20.5" thickBot="1" x14ac:dyDescent="0.45">
      <c r="B60" s="1453" t="s">
        <v>1429</v>
      </c>
      <c r="C60" s="1454"/>
      <c r="D60" s="1454"/>
      <c r="E60" s="1454"/>
      <c r="F60" s="1454"/>
      <c r="G60" s="1454"/>
      <c r="H60" s="1454"/>
      <c r="I60" s="1454"/>
      <c r="J60" s="1454"/>
      <c r="K60" s="1454"/>
      <c r="L60" s="1454"/>
      <c r="M60" s="1455"/>
      <c r="N60" s="737"/>
    </row>
    <row r="62" spans="2:21" ht="15.5" x14ac:dyDescent="0.35">
      <c r="B62" s="6" t="s">
        <v>1430</v>
      </c>
      <c r="C62" s="130"/>
      <c r="D62" s="130"/>
      <c r="E62" s="130"/>
      <c r="F62" s="130"/>
      <c r="G62" s="1380"/>
      <c r="H62" s="1380"/>
      <c r="I62" s="1380"/>
      <c r="J62" s="1380"/>
      <c r="K62" s="1380"/>
      <c r="L62" s="1380"/>
      <c r="M62" s="1380"/>
    </row>
    <row r="63" spans="2:21" ht="13" x14ac:dyDescent="0.3">
      <c r="B63" t="s">
        <v>1431</v>
      </c>
      <c r="C63" s="130"/>
      <c r="D63" s="130"/>
      <c r="E63" s="130"/>
      <c r="F63" s="130"/>
      <c r="G63" s="502">
        <f>'Cost Input'!$F114</f>
        <v>1.8664800000000001</v>
      </c>
      <c r="H63" s="502">
        <f>'Cost Input'!$F114</f>
        <v>1.8664800000000001</v>
      </c>
      <c r="I63" s="502">
        <f>'Cost Input'!$F114</f>
        <v>1.8664800000000001</v>
      </c>
      <c r="J63" s="502">
        <f>'Cost Input'!$F114</f>
        <v>1.8664800000000001</v>
      </c>
      <c r="K63" s="502">
        <f>'Cost Input'!$F114</f>
        <v>1.8664800000000001</v>
      </c>
      <c r="L63" s="502">
        <f>'Cost Input'!$F114</f>
        <v>1.8664800000000001</v>
      </c>
      <c r="M63" s="502">
        <f>'Cost Input'!$F114</f>
        <v>1.8664800000000001</v>
      </c>
      <c r="N63" s="737"/>
    </row>
    <row r="64" spans="2:21" x14ac:dyDescent="0.25">
      <c r="B64" s="353" t="s">
        <v>1432</v>
      </c>
      <c r="G64" s="1303">
        <f ca="1">'Manufacturing Costs'!G352*'Cost Input'!$F$91*G$63/Dashboard!D$105*(1-Lists!$C$154)*(1-Lists!$D$154)</f>
        <v>97.090071524087989</v>
      </c>
      <c r="H64" s="1303">
        <f ca="1">'Manufacturing Costs'!H352*'Cost Input'!$F$91*H$63/Dashboard!E$105*(1-Lists!$C$154)*(1-Lists!$D$154)</f>
        <v>97.090071524087989</v>
      </c>
      <c r="I64" s="1303">
        <f ca="1">'Manufacturing Costs'!I352*'Cost Input'!$F$91*I$63/Dashboard!F$105*(1-Lists!$C$154)*(1-Lists!$D$154)</f>
        <v>100.93469638630515</v>
      </c>
      <c r="J64" s="1303">
        <f ca="1">'Manufacturing Costs'!J352*'Cost Input'!$F$91*J$63/Dashboard!G$105*(1-Lists!$C$154)*(1-Lists!$D$154)</f>
        <v>106.79270494872287</v>
      </c>
      <c r="K64" s="1303">
        <f ca="1">'Manufacturing Costs'!K352*'Cost Input'!$F$91*K$63/Dashboard!H$105*(1-Lists!$C$154)*(1-Lists!$D$154)</f>
        <v>115.88073557575174</v>
      </c>
      <c r="L64" s="1303">
        <f ca="1">'Manufacturing Costs'!L352*'Cost Input'!$F$91*L$63/Dashboard!I$105*(1-Lists!$C$154)*(1-Lists!$D$154)</f>
        <v>132.59816756507303</v>
      </c>
      <c r="M64" s="1303">
        <f ca="1">'Manufacturing Costs'!M352*'Cost Input'!$F$91*M$63/Dashboard!J$105*(1-Lists!$C$154)*(1-Lists!$D$154)</f>
        <v>181.37330540008801</v>
      </c>
    </row>
    <row r="65" spans="2:15" x14ac:dyDescent="0.25">
      <c r="B65" s="353" t="s">
        <v>1433</v>
      </c>
      <c r="G65" s="1303">
        <f ca="1">'Manufacturing Costs'!G353*'Cost Input'!$F$91*G$63/Dashboard!D$105*(1-Lists!$C$154)*(1-Lists!$D$154)</f>
        <v>135.07128353436158</v>
      </c>
      <c r="H65" s="1303">
        <f ca="1">'Manufacturing Costs'!H353*'Cost Input'!$F$91*H$63/Dashboard!E$105*(1-Lists!$C$154)*(1-Lists!$D$154)</f>
        <v>135.07128353436158</v>
      </c>
      <c r="I65" s="1303">
        <f ca="1">'Manufacturing Costs'!I353*'Cost Input'!$F$91*I$63/Dashboard!F$105*(1-Lists!$C$154)*(1-Lists!$D$154)</f>
        <v>136.22692424106793</v>
      </c>
      <c r="J65" s="1303">
        <f ca="1">'Manufacturing Costs'!J353*'Cost Input'!$F$91*J$63/Dashboard!G$105*(1-Lists!$C$154)*(1-Lists!$D$154)</f>
        <v>138.00366150929426</v>
      </c>
      <c r="K65" s="1303">
        <f ca="1">'Manufacturing Costs'!K353*'Cost Input'!$F$91*K$63/Dashboard!H$105*(1-Lists!$C$154)*(1-Lists!$D$154)</f>
        <v>140.79170403871356</v>
      </c>
      <c r="L65" s="1303">
        <f ca="1">'Manufacturing Costs'!L353*'Cost Input'!$F$91*L$63/Dashboard!I$105*(1-Lists!$C$154)*(1-Lists!$D$154)</f>
        <v>145.97116184544686</v>
      </c>
      <c r="M65" s="1303">
        <f ca="1">'Manufacturing Costs'!M353*'Cost Input'!$F$91*M$63/Dashboard!J$105*(1-Lists!$C$154)*(1-Lists!$D$154)</f>
        <v>161.24643020748863</v>
      </c>
    </row>
    <row r="66" spans="2:15" x14ac:dyDescent="0.25">
      <c r="B66" s="353" t="s">
        <v>1434</v>
      </c>
      <c r="G66" s="1303">
        <f ca="1">'Manufacturing Costs'!G354*'Cost Input'!$F$91*G$63/Dashboard!D$105*(1-Lists!$C$154)*(1-Lists!$D$154)</f>
        <v>52.220478408715479</v>
      </c>
      <c r="H66" s="1303">
        <f ca="1">'Manufacturing Costs'!H354*'Cost Input'!$F$91*H$63/Dashboard!E$105*(1-Lists!$C$154)*(1-Lists!$D$154)</f>
        <v>52.220478408715479</v>
      </c>
      <c r="I66" s="1303">
        <f ca="1">'Manufacturing Costs'!I354*'Cost Input'!$F$91*I$63/Dashboard!F$105*(1-Lists!$C$154)*(1-Lists!$D$154)</f>
        <v>52.201783204026292</v>
      </c>
      <c r="J66" s="1303">
        <f ca="1">'Manufacturing Costs'!J354*'Cost Input'!$F$91*J$63/Dashboard!G$105*(1-Lists!$C$154)*(1-Lists!$D$154)</f>
        <v>52.178757548738389</v>
      </c>
      <c r="K66" s="1303">
        <f ca="1">'Manufacturing Costs'!K354*'Cost Input'!$F$91*K$63/Dashboard!H$105*(1-Lists!$C$154)*(1-Lists!$D$154)</f>
        <v>52.152121696950957</v>
      </c>
      <c r="L66" s="1303">
        <f ca="1">'Manufacturing Costs'!L354*'Cost Input'!$F$91*L$63/Dashboard!I$105*(1-Lists!$C$154)*(1-Lists!$D$154)</f>
        <v>52.120188314012914</v>
      </c>
      <c r="M66" s="1303">
        <f ca="1">'Manufacturing Costs'!M354*'Cost Input'!$F$91*M$63/Dashboard!J$105*(1-Lists!$C$154)*(1-Lists!$D$154)</f>
        <v>52.078007963869396</v>
      </c>
    </row>
    <row r="67" spans="2:15" x14ac:dyDescent="0.25">
      <c r="B67" s="353" t="s">
        <v>1435</v>
      </c>
      <c r="G67" s="1303">
        <f>'Manufacturing Costs'!G355*'Cost Input'!$F$91*G$63/Dashboard!D$105*(1-Lists!$D$154)</f>
        <v>15.865080000000003</v>
      </c>
      <c r="H67" s="1303">
        <f>'Manufacturing Costs'!H355*'Cost Input'!$F$91*H$63/Dashboard!E$105*(1-Lists!$D$154)</f>
        <v>15.865080000000003</v>
      </c>
      <c r="I67" s="1303">
        <f>'Manufacturing Costs'!I355*'Cost Input'!$F$91*I$63/Dashboard!F$105*(1-Lists!$D$154)</f>
        <v>15.865080000000003</v>
      </c>
      <c r="J67" s="1303">
        <f>'Manufacturing Costs'!J355*'Cost Input'!$F$91*J$63/Dashboard!G$105*(1-Lists!$D$154)</f>
        <v>15.865080000000003</v>
      </c>
      <c r="K67" s="1303">
        <f>'Manufacturing Costs'!K355*'Cost Input'!$F$91*K$63/Dashboard!H$105*(1-Lists!$D$154)</f>
        <v>15.865080000000003</v>
      </c>
      <c r="L67" s="1303">
        <f>'Manufacturing Costs'!L355*'Cost Input'!$F$91*L$63/Dashboard!I$105*(1-Lists!$D$154)</f>
        <v>15.865080000000003</v>
      </c>
      <c r="M67" s="1303">
        <f>'Manufacturing Costs'!M355*'Cost Input'!$F$91*M$63/Dashboard!J$105*(1-Lists!$D$154)</f>
        <v>15.865080000000003</v>
      </c>
    </row>
    <row r="68" spans="2:15" x14ac:dyDescent="0.25">
      <c r="B68" s="353" t="s">
        <v>1436</v>
      </c>
      <c r="G68" s="1303">
        <f>'Manufacturing Costs'!G356*'Cost Input'!$F$91*G$63/Dashboard!D$105</f>
        <v>13.998600000000001</v>
      </c>
      <c r="H68" s="1303">
        <f>'Manufacturing Costs'!H356*'Cost Input'!$F$91*H$63/Dashboard!E$105</f>
        <v>13.998600000000001</v>
      </c>
      <c r="I68" s="1303">
        <f>'Manufacturing Costs'!I356*'Cost Input'!$F$91*I$63/Dashboard!F$105</f>
        <v>13.998600000000001</v>
      </c>
      <c r="J68" s="1303">
        <f>'Manufacturing Costs'!J356*'Cost Input'!$F$91*J$63/Dashboard!G$105</f>
        <v>13.998600000000001</v>
      </c>
      <c r="K68" s="1303">
        <f>'Manufacturing Costs'!K356*'Cost Input'!$F$91*K$63/Dashboard!H$105</f>
        <v>13.998600000000001</v>
      </c>
      <c r="L68" s="1303">
        <f>'Manufacturing Costs'!L356*'Cost Input'!$F$91*L$63/Dashboard!I$105</f>
        <v>13.998600000000001</v>
      </c>
      <c r="M68" s="1303">
        <f>'Manufacturing Costs'!M356*'Cost Input'!$F$91*M$63/Dashboard!J$105</f>
        <v>13.998600000000001</v>
      </c>
    </row>
    <row r="69" spans="2:15" x14ac:dyDescent="0.25">
      <c r="B69" s="353" t="s">
        <v>1437</v>
      </c>
      <c r="G69" s="1303">
        <f ca="1">'Manufacturing Costs'!G357*'Cost Input'!$F$91*G$63/Dashboard!D$105*(1/3+1/3*(1-Lists!$D$154)+1/3*(1-Lists!$C$154)*(1-Lists!$D$154))</f>
        <v>2.8930440000000002</v>
      </c>
      <c r="H69" s="1303">
        <f ca="1">'Manufacturing Costs'!H357*'Cost Input'!$F$91*H$63/Dashboard!E$105*(1/3+1/3*(1-Lists!$D$154)+1/3*(1-Lists!$C$154)*(1-Lists!$D$154))</f>
        <v>2.8930440000000002</v>
      </c>
      <c r="I69" s="1303">
        <f ca="1">'Manufacturing Costs'!I357*'Cost Input'!$F$91*I$63/Dashboard!F$105*(1/3+1/3*(1-Lists!$D$154)+1/3*(1-Lists!$C$154)*(1-Lists!$D$154))</f>
        <v>2.8930440000000002</v>
      </c>
      <c r="J69" s="1303">
        <f ca="1">'Manufacturing Costs'!J357*'Cost Input'!$F$91*J$63/Dashboard!G$105*(1/3+1/3*(1-Lists!$D$154)+1/3*(1-Lists!$C$154)*(1-Lists!$D$154))</f>
        <v>2.8930440000000002</v>
      </c>
      <c r="K69" s="1303">
        <f ca="1">'Manufacturing Costs'!K357*'Cost Input'!$F$91*K$63/Dashboard!H$105*(1/3+1/3*(1-Lists!$D$154)+1/3*(1-Lists!$C$154)*(1-Lists!$D$154))</f>
        <v>2.8930440000000002</v>
      </c>
      <c r="L69" s="1303">
        <f ca="1">'Manufacturing Costs'!L357*'Cost Input'!$F$91*L$63/Dashboard!I$105*(1/3+1/3*(1-Lists!$D$154)+1/3*(1-Lists!$C$154)*(1-Lists!$D$154))</f>
        <v>2.8930440000000002</v>
      </c>
      <c r="M69" s="1303">
        <f ca="1">'Manufacturing Costs'!M357*'Cost Input'!$F$91*M$63/Dashboard!J$105*(1/3+1/3*(1-Lists!$D$154)+1/3*(1-Lists!$C$154)*(1-Lists!$D$154))</f>
        <v>2.8930440000000077</v>
      </c>
    </row>
    <row r="70" spans="2:15" x14ac:dyDescent="0.25">
      <c r="B70" s="353" t="s">
        <v>1438</v>
      </c>
      <c r="G70" s="1303">
        <f ca="1">'Manufacturing Costs'!G358*'Cost Input'!$F$91*G$63/Dashboard!D$105*(1-Lists!$C$154)*(1-Lists!$D$154)</f>
        <v>9.4232370765325211</v>
      </c>
      <c r="H70" s="1303">
        <f ca="1">'Manufacturing Costs'!H358*'Cost Input'!$F$91*H$63/Dashboard!E$105*(1-Lists!$C$154)*(1-Lists!$D$154)</f>
        <v>9.4232370765325211</v>
      </c>
      <c r="I70" s="1303">
        <f ca="1">'Manufacturing Costs'!I358*'Cost Input'!$F$91*I$63/Dashboard!F$105*(1-Lists!$C$154)*(1-Lists!$D$154)</f>
        <v>9.4222887169900424</v>
      </c>
      <c r="J70" s="1303">
        <f ca="1">'Manufacturing Costs'!J358*'Cost Input'!$F$91*J$63/Dashboard!G$105*(1-Lists!$C$154)*(1-Lists!$D$154)</f>
        <v>9.4211209959898756</v>
      </c>
      <c r="K70" s="1303">
        <f ca="1">'Manufacturing Costs'!K358*'Cost Input'!$F$91*K$63/Dashboard!H$105*(1-Lists!$C$154)*(1-Lists!$D$154)</f>
        <v>9.4197706162982868</v>
      </c>
      <c r="L70" s="1303">
        <f ca="1">'Manufacturing Costs'!L358*'Cost Input'!$F$91*L$63/Dashboard!I$105*(1-Lists!$C$154)*(1-Lists!$D$154)</f>
        <v>9.4181522692682478</v>
      </c>
      <c r="M70" s="1303">
        <f ca="1">'Manufacturing Costs'!M358*'Cost Input'!$F$91*M$63/Dashboard!J$105*(1-Lists!$C$154)*(1-Lists!$D$154)</f>
        <v>9.4160156308004179</v>
      </c>
      <c r="O70" s="21"/>
    </row>
    <row r="71" spans="2:15" x14ac:dyDescent="0.25">
      <c r="B71" s="997" t="s">
        <v>1439</v>
      </c>
      <c r="D71" s="997"/>
      <c r="G71" s="1303">
        <f ca="1">SUM(G64:G70)</f>
        <v>326.56179454369754</v>
      </c>
      <c r="H71" s="1303">
        <f t="shared" ref="H71:M71" ca="1" si="5">SUM(H64:H70)</f>
        <v>326.56179454369754</v>
      </c>
      <c r="I71" s="1303">
        <f t="shared" ca="1" si="5"/>
        <v>331.54241654838938</v>
      </c>
      <c r="J71" s="1303">
        <f t="shared" ca="1" si="5"/>
        <v>339.15296900274541</v>
      </c>
      <c r="K71" s="1303">
        <f t="shared" ca="1" si="5"/>
        <v>351.0010559277145</v>
      </c>
      <c r="L71" s="1303">
        <f t="shared" ca="1" si="5"/>
        <v>372.86439399380106</v>
      </c>
      <c r="M71" s="1303">
        <f t="shared" ca="1" si="5"/>
        <v>436.87048320224648</v>
      </c>
    </row>
    <row r="72" spans="2:15" x14ac:dyDescent="0.25">
      <c r="B72" s="997"/>
      <c r="D72" s="997"/>
      <c r="G72" s="502"/>
      <c r="H72" s="502"/>
      <c r="I72" s="502"/>
      <c r="J72" s="502"/>
      <c r="K72" s="502"/>
      <c r="L72" s="502"/>
      <c r="M72" s="502"/>
    </row>
    <row r="73" spans="2:15" ht="15.5" x14ac:dyDescent="0.35">
      <c r="B73" s="6" t="s">
        <v>1440</v>
      </c>
    </row>
    <row r="74" spans="2:15" x14ac:dyDescent="0.25">
      <c r="B74" t="s">
        <v>1441</v>
      </c>
      <c r="G74" s="1296">
        <f>'Cost Input'!$F115</f>
        <v>0.25370399999999999</v>
      </c>
      <c r="H74" s="1296">
        <f>'Cost Input'!$F115</f>
        <v>0.25370399999999999</v>
      </c>
      <c r="I74" s="1296">
        <f>'Cost Input'!$F115</f>
        <v>0.25370399999999999</v>
      </c>
      <c r="J74" s="1296">
        <f>'Cost Input'!$F115</f>
        <v>0.25370399999999999</v>
      </c>
      <c r="K74" s="1296">
        <f>'Cost Input'!$F115</f>
        <v>0.25370399999999999</v>
      </c>
      <c r="L74" s="1296">
        <f>'Cost Input'!$F115</f>
        <v>0.25370399999999999</v>
      </c>
      <c r="M74" s="1296">
        <f>'Cost Input'!$F115</f>
        <v>0.25370399999999999</v>
      </c>
    </row>
    <row r="75" spans="2:15" x14ac:dyDescent="0.25">
      <c r="B75" s="353" t="s">
        <v>1432</v>
      </c>
      <c r="F75" s="80"/>
      <c r="G75" s="1302">
        <f ca="1">'Manufacturing Costs'!G362*1000000*G$74/Dashboard!D$105*(1-Lists!$C$154)*(1-Lists!$D$154)</f>
        <v>345.78769243337234</v>
      </c>
      <c r="H75" s="1302">
        <f ca="1">'Manufacturing Costs'!H362*1000000*H$74/Dashboard!E$105*(1-Lists!$C$154)*(1-Lists!$D$154)</f>
        <v>345.78769243337234</v>
      </c>
      <c r="I75" s="1302">
        <f ca="1">'Manufacturing Costs'!I362*1000000*I$74/Dashboard!F$105*(1-Lists!$C$154)*(1-Lists!$D$154)</f>
        <v>353.81709083809079</v>
      </c>
      <c r="J75" s="1302">
        <f ca="1">'Manufacturing Costs'!J362*1000000*J$74/Dashboard!G$105*(1-Lists!$C$154)*(1-Lists!$D$154)</f>
        <v>366.26665235529566</v>
      </c>
      <c r="K75" s="1302">
        <f ca="1">'Manufacturing Costs'!K362*1000000*K$74/Dashboard!H$105*(1-Lists!$C$154)*(1-Lists!$D$154)</f>
        <v>385.95658274509356</v>
      </c>
      <c r="L75" s="1302">
        <f ca="1">'Manufacturing Costs'!L362*1000000*L$74/Dashboard!I$105*(1-Lists!$C$154)*(1-Lists!$D$154)</f>
        <v>423.29948048646884</v>
      </c>
      <c r="M75" s="1302">
        <f ca="1">'Manufacturing Costs'!M362*1000000*M$74/Dashboard!J$105*(1-Lists!$C$154)*(1-Lists!$D$154)</f>
        <v>538.3149191761562</v>
      </c>
    </row>
    <row r="76" spans="2:15" x14ac:dyDescent="0.25">
      <c r="B76" s="353" t="s">
        <v>1433</v>
      </c>
      <c r="G76" s="1302">
        <f ca="1">'Manufacturing Costs'!G363*1000000*G$74/Dashboard!D$105*(1-Lists!$C$154)*(1-Lists!$D$154)</f>
        <v>220.95789682059296</v>
      </c>
      <c r="H76" s="1302">
        <f ca="1">'Manufacturing Costs'!H363*1000000*H$74/Dashboard!E$105*(1-Lists!$C$154)*(1-Lists!$D$154)</f>
        <v>220.95789682059296</v>
      </c>
      <c r="I76" s="1302">
        <f ca="1">'Manufacturing Costs'!I363*1000000*I$74/Dashboard!F$105*(1-Lists!$C$154)*(1-Lists!$D$154)</f>
        <v>221.76103794393765</v>
      </c>
      <c r="J76" s="1302">
        <f ca="1">'Manufacturing Costs'!J363*1000000*J$74/Dashboard!G$105*(1-Lists!$C$154)*(1-Lists!$D$154)</f>
        <v>223.04300593276591</v>
      </c>
      <c r="K76" s="1302">
        <f ca="1">'Manufacturing Costs'!K363*1000000*K$74/Dashboard!H$105*(1-Lists!$C$154)*(1-Lists!$D$154)</f>
        <v>225.15092906331046</v>
      </c>
      <c r="L76" s="1302">
        <f ca="1">'Manufacturing Costs'!L363*1000000*L$74/Dashboard!I$105*(1-Lists!$C$154)*(1-Lists!$D$154)</f>
        <v>230.0758767158548</v>
      </c>
      <c r="M76" s="1302">
        <f ca="1">'Manufacturing Costs'!M363*1000000*M$74/Dashboard!J$105*(1-Lists!$C$154)*(1-Lists!$D$154)</f>
        <v>247.12556782097931</v>
      </c>
    </row>
    <row r="77" spans="2:15" x14ac:dyDescent="0.25">
      <c r="B77" s="353" t="s">
        <v>1434</v>
      </c>
      <c r="G77" s="1302">
        <f ca="1">'Manufacturing Costs'!G364*1000000*G$74/Dashboard!D$105*(1-Lists!$C$154)*(1-Lists!$D$154)</f>
        <v>420.58217303152537</v>
      </c>
      <c r="H77" s="1302">
        <f ca="1">'Manufacturing Costs'!H364*1000000*H$74/Dashboard!E$105*(1-Lists!$C$154)*(1-Lists!$D$154)</f>
        <v>420.58217303152537</v>
      </c>
      <c r="I77" s="1302">
        <f ca="1">'Manufacturing Costs'!I364*1000000*I$74/Dashboard!F$105*(1-Lists!$C$154)*(1-Lists!$D$154)</f>
        <v>420.43160241147268</v>
      </c>
      <c r="J77" s="1302">
        <f ca="1">'Manufacturing Costs'!J364*1000000*J$74/Dashboard!G$105*(1-Lists!$C$154)*(1-Lists!$D$154)</f>
        <v>420.24615447166894</v>
      </c>
      <c r="K77" s="1302">
        <f ca="1">'Manufacturing Costs'!K364*1000000*K$74/Dashboard!H$105*(1-Lists!$C$154)*(1-Lists!$D$154)</f>
        <v>420.0316301171116</v>
      </c>
      <c r="L77" s="1302">
        <f ca="1">'Manufacturing Costs'!L364*1000000*L$74/Dashboard!I$105*(1-Lists!$C$154)*(1-Lists!$D$154)</f>
        <v>419.77443960492963</v>
      </c>
      <c r="M77" s="1302">
        <f ca="1">'Manufacturing Costs'!M364*1000000*M$74/Dashboard!J$105*(1-Lists!$C$154)*(1-Lists!$D$154)</f>
        <v>419.43472032499989</v>
      </c>
    </row>
    <row r="78" spans="2:15" x14ac:dyDescent="0.25">
      <c r="B78" s="353" t="s">
        <v>1435</v>
      </c>
      <c r="G78" s="1302">
        <f>'Manufacturing Costs'!G365*1000000*G$74/Dashboard!D$105*(1-Lists!$D$154)</f>
        <v>47.696351999999997</v>
      </c>
      <c r="H78" s="1302">
        <f>'Manufacturing Costs'!H365*1000000*H$74/Dashboard!E$105*(1-Lists!$D$154)</f>
        <v>47.696351999999997</v>
      </c>
      <c r="I78" s="1302">
        <f>'Manufacturing Costs'!I365*1000000*I$74/Dashboard!F$105*(1-Lists!$D$154)</f>
        <v>47.696351999999997</v>
      </c>
      <c r="J78" s="1302">
        <f>'Manufacturing Costs'!J365*1000000*J$74/Dashboard!G$105*(1-Lists!$D$154)</f>
        <v>47.696351999999997</v>
      </c>
      <c r="K78" s="1302">
        <f>'Manufacturing Costs'!K365*1000000*K$74/Dashboard!H$105*(1-Lists!$D$154)</f>
        <v>47.696351999999997</v>
      </c>
      <c r="L78" s="1302">
        <f>'Manufacturing Costs'!L365*1000000*L$74/Dashboard!I$105*(1-Lists!$D$154)</f>
        <v>47.696351999999997</v>
      </c>
      <c r="M78" s="1302">
        <f>'Manufacturing Costs'!M365*1000000*M$74/Dashboard!J$105*(1-Lists!$D$154)</f>
        <v>47.696351999999997</v>
      </c>
    </row>
    <row r="79" spans="2:15" x14ac:dyDescent="0.25">
      <c r="B79" s="353" t="s">
        <v>1436</v>
      </c>
      <c r="G79" s="1302">
        <f>'Manufacturing Costs'!G366*1000000*G$74/Dashboard!D$105</f>
        <v>47.696351999999997</v>
      </c>
      <c r="H79" s="1302">
        <f>'Manufacturing Costs'!H366*1000000*H$74/Dashboard!E$105</f>
        <v>47.696351999999997</v>
      </c>
      <c r="I79" s="1302">
        <f>'Manufacturing Costs'!I366*1000000*I$74/Dashboard!F$105</f>
        <v>47.696351999999997</v>
      </c>
      <c r="J79" s="1302">
        <f>'Manufacturing Costs'!J366*1000000*J$74/Dashboard!G$105</f>
        <v>47.696351999999997</v>
      </c>
      <c r="K79" s="1302">
        <f>'Manufacturing Costs'!K366*1000000*K$74/Dashboard!H$105</f>
        <v>47.696351999999997</v>
      </c>
      <c r="L79" s="1302">
        <f>'Manufacturing Costs'!L366*1000000*L$74/Dashboard!I$105</f>
        <v>47.696351999999997</v>
      </c>
      <c r="M79" s="1302">
        <f>'Manufacturing Costs'!M366*1000000*M$74/Dashboard!J$105</f>
        <v>47.696351999999997</v>
      </c>
    </row>
    <row r="80" spans="2:15" x14ac:dyDescent="0.25">
      <c r="B80" s="353" t="s">
        <v>1437</v>
      </c>
      <c r="G80" s="1302">
        <f ca="1">'Manufacturing Costs'!G367*1000000*G$74/Dashboard!D$105*(1/3+1/3*(1-Lists!$D$154)+1/3*(1-Lists!$C$154)*(1-Lists!$D$154))</f>
        <v>101.4816</v>
      </c>
      <c r="H80" s="1302">
        <f ca="1">'Manufacturing Costs'!H367*1000000*H$74/Dashboard!E$105*(1/3+1/3*(1-Lists!$D$154)+1/3*(1-Lists!$C$154)*(1-Lists!$D$154))</f>
        <v>101.4816</v>
      </c>
      <c r="I80" s="1302">
        <f ca="1">'Manufacturing Costs'!I367*1000000*I$74/Dashboard!F$105*(1/3+1/3*(1-Lists!$D$154)+1/3*(1-Lists!$C$154)*(1-Lists!$D$154))</f>
        <v>101.48159999999999</v>
      </c>
      <c r="J80" s="1302">
        <f ca="1">'Manufacturing Costs'!J367*1000000*J$74/Dashboard!G$105*(1/3+1/3*(1-Lists!$D$154)+1/3*(1-Lists!$C$154)*(1-Lists!$D$154))</f>
        <v>101.48159999999999</v>
      </c>
      <c r="K80" s="1302">
        <f ca="1">'Manufacturing Costs'!K367*1000000*K$74/Dashboard!H$105*(1/3+1/3*(1-Lists!$D$154)+1/3*(1-Lists!$C$154)*(1-Lists!$D$154))</f>
        <v>101.48159999999999</v>
      </c>
      <c r="L80" s="1302">
        <f ca="1">'Manufacturing Costs'!L367*1000000*L$74/Dashboard!I$105*(1/3+1/3*(1-Lists!$D$154)+1/3*(1-Lists!$C$154)*(1-Lists!$D$154))</f>
        <v>101.48159999999999</v>
      </c>
      <c r="M80" s="1302">
        <f ca="1">'Manufacturing Costs'!M367*1000000*M$74/Dashboard!J$105*(1/3+1/3*(1-Lists!$D$154)+1/3*(1-Lists!$C$154)*(1-Lists!$D$154))</f>
        <v>101.48160000000048</v>
      </c>
    </row>
    <row r="81" spans="2:15" x14ac:dyDescent="0.25">
      <c r="B81" s="353" t="s">
        <v>1438</v>
      </c>
      <c r="G81" s="1302">
        <f ca="1">('Manufacturing Costs'!G368-SUM('Manufacturing Costs'!G346,'Manufacturing Costs'!G340,'Manufacturing Costs'!G334,'Manufacturing Costs'!G328*'Manufacturing Costs'!G384/'Manufacturing Costs'!G379)*Lists!$C$154-SUM('Manufacturing Costs'!G346,'Manufacturing Costs'!G340,'Manufacturing Costs'!G334,'Manufacturing Costs'!G328*'Manufacturing Costs'!G389/'Manufacturing Costs'!G379)*Lists!$D$154)*1000000*G$74/Dashboard!D$105</f>
        <v>893.75578465006936</v>
      </c>
      <c r="H81" s="1302">
        <f ca="1">('Manufacturing Costs'!H368-SUM('Manufacturing Costs'!H346,'Manufacturing Costs'!H340,'Manufacturing Costs'!H334,'Manufacturing Costs'!H328*'Manufacturing Costs'!H384/'Manufacturing Costs'!H379)*Lists!$C$154-SUM('Manufacturing Costs'!H346,'Manufacturing Costs'!H340,'Manufacturing Costs'!H334,'Manufacturing Costs'!H328*'Manufacturing Costs'!H389/'Manufacturing Costs'!H379)*Lists!$D$154)*1000000*H$74/Dashboard!E$105</f>
        <v>893.75578465006936</v>
      </c>
      <c r="I81" s="1302">
        <f ca="1">('Manufacturing Costs'!I368-SUM('Manufacturing Costs'!I346,'Manufacturing Costs'!I340,'Manufacturing Costs'!I334,'Manufacturing Costs'!I328*'Manufacturing Costs'!I384/'Manufacturing Costs'!I379)*Lists!$C$154-SUM('Manufacturing Costs'!I346,'Manufacturing Costs'!I340,'Manufacturing Costs'!I334,'Manufacturing Costs'!I328*'Manufacturing Costs'!I389/'Manufacturing Costs'!I379)*Lists!$D$154)*1000000*I$74/Dashboard!F$105</f>
        <v>893.73500742422505</v>
      </c>
      <c r="J81" s="1302">
        <f ca="1">('Manufacturing Costs'!J368-SUM('Manufacturing Costs'!J346,'Manufacturing Costs'!J340,'Manufacturing Costs'!J334,'Manufacturing Costs'!J328*'Manufacturing Costs'!J384/'Manufacturing Costs'!J379)*Lists!$C$154-SUM('Manufacturing Costs'!J346,'Manufacturing Costs'!J340,'Manufacturing Costs'!J334,'Manufacturing Costs'!J328*'Manufacturing Costs'!J389/'Manufacturing Costs'!J379)*Lists!$D$154)*1000000*J$74/Dashboard!G$105</f>
        <v>893.70943962737476</v>
      </c>
      <c r="K81" s="1302">
        <f ca="1">('Manufacturing Costs'!K368-SUM('Manufacturing Costs'!K346,'Manufacturing Costs'!K340,'Manufacturing Costs'!K334,'Manufacturing Costs'!K328*'Manufacturing Costs'!K384/'Manufacturing Costs'!K379)*Lists!$C$154-SUM('Manufacturing Costs'!K346,'Manufacturing Costs'!K340,'Manufacturing Costs'!K334,'Manufacturing Costs'!K328*'Manufacturing Costs'!K389/'Manufacturing Costs'!K379)*Lists!$D$154)*1000000*K$74/Dashboard!H$105</f>
        <v>893.67989353134146</v>
      </c>
      <c r="L81" s="1302">
        <f ca="1">('Manufacturing Costs'!L368-SUM('Manufacturing Costs'!L346,'Manufacturing Costs'!L340,'Manufacturing Costs'!L334,'Manufacturing Costs'!L328*'Manufacturing Costs'!L384/'Manufacturing Costs'!L379)*Lists!$C$154-SUM('Manufacturing Costs'!L346,'Manufacturing Costs'!L340,'Manufacturing Costs'!L334,'Manufacturing Costs'!L328*'Manufacturing Costs'!L389/'Manufacturing Costs'!L379)*Lists!$D$154)*1000000*L$74/Dashboard!I$105</f>
        <v>893.64451416427733</v>
      </c>
      <c r="M81" s="1302">
        <f ca="1">('Manufacturing Costs'!M368-SUM('Manufacturing Costs'!M346,'Manufacturing Costs'!M340,'Manufacturing Costs'!M334,'Manufacturing Costs'!M328*'Manufacturing Costs'!M384/'Manufacturing Costs'!M379)*Lists!$C$154-SUM('Manufacturing Costs'!M346,'Manufacturing Costs'!M340,'Manufacturing Costs'!M334,'Manufacturing Costs'!M328*'Manufacturing Costs'!M389/'Manufacturing Costs'!M379)*Lists!$D$154)*1000000*M$74/Dashboard!J$105</f>
        <v>893.59785399924613</v>
      </c>
    </row>
    <row r="82" spans="2:15" x14ac:dyDescent="0.25">
      <c r="B82" s="997" t="s">
        <v>270</v>
      </c>
      <c r="G82" s="1302">
        <f ca="1">SUM(G75:G81)</f>
        <v>2077.9578509355601</v>
      </c>
      <c r="H82" s="1302">
        <f t="shared" ref="H82:M82" ca="1" si="6">SUM(H75:H81)</f>
        <v>2077.9578509355601</v>
      </c>
      <c r="I82" s="1302">
        <f t="shared" ca="1" si="6"/>
        <v>2086.6190426177263</v>
      </c>
      <c r="J82" s="1302">
        <f t="shared" ca="1" si="6"/>
        <v>2100.1395563871051</v>
      </c>
      <c r="K82" s="1302">
        <f t="shared" ca="1" si="6"/>
        <v>2121.6933394568568</v>
      </c>
      <c r="L82" s="1302">
        <f t="shared" ca="1" si="6"/>
        <v>2163.6686149715306</v>
      </c>
      <c r="M82" s="1302">
        <f t="shared" ca="1" si="6"/>
        <v>2295.3473653213819</v>
      </c>
    </row>
    <row r="83" spans="2:15" x14ac:dyDescent="0.25">
      <c r="B83" s="997"/>
      <c r="G83" s="21"/>
      <c r="H83" s="21"/>
      <c r="I83" s="21"/>
      <c r="J83" s="21"/>
      <c r="K83" s="21"/>
      <c r="L83" s="21"/>
      <c r="M83" s="21"/>
    </row>
    <row r="84" spans="2:15" ht="15.5" x14ac:dyDescent="0.35">
      <c r="B84" s="6" t="s">
        <v>1442</v>
      </c>
    </row>
    <row r="85" spans="2:15" x14ac:dyDescent="0.25">
      <c r="B85" t="s">
        <v>1443</v>
      </c>
      <c r="G85" s="37">
        <f>'Cost Input'!$F$116</f>
        <v>0.153252</v>
      </c>
      <c r="H85" s="37">
        <f>'Cost Input'!$F$116</f>
        <v>0.153252</v>
      </c>
      <c r="I85" s="37">
        <f>'Cost Input'!$F$116</f>
        <v>0.153252</v>
      </c>
      <c r="J85" s="37">
        <f>'Cost Input'!$F$116</f>
        <v>0.153252</v>
      </c>
      <c r="K85" s="37">
        <f>'Cost Input'!$F$116</f>
        <v>0.153252</v>
      </c>
      <c r="L85" s="37">
        <f>'Cost Input'!$F$116</f>
        <v>0.153252</v>
      </c>
      <c r="M85" s="37">
        <f>'Cost Input'!$F$116</f>
        <v>0.153252</v>
      </c>
      <c r="O85" s="76"/>
    </row>
    <row r="86" spans="2:15" x14ac:dyDescent="0.25">
      <c r="B86" s="353" t="s">
        <v>1432</v>
      </c>
      <c r="F86" s="80"/>
      <c r="G86" s="1304">
        <f ca="1">'Manufacturing Costs'!G372*'Cost Input'!$F$83*G$85/Dashboard!D$105*(1-Lists!$C$154)*(1-Lists!$D$154)</f>
        <v>41.160606995498853</v>
      </c>
      <c r="H86" s="1304">
        <f ca="1">'Manufacturing Costs'!H372*'Cost Input'!$F$83*H$85/Dashboard!E$105*(1-Lists!$C$154)*(1-Lists!$D$154)</f>
        <v>41.160606995498853</v>
      </c>
      <c r="I86" s="1304">
        <f ca="1">'Manufacturing Costs'!I372*'Cost Input'!$F$83*I$85/Dashboard!F$105*(1-Lists!$C$154)*(1-Lists!$D$154)</f>
        <v>43.732213302427724</v>
      </c>
      <c r="J86" s="1304">
        <f ca="1">'Manufacturing Costs'!J372*'Cost Input'!$F$83*J$85/Dashboard!G$105*(1-Lists!$C$154)*(1-Lists!$D$154)</f>
        <v>47.766932100125416</v>
      </c>
      <c r="K86" s="1304">
        <f ca="1">'Manufacturing Costs'!K372*'Cost Input'!$F$83*K$85/Dashboard!H$105*(1-Lists!$C$154)*(1-Lists!$D$154)</f>
        <v>54.294133233648225</v>
      </c>
      <c r="L86" s="1304">
        <f ca="1">'Manufacturing Costs'!L372*'Cost Input'!$F$83*L$85/Dashboard!I$105*(1-Lists!$C$154)*(1-Lists!$D$154)</f>
        <v>67.060700197202394</v>
      </c>
      <c r="M86" s="1304">
        <f ca="1">'Manufacturing Costs'!M372*'Cost Input'!$F$83*M$85/Dashboard!J$105*(1-Lists!$C$154)*(1-Lists!$D$154)</f>
        <v>109.05945755280592</v>
      </c>
    </row>
    <row r="87" spans="2:15" x14ac:dyDescent="0.25">
      <c r="B87" s="353" t="s">
        <v>1433</v>
      </c>
      <c r="F87" s="80"/>
      <c r="G87" s="1304">
        <f ca="1">'Manufacturing Costs'!G373*'Cost Input'!$F$83*G$85/Dashboard!D$105*(1-Lists!$C$154)*(1-Lists!$D$154)</f>
        <v>55.970601563454949</v>
      </c>
      <c r="H87" s="1304">
        <f ca="1">'Manufacturing Costs'!H373*'Cost Input'!$F$83*H$85/Dashboard!E$105*(1-Lists!$C$154)*(1-Lists!$D$154)</f>
        <v>55.970601563454949</v>
      </c>
      <c r="I87" s="1304">
        <f ca="1">'Manufacturing Costs'!I373*'Cost Input'!$F$83*I$85/Dashboard!F$105*(1-Lists!$C$154)*(1-Lists!$D$154)</f>
        <v>55.970601563454949</v>
      </c>
      <c r="J87" s="1304">
        <f ca="1">'Manufacturing Costs'!J373*'Cost Input'!$F$83*J$85/Dashboard!G$105*(1-Lists!$C$154)*(1-Lists!$D$154)</f>
        <v>55.970601563454949</v>
      </c>
      <c r="K87" s="1304">
        <f ca="1">'Manufacturing Costs'!K373*'Cost Input'!$F$83*K$85/Dashboard!H$105*(1-Lists!$C$154)*(1-Lists!$D$154)</f>
        <v>55.970601563454949</v>
      </c>
      <c r="L87" s="1304">
        <f ca="1">'Manufacturing Costs'!L373*'Cost Input'!$F$83*L$85/Dashboard!I$105*(1-Lists!$C$154)*(1-Lists!$D$154)</f>
        <v>68.16971435561193</v>
      </c>
      <c r="M87" s="1304">
        <f ca="1">'Manufacturing Costs'!M373*'Cost Input'!$F$83*M$85/Dashboard!J$105*(1-Lists!$C$154)*(1-Lists!$D$154)</f>
        <v>123.69617330509904</v>
      </c>
    </row>
    <row r="88" spans="2:15" x14ac:dyDescent="0.25">
      <c r="B88" s="353" t="s">
        <v>1434</v>
      </c>
      <c r="F88" s="80"/>
      <c r="G88" s="1304">
        <f ca="1">'Manufacturing Costs'!G374*'Cost Input'!$F$83*G$85/Dashboard!D$105*(1-Lists!$C$154)*(1-Lists!$D$154)</f>
        <v>101.01027290445965</v>
      </c>
      <c r="H88" s="1304">
        <f ca="1">'Manufacturing Costs'!H374*'Cost Input'!$F$83*H$85/Dashboard!E$105*(1-Lists!$C$154)*(1-Lists!$D$154)</f>
        <v>101.01027290445965</v>
      </c>
      <c r="I88" s="1304">
        <f ca="1">'Manufacturing Costs'!I374*'Cost Input'!$F$83*I$85/Dashboard!F$105*(1-Lists!$C$154)*(1-Lists!$D$154)</f>
        <v>100.9741106978847</v>
      </c>
      <c r="J88" s="1304">
        <f ca="1">'Manufacturing Costs'!J374*'Cost Input'!$F$83*J$85/Dashboard!G$105*(1-Lists!$C$154)*(1-Lists!$D$154)</f>
        <v>100.92957208400546</v>
      </c>
      <c r="K88" s="1304">
        <f ca="1">'Manufacturing Costs'!K374*'Cost Input'!$F$83*K$85/Dashboard!H$105*(1-Lists!$C$154)*(1-Lists!$D$154)</f>
        <v>100.87805025310543</v>
      </c>
      <c r="L88" s="1304">
        <f ca="1">'Manufacturing Costs'!L374*'Cost Input'!$F$83*L$85/Dashboard!I$105*(1-Lists!$C$154)*(1-Lists!$D$154)</f>
        <v>100.81628138725769</v>
      </c>
      <c r="M88" s="1304">
        <f ca="1">'Manufacturing Costs'!M374*'Cost Input'!$F$83*M$85/Dashboard!J$105*(1-Lists!$C$154)*(1-Lists!$D$154)</f>
        <v>100.73469177320136</v>
      </c>
    </row>
    <row r="89" spans="2:15" x14ac:dyDescent="0.25">
      <c r="B89" s="353" t="s">
        <v>1435</v>
      </c>
      <c r="F89" s="80"/>
      <c r="G89" s="1304">
        <f>'Manufacturing Costs'!G375*'Cost Input'!$F$83*G$85/Dashboard!D$105*(1-Lists!$D$154)</f>
        <v>24.826823999999998</v>
      </c>
      <c r="H89" s="1304">
        <f>'Manufacturing Costs'!H375*'Cost Input'!$F$83*H$85/Dashboard!E$105*(1-Lists!$D$154)</f>
        <v>24.826823999999998</v>
      </c>
      <c r="I89" s="1304">
        <f>'Manufacturing Costs'!I375*'Cost Input'!$F$83*I$85/Dashboard!F$105*(1-Lists!$D$154)</f>
        <v>24.826823999999998</v>
      </c>
      <c r="J89" s="1304">
        <f>'Manufacturing Costs'!J375*'Cost Input'!$F$83*J$85/Dashboard!G$105*(1-Lists!$D$154)</f>
        <v>24.826823999999998</v>
      </c>
      <c r="K89" s="1304">
        <f>'Manufacturing Costs'!K375*'Cost Input'!$F$83*K$85/Dashboard!H$105*(1-Lists!$D$154)</f>
        <v>24.826823999999998</v>
      </c>
      <c r="L89" s="1304">
        <f>'Manufacturing Costs'!L375*'Cost Input'!$F$83*L$85/Dashboard!I$105*(1-Lists!$D$154)</f>
        <v>24.826823999999998</v>
      </c>
      <c r="M89" s="1304">
        <f>'Manufacturing Costs'!M375*'Cost Input'!$F$83*M$85/Dashboard!J$105*(1-Lists!$D$154)</f>
        <v>24.826823999999998</v>
      </c>
    </row>
    <row r="90" spans="2:15" x14ac:dyDescent="0.25">
      <c r="B90" s="353" t="s">
        <v>1436</v>
      </c>
      <c r="F90" s="80"/>
      <c r="G90" s="1304">
        <f>'Manufacturing Costs'!G376*'Cost Input'!$F$83*G$85/Dashboard!D$105</f>
        <v>24.826823999999998</v>
      </c>
      <c r="H90" s="1304">
        <f>'Manufacturing Costs'!H376*'Cost Input'!$F$83*H$85/Dashboard!E$105</f>
        <v>24.826823999999998</v>
      </c>
      <c r="I90" s="1304">
        <f>'Manufacturing Costs'!I376*'Cost Input'!$F$83*I$85/Dashboard!F$105</f>
        <v>24.826823999999998</v>
      </c>
      <c r="J90" s="1304">
        <f>'Manufacturing Costs'!J376*'Cost Input'!$F$83*J$85/Dashboard!G$105</f>
        <v>24.826823999999998</v>
      </c>
      <c r="K90" s="1304">
        <f>'Manufacturing Costs'!K376*'Cost Input'!$F$83*K$85/Dashboard!H$105</f>
        <v>24.826823999999998</v>
      </c>
      <c r="L90" s="1304">
        <f>'Manufacturing Costs'!L376*'Cost Input'!$F$83*L$85/Dashboard!I$105</f>
        <v>24.826823999999998</v>
      </c>
      <c r="M90" s="1304">
        <f>'Manufacturing Costs'!M376*'Cost Input'!$F$83*M$85/Dashboard!J$105</f>
        <v>24.826823999999998</v>
      </c>
    </row>
    <row r="91" spans="2:15" x14ac:dyDescent="0.25">
      <c r="B91" s="353" t="s">
        <v>1437</v>
      </c>
      <c r="F91" s="80"/>
      <c r="G91" s="1304">
        <f ca="1">'Manufacturing Costs'!G377*'Cost Input'!$F$83*G$85/Dashboard!D$105*(1/3+1/3*(1-Lists!$D$154)+1/3*(1-Lists!$C$154)*(1-Lists!$D$154))</f>
        <v>9.1951199999999993</v>
      </c>
      <c r="H91" s="1304">
        <f ca="1">'Manufacturing Costs'!H377*'Cost Input'!$F$83*H$85/Dashboard!E$105*(1/3+1/3*(1-Lists!$D$154)+1/3*(1-Lists!$C$154)*(1-Lists!$D$154))</f>
        <v>9.1951199999999993</v>
      </c>
      <c r="I91" s="1304">
        <f ca="1">'Manufacturing Costs'!I377*'Cost Input'!$F$83*I$85/Dashboard!F$105*(1/3+1/3*(1-Lists!$D$154)+1/3*(1-Lists!$C$154)*(1-Lists!$D$154))</f>
        <v>9.1951199999999975</v>
      </c>
      <c r="J91" s="1304">
        <f ca="1">'Manufacturing Costs'!J377*'Cost Input'!$F$83*J$85/Dashboard!G$105*(1/3+1/3*(1-Lists!$D$154)+1/3*(1-Lists!$C$154)*(1-Lists!$D$154))</f>
        <v>9.1951199999999975</v>
      </c>
      <c r="K91" s="1304">
        <f ca="1">'Manufacturing Costs'!K377*'Cost Input'!$F$83*K$85/Dashboard!H$105*(1/3+1/3*(1-Lists!$D$154)+1/3*(1-Lists!$C$154)*(1-Lists!$D$154))</f>
        <v>9.1951199999999975</v>
      </c>
      <c r="L91" s="1304">
        <f ca="1">'Manufacturing Costs'!L377*'Cost Input'!$F$83*L$85/Dashboard!I$105*(1/3+1/3*(1-Lists!$D$154)+1/3*(1-Lists!$C$154)*(1-Lists!$D$154))</f>
        <v>9.1951199999999975</v>
      </c>
      <c r="M91" s="1304">
        <f ca="1">'Manufacturing Costs'!M377*'Cost Input'!$F$83*M$85/Dashboard!J$105*(1/3+1/3*(1-Lists!$D$154)+1/3*(1-Lists!$C$154)*(1-Lists!$D$154))</f>
        <v>9.1951200000000455</v>
      </c>
    </row>
    <row r="92" spans="2:15" x14ac:dyDescent="0.25">
      <c r="B92" s="353" t="s">
        <v>1438</v>
      </c>
      <c r="F92" s="80"/>
      <c r="G92" s="1304">
        <f ca="1">'Manufacturing Costs'!G378*'Cost Input'!$F$83*G$85/Dashboard!D$105*(1-Lists!$C$154)*(1-Lists!$D$154)</f>
        <v>5.2384902705001064</v>
      </c>
      <c r="H92" s="1304">
        <f ca="1">'Manufacturing Costs'!H378*'Cost Input'!$F$83*H$85/Dashboard!E$105*(1-Lists!$C$154)*(1-Lists!$D$154)</f>
        <v>5.2384902705001064</v>
      </c>
      <c r="I92" s="1304">
        <f ca="1">'Manufacturing Costs'!I378*'Cost Input'!$F$83*I$85/Dashboard!F$105*(1-Lists!$C$154)*(1-Lists!$D$154)</f>
        <v>5.2373397937777018</v>
      </c>
      <c r="J92" s="1304">
        <f ca="1">'Manufacturing Costs'!J378*'Cost Input'!$F$83*J$85/Dashboard!G$105*(1-Lists!$C$154)*(1-Lists!$D$154)</f>
        <v>5.2359240535176657</v>
      </c>
      <c r="K92" s="1304">
        <f ca="1">'Manufacturing Costs'!K378*'Cost Input'!$F$83*K$85/Dashboard!H$105*(1-Lists!$C$154)*(1-Lists!$D$154)</f>
        <v>5.2342880268421466</v>
      </c>
      <c r="L92" s="1304">
        <f ca="1">'Manufacturing Costs'!L378*'Cost Input'!$F$83*L$85/Dashboard!I$105*(1-Lists!$C$154)*(1-Lists!$D$154)</f>
        <v>5.2323290002345573</v>
      </c>
      <c r="M92" s="1304">
        <f ca="1">'Manufacturing Costs'!M378*'Cost Input'!$F$83*M$85/Dashboard!J$105*(1-Lists!$C$154)*(1-Lists!$D$154)</f>
        <v>5.2297453331877719</v>
      </c>
    </row>
    <row r="93" spans="2:15" x14ac:dyDescent="0.25">
      <c r="B93" s="997" t="s">
        <v>1444</v>
      </c>
      <c r="G93" s="1304">
        <f ca="1">SUM(G86:G92)</f>
        <v>262.22873973391353</v>
      </c>
      <c r="H93" s="1304">
        <f t="shared" ref="H93:M93" ca="1" si="7">SUM(H86:H92)</f>
        <v>262.22873973391353</v>
      </c>
      <c r="I93" s="1304">
        <f t="shared" ca="1" si="7"/>
        <v>264.76303335754505</v>
      </c>
      <c r="J93" s="1304">
        <f t="shared" ca="1" si="7"/>
        <v>268.75179780110346</v>
      </c>
      <c r="K93" s="1304">
        <f t="shared" ca="1" si="7"/>
        <v>275.22584107705069</v>
      </c>
      <c r="L93" s="1304">
        <f t="shared" ca="1" si="7"/>
        <v>300.12779294030656</v>
      </c>
      <c r="M93" s="1304">
        <f t="shared" ca="1" si="7"/>
        <v>397.56883596429412</v>
      </c>
    </row>
    <row r="94" spans="2:15" x14ac:dyDescent="0.25">
      <c r="B94" s="997"/>
      <c r="G94" s="21"/>
      <c r="H94" s="21"/>
      <c r="I94" s="21"/>
      <c r="J94" s="21"/>
      <c r="K94" s="21"/>
      <c r="L94" s="21"/>
      <c r="M94" s="21"/>
    </row>
    <row r="95" spans="2:15" ht="15.5" x14ac:dyDescent="0.35">
      <c r="B95" s="998" t="s">
        <v>1445</v>
      </c>
      <c r="G95" s="21"/>
      <c r="H95" s="21"/>
      <c r="I95" s="21"/>
      <c r="J95" s="21"/>
      <c r="K95" s="21"/>
      <c r="L95" s="21"/>
      <c r="M95" s="21"/>
    </row>
    <row r="96" spans="2:15" x14ac:dyDescent="0.25">
      <c r="B96" t="s">
        <v>1446</v>
      </c>
      <c r="G96" s="1078">
        <f t="shared" ref="G96:G97" ca="1" si="8">G105</f>
        <v>6374.2676224454053</v>
      </c>
      <c r="H96" s="1078">
        <f t="shared" ref="H96:M96" ca="1" si="9">H105</f>
        <v>6374.2676224454053</v>
      </c>
      <c r="I96" s="1078">
        <f t="shared" ca="1" si="9"/>
        <v>6447.2836003221519</v>
      </c>
      <c r="J96" s="1078">
        <f t="shared" ca="1" si="9"/>
        <v>6565.5168832207373</v>
      </c>
      <c r="K96" s="1078">
        <f t="shared" ca="1" si="9"/>
        <v>6759.8361408674064</v>
      </c>
      <c r="L96" s="1078">
        <f t="shared" ca="1" si="9"/>
        <v>7153.3401276240174</v>
      </c>
      <c r="M96" s="1078">
        <f t="shared" ca="1" si="9"/>
        <v>8491.4738660523963</v>
      </c>
    </row>
    <row r="97" spans="1:19" x14ac:dyDescent="0.25">
      <c r="B97" s="353" t="s">
        <v>1447</v>
      </c>
      <c r="G97" s="1078">
        <f t="shared" ca="1" si="8"/>
        <v>1588.7715416083001</v>
      </c>
      <c r="H97" s="1078">
        <f t="shared" ref="H97:M97" ca="1" si="10">H106</f>
        <v>1588.7715416083001</v>
      </c>
      <c r="I97" s="1078">
        <f t="shared" ca="1" si="10"/>
        <v>1589.5209543252715</v>
      </c>
      <c r="J97" s="1078">
        <f t="shared" ca="1" si="10"/>
        <v>1593.1785381979691</v>
      </c>
      <c r="K97" s="1078">
        <f t="shared" ca="1" si="10"/>
        <v>1594.899830175731</v>
      </c>
      <c r="L97" s="1078">
        <f t="shared" ca="1" si="10"/>
        <v>1604.1585927281999</v>
      </c>
      <c r="M97" s="1078">
        <f t="shared" ca="1" si="10"/>
        <v>1630.8202708057784</v>
      </c>
      <c r="N97" s="1018"/>
    </row>
    <row r="98" spans="1:19" x14ac:dyDescent="0.25">
      <c r="B98" s="353" t="s">
        <v>22</v>
      </c>
      <c r="G98" s="1078">
        <f ca="1">G107</f>
        <v>379.26995152642348</v>
      </c>
      <c r="H98" s="1078">
        <f t="shared" ref="H98:M98" ca="1" si="11">H107</f>
        <v>379.26995152642348</v>
      </c>
      <c r="I98" s="1078">
        <f t="shared" ca="1" si="11"/>
        <v>379.26995152642348</v>
      </c>
      <c r="J98" s="1078">
        <f t="shared" ca="1" si="11"/>
        <v>379.26995152642348</v>
      </c>
      <c r="K98" s="1078">
        <f t="shared" ca="1" si="11"/>
        <v>379.26995152642348</v>
      </c>
      <c r="L98" s="1078">
        <f t="shared" ca="1" si="11"/>
        <v>379.26995152642348</v>
      </c>
      <c r="M98" s="1078">
        <f t="shared" ca="1" si="11"/>
        <v>379.26995152642348</v>
      </c>
    </row>
    <row r="99" spans="1:19" x14ac:dyDescent="0.25">
      <c r="B99" t="s">
        <v>1448</v>
      </c>
      <c r="F99" s="40"/>
      <c r="G99" s="1305">
        <f t="shared" ref="G99" ca="1" si="12">G71</f>
        <v>326.56179454369754</v>
      </c>
      <c r="H99" s="1305">
        <f t="shared" ref="H99:M99" ca="1" si="13">H71</f>
        <v>326.56179454369754</v>
      </c>
      <c r="I99" s="1305">
        <f t="shared" ca="1" si="13"/>
        <v>331.54241654838938</v>
      </c>
      <c r="J99" s="1305">
        <f t="shared" ca="1" si="13"/>
        <v>339.15296900274541</v>
      </c>
      <c r="K99" s="1305">
        <f t="shared" ca="1" si="13"/>
        <v>351.0010559277145</v>
      </c>
      <c r="L99" s="1305">
        <f t="shared" ca="1" si="13"/>
        <v>372.86439399380106</v>
      </c>
      <c r="M99" s="1305">
        <f t="shared" ca="1" si="13"/>
        <v>436.87048320224648</v>
      </c>
    </row>
    <row r="100" spans="1:19" x14ac:dyDescent="0.25">
      <c r="B100" t="s">
        <v>1449</v>
      </c>
      <c r="G100" s="1305">
        <f t="shared" ref="G100" ca="1" si="14">G82+G93</f>
        <v>2340.1865906694738</v>
      </c>
      <c r="H100" s="1305">
        <f t="shared" ref="H100:M100" ca="1" si="15">H82+H93</f>
        <v>2340.1865906694738</v>
      </c>
      <c r="I100" s="1305">
        <f t="shared" ca="1" si="15"/>
        <v>2351.3820759752716</v>
      </c>
      <c r="J100" s="1305">
        <f t="shared" ca="1" si="15"/>
        <v>2368.8913541882084</v>
      </c>
      <c r="K100" s="1305">
        <f t="shared" ca="1" si="15"/>
        <v>2396.9191805339074</v>
      </c>
      <c r="L100" s="1305">
        <f t="shared" ca="1" si="15"/>
        <v>2463.7964079118374</v>
      </c>
      <c r="M100" s="1305">
        <f t="shared" ca="1" si="15"/>
        <v>2692.9162012856759</v>
      </c>
    </row>
    <row r="101" spans="1:19" ht="13" x14ac:dyDescent="0.3">
      <c r="B101" s="353" t="s">
        <v>1450</v>
      </c>
      <c r="G101" s="1078">
        <f t="shared" ref="G101" ca="1" si="16">SUM(G96:G100)</f>
        <v>11009.0575007933</v>
      </c>
      <c r="H101" s="1078">
        <f t="shared" ref="H101:M101" ca="1" si="17">SUM(H96:H100)</f>
        <v>11009.0575007933</v>
      </c>
      <c r="I101" s="1078">
        <f t="shared" ca="1" si="17"/>
        <v>11098.998998697509</v>
      </c>
      <c r="J101" s="1078">
        <f t="shared" ca="1" si="17"/>
        <v>11246.009696136083</v>
      </c>
      <c r="K101" s="1078">
        <f t="shared" ca="1" si="17"/>
        <v>11481.926159031182</v>
      </c>
      <c r="L101" s="1078">
        <f t="shared" ca="1" si="17"/>
        <v>11973.429473784279</v>
      </c>
      <c r="M101" s="1078">
        <f t="shared" ca="1" si="17"/>
        <v>13631.35077287252</v>
      </c>
      <c r="N101" s="737"/>
    </row>
    <row r="102" spans="1:19" x14ac:dyDescent="0.25">
      <c r="G102" s="40"/>
      <c r="H102" s="40"/>
      <c r="I102" s="40"/>
      <c r="J102" s="40"/>
      <c r="K102" s="40"/>
      <c r="L102" s="40"/>
      <c r="M102" s="40"/>
    </row>
    <row r="103" spans="1:19" ht="15.5" x14ac:dyDescent="0.35">
      <c r="B103" s="6" t="s">
        <v>1451</v>
      </c>
      <c r="C103" s="6"/>
      <c r="D103" s="6"/>
      <c r="E103" s="6"/>
      <c r="F103" s="6"/>
    </row>
    <row r="104" spans="1:19" ht="15.5" x14ac:dyDescent="0.35">
      <c r="B104" s="665" t="s">
        <v>1452</v>
      </c>
      <c r="C104" s="6"/>
      <c r="D104" s="6"/>
      <c r="E104" s="6"/>
      <c r="F104" s="6"/>
      <c r="G104" s="6"/>
      <c r="H104" s="6"/>
      <c r="I104" s="6"/>
      <c r="J104" s="6"/>
      <c r="K104" s="6"/>
      <c r="L104" s="6"/>
      <c r="M104" s="6"/>
    </row>
    <row r="105" spans="1:19" ht="13" x14ac:dyDescent="0.3">
      <c r="A105" s="130" t="s">
        <v>438</v>
      </c>
      <c r="B105" t="s">
        <v>1453</v>
      </c>
      <c r="G105" s="1306">
        <f ca="1">G47*'Cost Input'!$F$113</f>
        <v>6374.2676224454053</v>
      </c>
      <c r="H105" s="1306">
        <f ca="1">H47*'Cost Input'!$F$113</f>
        <v>6374.2676224454053</v>
      </c>
      <c r="I105" s="1306">
        <f ca="1">I47*'Cost Input'!$F$113</f>
        <v>6447.2836003221519</v>
      </c>
      <c r="J105" s="1306">
        <f ca="1">J47*'Cost Input'!$F$113</f>
        <v>6565.5168832207373</v>
      </c>
      <c r="K105" s="1306">
        <f ca="1">K47*'Cost Input'!$F$113</f>
        <v>6759.8361408674064</v>
      </c>
      <c r="L105" s="1306">
        <f ca="1">L47*'Cost Input'!$F$113</f>
        <v>7153.3401276240174</v>
      </c>
      <c r="M105" s="1306">
        <f ca="1">M47*'Cost Input'!$F$113</f>
        <v>8491.4738660523963</v>
      </c>
      <c r="R105" s="65"/>
      <c r="S105" s="40"/>
    </row>
    <row r="106" spans="1:19" ht="13" x14ac:dyDescent="0.3">
      <c r="A106" s="130" t="s">
        <v>438</v>
      </c>
      <c r="B106" s="353" t="s">
        <v>1454</v>
      </c>
      <c r="G106" s="1078">
        <f ca="1">G48*'Cost Input'!$F$113</f>
        <v>1588.7715416083001</v>
      </c>
      <c r="H106" s="1078">
        <f ca="1">H48*'Cost Input'!$F$113</f>
        <v>1588.7715416083001</v>
      </c>
      <c r="I106" s="1078">
        <f ca="1">I48*'Cost Input'!$F$113</f>
        <v>1589.5209543252715</v>
      </c>
      <c r="J106" s="1078">
        <f ca="1">J48*'Cost Input'!$F$113</f>
        <v>1593.1785381979691</v>
      </c>
      <c r="K106" s="1078">
        <f ca="1">K48*'Cost Input'!$F$113</f>
        <v>1594.899830175731</v>
      </c>
      <c r="L106" s="1078">
        <f ca="1">L48*'Cost Input'!$F$113</f>
        <v>1604.1585927281999</v>
      </c>
      <c r="M106" s="1078">
        <f ca="1">M48*'Cost Input'!$F$113</f>
        <v>1630.8202708057784</v>
      </c>
      <c r="R106" s="65"/>
      <c r="S106" s="40"/>
    </row>
    <row r="107" spans="1:19" ht="13" x14ac:dyDescent="0.3">
      <c r="A107" s="130"/>
      <c r="B107" s="353" t="s">
        <v>1455</v>
      </c>
      <c r="G107" s="1078">
        <f ca="1">G49*'Cost Input'!$F$113</f>
        <v>379.26995152642348</v>
      </c>
      <c r="H107" s="1078">
        <f ca="1">H49*'Cost Input'!$F$113</f>
        <v>379.26995152642348</v>
      </c>
      <c r="I107" s="1078">
        <f ca="1">I49*'Cost Input'!$F$113</f>
        <v>379.26995152642348</v>
      </c>
      <c r="J107" s="1078">
        <f ca="1">J49*'Cost Input'!$F$113</f>
        <v>379.26995152642348</v>
      </c>
      <c r="K107" s="1078">
        <f ca="1">K49*'Cost Input'!$F$113</f>
        <v>379.26995152642348</v>
      </c>
      <c r="L107" s="1078">
        <f ca="1">L49*'Cost Input'!$F$113</f>
        <v>379.26995152642348</v>
      </c>
      <c r="M107" s="1078">
        <f ca="1">M49*'Cost Input'!$F$113</f>
        <v>379.26995152642348</v>
      </c>
      <c r="R107" s="65"/>
      <c r="S107" s="40"/>
    </row>
    <row r="108" spans="1:19" ht="13" x14ac:dyDescent="0.3">
      <c r="A108" s="130"/>
      <c r="B108" s="353"/>
      <c r="G108" s="48"/>
      <c r="H108" s="48"/>
      <c r="I108" s="48"/>
      <c r="J108" s="48"/>
      <c r="K108" s="48"/>
      <c r="L108" s="48"/>
      <c r="M108" s="48"/>
      <c r="R108" s="65"/>
      <c r="S108" s="40"/>
    </row>
    <row r="109" spans="1:19" ht="14" x14ac:dyDescent="0.3">
      <c r="A109" s="130"/>
      <c r="B109" s="665" t="s">
        <v>1456</v>
      </c>
      <c r="G109" s="19"/>
      <c r="H109" s="19"/>
      <c r="I109" s="19"/>
      <c r="J109" s="19"/>
      <c r="K109" s="19"/>
      <c r="L109" s="19"/>
      <c r="M109" s="19"/>
      <c r="R109" s="65"/>
      <c r="S109" s="40"/>
    </row>
    <row r="110" spans="1:19" ht="13" x14ac:dyDescent="0.3">
      <c r="A110" s="130"/>
      <c r="B110" t="s">
        <v>1457</v>
      </c>
      <c r="G110" s="1078">
        <f t="shared" ref="G110:G116" ca="1" si="18">G64+G75+G86</f>
        <v>484.03837095295921</v>
      </c>
      <c r="H110" s="1078">
        <f t="shared" ref="H110:M110" ca="1" si="19">H64+H75+H86</f>
        <v>484.03837095295921</v>
      </c>
      <c r="I110" s="1078">
        <f t="shared" ca="1" si="19"/>
        <v>498.48400052682365</v>
      </c>
      <c r="J110" s="1078">
        <f t="shared" ca="1" si="19"/>
        <v>520.82628940414395</v>
      </c>
      <c r="K110" s="1078">
        <f t="shared" ca="1" si="19"/>
        <v>556.13145155449354</v>
      </c>
      <c r="L110" s="1078">
        <f t="shared" ca="1" si="19"/>
        <v>622.9583482487443</v>
      </c>
      <c r="M110" s="1078">
        <f t="shared" ca="1" si="19"/>
        <v>828.74768212905019</v>
      </c>
      <c r="R110" s="65"/>
      <c r="S110" s="40"/>
    </row>
    <row r="111" spans="1:19" ht="13" x14ac:dyDescent="0.3">
      <c r="A111" s="130"/>
      <c r="B111" t="s">
        <v>1458</v>
      </c>
      <c r="G111" s="1078">
        <f t="shared" ca="1" si="18"/>
        <v>411.99978191840944</v>
      </c>
      <c r="H111" s="1078">
        <f t="shared" ref="H111:M111" ca="1" si="20">H65+H76+H87</f>
        <v>411.99978191840944</v>
      </c>
      <c r="I111" s="1078">
        <f t="shared" ca="1" si="20"/>
        <v>413.95856374846051</v>
      </c>
      <c r="J111" s="1078">
        <f t="shared" ca="1" si="20"/>
        <v>417.01726900551512</v>
      </c>
      <c r="K111" s="1078">
        <f t="shared" ca="1" si="20"/>
        <v>421.91323466547897</v>
      </c>
      <c r="L111" s="1078">
        <f t="shared" ca="1" si="20"/>
        <v>444.21675291691355</v>
      </c>
      <c r="M111" s="1078">
        <f t="shared" ca="1" si="20"/>
        <v>532.06817133356697</v>
      </c>
      <c r="R111" s="65"/>
      <c r="S111" s="80"/>
    </row>
    <row r="112" spans="1:19" ht="13" x14ac:dyDescent="0.3">
      <c r="A112" s="130"/>
      <c r="B112" t="s">
        <v>1459</v>
      </c>
      <c r="G112" s="1078">
        <f t="shared" ca="1" si="18"/>
        <v>573.81292434470049</v>
      </c>
      <c r="H112" s="1078">
        <f t="shared" ref="H112:M112" ca="1" si="21">H66+H77+H88</f>
        <v>573.81292434470049</v>
      </c>
      <c r="I112" s="1078">
        <f t="shared" ca="1" si="21"/>
        <v>573.60749631338365</v>
      </c>
      <c r="J112" s="1078">
        <f t="shared" ca="1" si="21"/>
        <v>573.35448410441279</v>
      </c>
      <c r="K112" s="1078">
        <f t="shared" ca="1" si="21"/>
        <v>573.06180206716806</v>
      </c>
      <c r="L112" s="1078">
        <f t="shared" ca="1" si="21"/>
        <v>572.71090930620028</v>
      </c>
      <c r="M112" s="1078">
        <f t="shared" ca="1" si="21"/>
        <v>572.24742006207066</v>
      </c>
      <c r="R112" s="65"/>
      <c r="S112" s="40"/>
    </row>
    <row r="113" spans="1:19" ht="13" x14ac:dyDescent="0.3">
      <c r="A113" s="130"/>
      <c r="B113" s="353" t="s">
        <v>1460</v>
      </c>
      <c r="G113" s="1078">
        <f t="shared" si="18"/>
        <v>88.388255999999998</v>
      </c>
      <c r="H113" s="1078">
        <f t="shared" ref="H113:M113" si="22">H67+H78+H89</f>
        <v>88.388255999999998</v>
      </c>
      <c r="I113" s="1078">
        <f t="shared" si="22"/>
        <v>88.388255999999998</v>
      </c>
      <c r="J113" s="1078">
        <f t="shared" si="22"/>
        <v>88.388255999999998</v>
      </c>
      <c r="K113" s="1078">
        <f t="shared" si="22"/>
        <v>88.388255999999998</v>
      </c>
      <c r="L113" s="1078">
        <f t="shared" si="22"/>
        <v>88.388255999999998</v>
      </c>
      <c r="M113" s="1078">
        <f t="shared" si="22"/>
        <v>88.388255999999998</v>
      </c>
      <c r="R113" s="65"/>
      <c r="S113" s="40"/>
    </row>
    <row r="114" spans="1:19" ht="13" x14ac:dyDescent="0.3">
      <c r="A114" s="130"/>
      <c r="B114" s="353" t="s">
        <v>1461</v>
      </c>
      <c r="G114" s="1078">
        <f t="shared" si="18"/>
        <v>86.521776000000003</v>
      </c>
      <c r="H114" s="1078">
        <f t="shared" ref="H114:M114" si="23">H68+H79+H90</f>
        <v>86.521776000000003</v>
      </c>
      <c r="I114" s="1078">
        <f t="shared" si="23"/>
        <v>86.521776000000003</v>
      </c>
      <c r="J114" s="1078">
        <f t="shared" si="23"/>
        <v>86.521776000000003</v>
      </c>
      <c r="K114" s="1078">
        <f t="shared" si="23"/>
        <v>86.521776000000003</v>
      </c>
      <c r="L114" s="1078">
        <f t="shared" si="23"/>
        <v>86.521776000000003</v>
      </c>
      <c r="M114" s="1078">
        <f t="shared" si="23"/>
        <v>86.521776000000003</v>
      </c>
      <c r="R114" s="65"/>
      <c r="S114" s="40"/>
    </row>
    <row r="115" spans="1:19" ht="13" x14ac:dyDescent="0.3">
      <c r="A115" s="130"/>
      <c r="B115" s="353" t="s">
        <v>1462</v>
      </c>
      <c r="G115" s="1078">
        <f t="shared" ca="1" si="18"/>
        <v>113.56976400000001</v>
      </c>
      <c r="H115" s="1078">
        <f t="shared" ref="H115:M115" ca="1" si="24">H69+H80+H91</f>
        <v>113.56976400000001</v>
      </c>
      <c r="I115" s="1078">
        <f t="shared" ca="1" si="24"/>
        <v>113.56976399999999</v>
      </c>
      <c r="J115" s="1078">
        <f t="shared" ca="1" si="24"/>
        <v>113.56976399999999</v>
      </c>
      <c r="K115" s="1078">
        <f t="shared" ca="1" si="24"/>
        <v>113.56976399999999</v>
      </c>
      <c r="L115" s="1078">
        <f t="shared" ca="1" si="24"/>
        <v>113.56976399999999</v>
      </c>
      <c r="M115" s="1078">
        <f t="shared" ca="1" si="24"/>
        <v>113.56976400000053</v>
      </c>
      <c r="R115" s="65"/>
      <c r="S115" s="40"/>
    </row>
    <row r="116" spans="1:19" ht="13" x14ac:dyDescent="0.3">
      <c r="A116" s="130"/>
      <c r="B116" s="353" t="s">
        <v>1463</v>
      </c>
      <c r="G116" s="1078">
        <f t="shared" ca="1" si="18"/>
        <v>908.41751199710188</v>
      </c>
      <c r="H116" s="1078">
        <f t="shared" ref="H116:M116" ca="1" si="25">H70+H81+H92</f>
        <v>908.41751199710188</v>
      </c>
      <c r="I116" s="1078">
        <f t="shared" ca="1" si="25"/>
        <v>908.39463593499272</v>
      </c>
      <c r="J116" s="1078">
        <f t="shared" ca="1" si="25"/>
        <v>908.36648467688235</v>
      </c>
      <c r="K116" s="1078">
        <f t="shared" ca="1" si="25"/>
        <v>908.33395217448185</v>
      </c>
      <c r="L116" s="1078">
        <f t="shared" ca="1" si="25"/>
        <v>908.29499543378017</v>
      </c>
      <c r="M116" s="1078">
        <f t="shared" ca="1" si="25"/>
        <v>908.24361496323434</v>
      </c>
      <c r="R116" s="65"/>
      <c r="S116" s="40"/>
    </row>
    <row r="117" spans="1:19" ht="13" x14ac:dyDescent="0.3">
      <c r="A117" s="130"/>
      <c r="B117" t="s">
        <v>1464</v>
      </c>
      <c r="G117" s="1305">
        <f t="shared" ref="G117" ca="1" si="26">SUM(G110:G116)</f>
        <v>2666.7483852131709</v>
      </c>
      <c r="H117" s="1305">
        <f t="shared" ref="H117:M117" ca="1" si="27">SUM(H110:H116)</f>
        <v>2666.7483852131709</v>
      </c>
      <c r="I117" s="1305">
        <f t="shared" ca="1" si="27"/>
        <v>2682.9244925236608</v>
      </c>
      <c r="J117" s="1305">
        <f t="shared" ca="1" si="27"/>
        <v>2708.0443231909544</v>
      </c>
      <c r="K117" s="1305">
        <f t="shared" ca="1" si="27"/>
        <v>2747.9202364616226</v>
      </c>
      <c r="L117" s="1305">
        <f t="shared" ca="1" si="27"/>
        <v>2836.6608019056384</v>
      </c>
      <c r="M117" s="1305">
        <f t="shared" ca="1" si="27"/>
        <v>3129.7866844879231</v>
      </c>
    </row>
    <row r="118" spans="1:19" ht="13" x14ac:dyDescent="0.3">
      <c r="A118" s="130"/>
      <c r="G118" s="68"/>
      <c r="H118" s="68"/>
      <c r="I118" s="68"/>
      <c r="J118" s="68"/>
      <c r="K118" s="68"/>
      <c r="L118" s="68"/>
      <c r="M118" s="68"/>
    </row>
    <row r="119" spans="1:19" ht="14" x14ac:dyDescent="0.3">
      <c r="B119" s="665" t="s">
        <v>270</v>
      </c>
      <c r="O119" s="40"/>
      <c r="P119" s="40"/>
      <c r="Q119" s="40"/>
    </row>
    <row r="120" spans="1:19" ht="13" x14ac:dyDescent="0.3">
      <c r="A120" s="130"/>
      <c r="B120" s="353" t="s">
        <v>1465</v>
      </c>
      <c r="G120" s="1078">
        <f ca="1">G105+G106+G107+G117</f>
        <v>11009.0575007933</v>
      </c>
      <c r="H120" s="1078">
        <f t="shared" ref="H120:M120" ca="1" si="28">H105+H106+H107+H117</f>
        <v>11009.0575007933</v>
      </c>
      <c r="I120" s="1078">
        <f t="shared" ca="1" si="28"/>
        <v>11098.998998697509</v>
      </c>
      <c r="J120" s="1078">
        <f t="shared" ca="1" si="28"/>
        <v>11246.009696136083</v>
      </c>
      <c r="K120" s="1078">
        <f t="shared" ca="1" si="28"/>
        <v>11481.926159031183</v>
      </c>
      <c r="L120" s="1078">
        <f t="shared" ca="1" si="28"/>
        <v>11973.429473784279</v>
      </c>
      <c r="M120" s="1078">
        <f t="shared" ca="1" si="28"/>
        <v>13631.35077287252</v>
      </c>
      <c r="N120" s="737"/>
    </row>
    <row r="121" spans="1:19" ht="13" x14ac:dyDescent="0.3">
      <c r="A121" s="130"/>
      <c r="G121" s="48"/>
      <c r="H121" s="48"/>
      <c r="I121" s="48"/>
      <c r="J121" s="48"/>
      <c r="K121" s="48"/>
      <c r="L121" s="48"/>
      <c r="M121" s="48"/>
      <c r="P121" s="40"/>
    </row>
    <row r="122" spans="1:19" ht="13" x14ac:dyDescent="0.3">
      <c r="A122" s="130"/>
      <c r="G122" s="40"/>
      <c r="H122" s="40"/>
      <c r="I122" s="40"/>
      <c r="J122" s="40"/>
      <c r="K122" s="40"/>
      <c r="L122" s="40"/>
      <c r="M122" s="40"/>
    </row>
    <row r="124" spans="1:19" x14ac:dyDescent="0.25">
      <c r="G124" s="40"/>
      <c r="H124" s="40"/>
      <c r="I124" s="40"/>
      <c r="J124" s="40"/>
      <c r="K124" s="40"/>
    </row>
    <row r="125" spans="1:19" x14ac:dyDescent="0.25">
      <c r="G125" s="40"/>
      <c r="H125" s="40"/>
      <c r="I125" s="40"/>
      <c r="J125" s="40"/>
      <c r="K125" s="40"/>
    </row>
    <row r="126" spans="1:19" x14ac:dyDescent="0.25">
      <c r="G126" s="40"/>
      <c r="H126" s="40"/>
      <c r="I126" s="40"/>
      <c r="J126" s="40"/>
      <c r="K126" s="40"/>
    </row>
    <row r="127" spans="1:19" x14ac:dyDescent="0.25">
      <c r="G127" s="40"/>
      <c r="H127" s="40"/>
      <c r="I127" s="40"/>
      <c r="J127" s="40"/>
      <c r="K127" s="40"/>
    </row>
    <row r="128" spans="1:19" x14ac:dyDescent="0.25">
      <c r="G128" s="40"/>
      <c r="H128" s="40"/>
      <c r="I128" s="40"/>
      <c r="J128" s="40"/>
      <c r="K128" s="40"/>
    </row>
    <row r="129" spans="7:11" x14ac:dyDescent="0.25">
      <c r="G129" s="40"/>
      <c r="H129" s="40"/>
      <c r="I129" s="40"/>
      <c r="J129" s="40"/>
      <c r="K129" s="40"/>
    </row>
    <row r="130" spans="7:11" x14ac:dyDescent="0.25">
      <c r="G130" s="40"/>
      <c r="H130" s="40"/>
      <c r="I130" s="40"/>
      <c r="J130" s="40"/>
      <c r="K130" s="40"/>
    </row>
    <row r="131" spans="7:11" x14ac:dyDescent="0.25">
      <c r="G131" s="40"/>
      <c r="H131" s="40"/>
      <c r="I131" s="40"/>
      <c r="J131" s="40"/>
      <c r="K131" s="40"/>
    </row>
    <row r="132" spans="7:11" x14ac:dyDescent="0.25">
      <c r="G132" s="40"/>
      <c r="H132" s="40"/>
      <c r="I132" s="40"/>
      <c r="J132" s="40"/>
      <c r="K132" s="40"/>
    </row>
    <row r="133" spans="7:11" x14ac:dyDescent="0.25">
      <c r="G133" s="40"/>
      <c r="H133" s="40"/>
      <c r="I133" s="40"/>
      <c r="J133" s="40"/>
      <c r="K133" s="40"/>
    </row>
    <row r="134" spans="7:11" x14ac:dyDescent="0.25">
      <c r="G134" s="40"/>
      <c r="H134" s="40"/>
      <c r="I134" s="40"/>
      <c r="J134" s="40"/>
      <c r="K134" s="40"/>
    </row>
    <row r="135" spans="7:11" x14ac:dyDescent="0.25">
      <c r="G135" s="40"/>
      <c r="H135" s="40"/>
      <c r="I135" s="40"/>
      <c r="J135" s="40"/>
      <c r="K135" s="40"/>
    </row>
    <row r="136" spans="7:11" x14ac:dyDescent="0.25">
      <c r="G136" s="40"/>
      <c r="H136" s="40"/>
      <c r="I136" s="40"/>
      <c r="J136" s="40"/>
      <c r="K136" s="40"/>
    </row>
    <row r="137" spans="7:11" x14ac:dyDescent="0.25">
      <c r="G137" s="40"/>
      <c r="H137" s="40"/>
      <c r="I137" s="40"/>
      <c r="J137" s="40"/>
      <c r="K137" s="40"/>
    </row>
    <row r="138" spans="7:11" x14ac:dyDescent="0.25">
      <c r="G138" s="40"/>
      <c r="H138" s="40"/>
      <c r="I138" s="40"/>
      <c r="J138" s="40"/>
      <c r="K138" s="40"/>
    </row>
    <row r="139" spans="7:11" x14ac:dyDescent="0.25">
      <c r="G139" s="40"/>
      <c r="H139" s="40"/>
      <c r="I139" s="40"/>
      <c r="J139" s="40"/>
      <c r="K139" s="40"/>
    </row>
    <row r="140" spans="7:11" x14ac:dyDescent="0.25">
      <c r="G140" s="40"/>
      <c r="H140" s="40"/>
      <c r="I140" s="40"/>
      <c r="J140" s="40"/>
      <c r="K140" s="40"/>
    </row>
    <row r="141" spans="7:11" x14ac:dyDescent="0.25">
      <c r="G141" s="40"/>
      <c r="H141" s="40"/>
      <c r="I141" s="40"/>
      <c r="J141" s="40"/>
      <c r="K141" s="40"/>
    </row>
    <row r="142" spans="7:11" x14ac:dyDescent="0.25">
      <c r="G142" s="40"/>
      <c r="H142" s="40"/>
      <c r="I142" s="40"/>
      <c r="J142" s="40"/>
      <c r="K142" s="40"/>
    </row>
    <row r="143" spans="7:11" x14ac:dyDescent="0.25">
      <c r="G143" s="40"/>
      <c r="H143" s="40"/>
      <c r="I143" s="40"/>
      <c r="J143" s="40"/>
      <c r="K143" s="40"/>
    </row>
    <row r="144" spans="7:11" x14ac:dyDescent="0.25">
      <c r="G144" s="40"/>
      <c r="H144" s="40"/>
      <c r="I144" s="40"/>
      <c r="J144" s="40"/>
      <c r="K144" s="40"/>
    </row>
    <row r="145" spans="7:11" x14ac:dyDescent="0.25">
      <c r="G145" s="40"/>
      <c r="H145" s="40"/>
      <c r="I145" s="40"/>
      <c r="J145" s="40"/>
      <c r="K145" s="40"/>
    </row>
    <row r="146" spans="7:11" x14ac:dyDescent="0.25">
      <c r="G146" s="40"/>
      <c r="H146" s="40"/>
      <c r="I146" s="40"/>
      <c r="J146" s="40"/>
      <c r="K146" s="40"/>
    </row>
    <row r="147" spans="7:11" x14ac:dyDescent="0.25">
      <c r="G147" s="40"/>
      <c r="H147" s="40"/>
      <c r="I147" s="40"/>
      <c r="J147" s="40"/>
      <c r="K147" s="40"/>
    </row>
    <row r="148" spans="7:11" x14ac:dyDescent="0.25">
      <c r="G148" s="40"/>
      <c r="H148" s="40"/>
      <c r="I148" s="40"/>
      <c r="J148" s="40"/>
      <c r="K148" s="40"/>
    </row>
    <row r="149" spans="7:11" x14ac:dyDescent="0.25">
      <c r="G149" s="40"/>
      <c r="H149" s="40"/>
      <c r="I149" s="40"/>
      <c r="J149" s="40"/>
      <c r="K149" s="40"/>
    </row>
    <row r="150" spans="7:11" x14ac:dyDescent="0.25">
      <c r="G150" s="40"/>
      <c r="H150" s="40"/>
      <c r="I150" s="40"/>
      <c r="J150" s="40"/>
      <c r="K150" s="40"/>
    </row>
    <row r="151" spans="7:11" x14ac:dyDescent="0.25">
      <c r="G151" s="40"/>
      <c r="H151" s="40"/>
      <c r="I151" s="40"/>
      <c r="J151" s="40"/>
      <c r="K151" s="40"/>
    </row>
  </sheetData>
  <mergeCells count="13">
    <mergeCell ref="N1:O1"/>
    <mergeCell ref="B1:M1"/>
    <mergeCell ref="B2:M2"/>
    <mergeCell ref="B60:M60"/>
    <mergeCell ref="B45:M45"/>
    <mergeCell ref="B26:M26"/>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59" max="16383" man="1"/>
    <brk id="122" max="16383" man="1"/>
    <brk id="177" min="1" max="12" man="1"/>
    <brk id="237" min="1" max="12" man="1"/>
    <brk id="287" min="1" max="12" man="1"/>
  </rowBreaks>
  <colBreaks count="1" manualBreakCount="1">
    <brk id="13" max="104857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50D1-805F-404F-B01D-49D9DEFC4697}">
  <sheetPr codeName="Sheet26">
    <tabColor rgb="FF33CCFF"/>
  </sheetPr>
  <dimension ref="B1:P765"/>
  <sheetViews>
    <sheetView workbookViewId="0">
      <pane ySplit="6" topLeftCell="A7" activePane="bottomLeft" state="frozen"/>
      <selection pane="bottomLeft"/>
    </sheetView>
  </sheetViews>
  <sheetFormatPr defaultColWidth="8.54296875" defaultRowHeight="12.5" outlineLevelRow="1" x14ac:dyDescent="0.25"/>
  <cols>
    <col min="1" max="1" width="3" customWidth="1"/>
    <col min="2" max="2" width="4.7265625" customWidth="1"/>
    <col min="3" max="3" width="33.54296875" customWidth="1"/>
    <col min="4" max="4" width="25.81640625" customWidth="1"/>
    <col min="6" max="6" width="13.7265625" customWidth="1"/>
    <col min="7" max="13" width="11.81640625" bestFit="1" customWidth="1"/>
    <col min="14" max="14" width="17.453125" bestFit="1" customWidth="1"/>
    <col min="15" max="15" width="18.26953125" bestFit="1" customWidth="1"/>
  </cols>
  <sheetData>
    <row r="1" spans="2:15" ht="18.5" thickBot="1" x14ac:dyDescent="0.45">
      <c r="B1" s="1503" t="s">
        <v>1403</v>
      </c>
      <c r="C1" s="1503"/>
      <c r="D1" s="1503"/>
      <c r="E1" s="1503"/>
      <c r="F1" s="1503"/>
      <c r="G1" s="1503"/>
      <c r="H1" s="1503"/>
      <c r="I1" s="1503"/>
      <c r="J1" s="1503"/>
      <c r="K1" s="1503"/>
      <c r="L1" s="1503"/>
      <c r="M1" s="1503"/>
      <c r="N1" s="1419" t="s">
        <v>6</v>
      </c>
      <c r="O1" s="1420"/>
    </row>
    <row r="2" spans="2:15"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2:15" ht="15.5" x14ac:dyDescent="0.35">
      <c r="B3" s="1445" t="s">
        <v>122</v>
      </c>
      <c r="C3" s="1466"/>
      <c r="D3" s="1466"/>
      <c r="E3" s="1466"/>
      <c r="F3" s="1466"/>
      <c r="G3" s="1466"/>
      <c r="H3" s="1466"/>
      <c r="I3" s="1466"/>
      <c r="J3" s="1466"/>
      <c r="K3" s="1466"/>
      <c r="L3" s="1466"/>
      <c r="M3" s="1467"/>
      <c r="N3" s="1243" t="s">
        <v>12</v>
      </c>
      <c r="O3" s="1242" t="s">
        <v>13</v>
      </c>
    </row>
    <row r="4" spans="2:15" ht="13" x14ac:dyDescent="0.3">
      <c r="B4" s="1447" t="s">
        <v>282</v>
      </c>
      <c r="C4" s="1468"/>
      <c r="D4" s="1468"/>
      <c r="E4" s="1469"/>
      <c r="F4" s="245"/>
      <c r="G4" s="1448" t="s">
        <v>9</v>
      </c>
      <c r="H4" s="1473"/>
      <c r="I4" s="1473"/>
      <c r="J4" s="1473"/>
      <c r="K4" s="1473"/>
      <c r="L4" s="1473"/>
      <c r="M4" s="1474"/>
      <c r="N4" s="1240" t="s">
        <v>14</v>
      </c>
      <c r="O4" s="1242" t="s">
        <v>15</v>
      </c>
    </row>
    <row r="5" spans="2:15" ht="13.5" thickBot="1" x14ac:dyDescent="0.35">
      <c r="B5" s="1450" t="s">
        <v>10</v>
      </c>
      <c r="C5" s="1488"/>
      <c r="D5" s="1488"/>
      <c r="E5" s="1489"/>
      <c r="F5" s="254"/>
      <c r="G5" s="1451" t="s">
        <v>11</v>
      </c>
      <c r="H5" s="1475"/>
      <c r="I5" s="1475"/>
      <c r="J5" s="1475"/>
      <c r="K5" s="1475"/>
      <c r="L5" s="1475"/>
      <c r="M5" s="1476"/>
      <c r="N5" s="1240" t="s">
        <v>17</v>
      </c>
      <c r="O5" s="1246" t="s">
        <v>18</v>
      </c>
    </row>
    <row r="6" spans="2:15" ht="16" thickBot="1" x14ac:dyDescent="0.4">
      <c r="B6" s="28"/>
      <c r="C6" s="28"/>
      <c r="D6" s="28"/>
      <c r="E6" s="28"/>
      <c r="F6" s="28"/>
      <c r="G6" s="443" t="s">
        <v>50</v>
      </c>
      <c r="H6" s="443" t="s">
        <v>51</v>
      </c>
      <c r="I6" s="443" t="s">
        <v>52</v>
      </c>
      <c r="J6" s="443" t="s">
        <v>53</v>
      </c>
      <c r="K6" s="443" t="s">
        <v>54</v>
      </c>
      <c r="L6" s="443" t="s">
        <v>55</v>
      </c>
      <c r="M6" s="443" t="s">
        <v>56</v>
      </c>
      <c r="N6" s="1244" t="s">
        <v>22</v>
      </c>
      <c r="O6" s="1245" t="s">
        <v>23</v>
      </c>
    </row>
    <row r="7" spans="2:15" ht="15.5" x14ac:dyDescent="0.35">
      <c r="B7" s="27" t="s">
        <v>1172</v>
      </c>
      <c r="C7" s="28"/>
      <c r="D7" s="28"/>
      <c r="E7" s="28"/>
      <c r="F7" s="28"/>
      <c r="G7" s="1380"/>
      <c r="H7" s="1380"/>
      <c r="I7" s="1380"/>
      <c r="J7" s="1380"/>
      <c r="K7" s="1380"/>
      <c r="L7" s="1380"/>
      <c r="M7" s="1380"/>
    </row>
    <row r="8" spans="2:15" ht="13" x14ac:dyDescent="0.3">
      <c r="B8" t="s">
        <v>153</v>
      </c>
      <c r="C8" s="130"/>
      <c r="D8" s="130"/>
      <c r="E8" s="130"/>
      <c r="F8" s="130"/>
      <c r="G8" s="85">
        <f>'Battery Design'!G31</f>
        <v>400</v>
      </c>
      <c r="H8" s="85">
        <f>'Battery Design'!H31</f>
        <v>400</v>
      </c>
      <c r="I8" s="85">
        <f>'Battery Design'!I31</f>
        <v>400</v>
      </c>
      <c r="J8" s="85">
        <f>'Battery Design'!J31</f>
        <v>400</v>
      </c>
      <c r="K8" s="85">
        <f>'Battery Design'!K31</f>
        <v>400</v>
      </c>
      <c r="L8" s="85">
        <f>'Battery Design'!L31</f>
        <v>400</v>
      </c>
      <c r="M8" s="85">
        <f>'Battery Design'!M31</f>
        <v>400</v>
      </c>
    </row>
    <row r="9" spans="2:15" ht="13" x14ac:dyDescent="0.3">
      <c r="B9" t="s">
        <v>154</v>
      </c>
      <c r="C9" s="130"/>
      <c r="D9" s="130"/>
      <c r="E9" s="130"/>
      <c r="F9" s="130"/>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25">
      <c r="B10" s="353" t="s">
        <v>1173</v>
      </c>
      <c r="C10" s="353"/>
      <c r="D10" s="353"/>
      <c r="E10" s="353"/>
      <c r="F10" s="210"/>
      <c r="G10" s="87">
        <f>'Battery Design'!G$12</f>
        <v>1</v>
      </c>
      <c r="H10" s="87">
        <f>'Battery Design'!H$12</f>
        <v>1</v>
      </c>
      <c r="I10" s="87">
        <f>'Battery Design'!I$12</f>
        <v>1</v>
      </c>
      <c r="J10" s="87">
        <f>'Battery Design'!J$12</f>
        <v>1</v>
      </c>
      <c r="K10" s="87">
        <f>'Battery Design'!K$12</f>
        <v>1</v>
      </c>
      <c r="L10" s="87">
        <f>'Battery Design'!L$12</f>
        <v>1</v>
      </c>
      <c r="M10" s="87">
        <f>'Battery Design'!M$12</f>
        <v>1</v>
      </c>
    </row>
    <row r="11" spans="2:15" ht="13.5" thickBot="1" x14ac:dyDescent="0.35">
      <c r="C11" s="130"/>
      <c r="D11" s="130"/>
      <c r="E11" s="130"/>
      <c r="F11" s="130"/>
      <c r="G11" s="3"/>
      <c r="H11" s="3"/>
      <c r="I11" s="3"/>
      <c r="J11" s="3"/>
      <c r="K11" s="3"/>
      <c r="L11" s="3"/>
      <c r="M11" s="3"/>
    </row>
    <row r="12" spans="2:15" ht="20.5" thickBot="1" x14ac:dyDescent="0.45">
      <c r="B12" s="1453" t="s">
        <v>1351</v>
      </c>
      <c r="C12" s="1454"/>
      <c r="D12" s="1454"/>
      <c r="E12" s="1454"/>
      <c r="F12" s="1454"/>
      <c r="G12" s="1454"/>
      <c r="H12" s="1454"/>
      <c r="I12" s="1454"/>
      <c r="J12" s="1454"/>
      <c r="K12" s="1454"/>
      <c r="L12" s="1454"/>
      <c r="M12" s="1455"/>
    </row>
    <row r="13" spans="2:15" ht="18" x14ac:dyDescent="0.4">
      <c r="B13" s="657"/>
      <c r="C13" s="657"/>
      <c r="D13" s="657"/>
      <c r="E13" s="657"/>
      <c r="F13" s="657"/>
      <c r="G13" s="657"/>
      <c r="H13" s="657"/>
      <c r="I13" s="657"/>
      <c r="J13" s="657"/>
      <c r="K13" s="657"/>
      <c r="L13" s="657"/>
      <c r="M13" s="657"/>
    </row>
    <row r="14" spans="2:15" ht="14.15" customHeight="1" x14ac:dyDescent="0.25">
      <c r="B14" s="353" t="str">
        <f>'Manufacturing Costs'!B409</f>
        <v>Pack manufacturing strategy: All manufacturing in-house (Default)</v>
      </c>
      <c r="E14" s="628">
        <f>'Manufacturing Costs'!E409</f>
        <v>1</v>
      </c>
      <c r="F14" s="1050" t="s">
        <v>229</v>
      </c>
      <c r="H14" s="132"/>
    </row>
    <row r="15" spans="2:15" x14ac:dyDescent="0.25">
      <c r="E15" s="1086"/>
      <c r="H15" s="132"/>
    </row>
    <row r="16" spans="2:15" x14ac:dyDescent="0.25">
      <c r="B16" s="353" t="str">
        <f>'Manufacturing Costs'!B411</f>
        <v>Pack cost option: Cost to consumer - includes pack profit/warranty (Default)</v>
      </c>
      <c r="E16" s="628">
        <f>'Manufacturing Costs'!E411</f>
        <v>1</v>
      </c>
      <c r="F16" s="353" t="s">
        <v>229</v>
      </c>
      <c r="H16" s="132"/>
    </row>
    <row r="17" spans="2:15" x14ac:dyDescent="0.25">
      <c r="H17" s="132"/>
    </row>
    <row r="18" spans="2:15" ht="13" x14ac:dyDescent="0.3">
      <c r="B18" s="1504" t="s">
        <v>230</v>
      </c>
      <c r="C18" s="1504"/>
      <c r="D18" s="1504"/>
      <c r="E18" s="882" t="s">
        <v>231</v>
      </c>
      <c r="H18" s="132"/>
    </row>
    <row r="19" spans="2:15" ht="13" x14ac:dyDescent="0.3">
      <c r="B19" s="681"/>
      <c r="C19" s="681"/>
      <c r="E19" s="1091"/>
      <c r="H19" s="132"/>
    </row>
    <row r="20" spans="2:15" ht="13" x14ac:dyDescent="0.3">
      <c r="B20" s="353" t="s">
        <v>232</v>
      </c>
      <c r="E20" s="628" t="str">
        <f>'Manufacturing Costs'!E415</f>
        <v/>
      </c>
      <c r="F20" s="130"/>
      <c r="H20" s="132"/>
    </row>
    <row r="21" spans="2:15" ht="13" x14ac:dyDescent="0.3">
      <c r="B21" s="353" t="s">
        <v>233</v>
      </c>
      <c r="E21" s="628" t="str">
        <f>'Manufacturing Costs'!E416</f>
        <v/>
      </c>
      <c r="F21" s="130"/>
      <c r="H21" s="132"/>
    </row>
    <row r="22" spans="2:15" ht="13" x14ac:dyDescent="0.3">
      <c r="B22" s="353" t="s">
        <v>234</v>
      </c>
      <c r="E22" s="628" t="str">
        <f>'Manufacturing Costs'!E417</f>
        <v>x</v>
      </c>
      <c r="F22" s="130"/>
      <c r="H22" s="132"/>
    </row>
    <row r="23" spans="2:15" ht="13" x14ac:dyDescent="0.3">
      <c r="B23" s="353" t="s">
        <v>235</v>
      </c>
      <c r="E23" s="628" t="str">
        <f>'Manufacturing Costs'!E418</f>
        <v>x</v>
      </c>
      <c r="F23" s="130"/>
      <c r="H23" s="132"/>
    </row>
    <row r="24" spans="2:15" ht="13" x14ac:dyDescent="0.3">
      <c r="B24" s="353"/>
      <c r="D24" s="130"/>
      <c r="E24" s="353"/>
      <c r="F24" s="130"/>
      <c r="H24" s="132"/>
    </row>
    <row r="25" spans="2:15" ht="13.5" thickBot="1" x14ac:dyDescent="0.35">
      <c r="C25" s="130"/>
      <c r="D25" s="130"/>
      <c r="E25" s="130"/>
      <c r="F25" s="130"/>
      <c r="G25" s="3"/>
      <c r="H25" s="3"/>
      <c r="I25" s="3"/>
      <c r="J25" s="3"/>
      <c r="K25" s="3"/>
      <c r="L25" s="3"/>
      <c r="M25" s="3"/>
    </row>
    <row r="26" spans="2:15" ht="20.5" thickBot="1" x14ac:dyDescent="0.45">
      <c r="B26" s="1453" t="s">
        <v>1417</v>
      </c>
      <c r="C26" s="1454"/>
      <c r="D26" s="1454"/>
      <c r="E26" s="1454"/>
      <c r="F26" s="1454"/>
      <c r="G26" s="1454"/>
      <c r="H26" s="1454"/>
      <c r="I26" s="1454"/>
      <c r="J26" s="1454"/>
      <c r="K26" s="1454"/>
      <c r="L26" s="1454"/>
      <c r="M26" s="1455"/>
    </row>
    <row r="27" spans="2:15" ht="13" x14ac:dyDescent="0.3">
      <c r="C27" s="130"/>
      <c r="D27" s="130"/>
      <c r="E27" s="130"/>
      <c r="F27" s="130"/>
      <c r="G27" s="3"/>
      <c r="H27" s="3"/>
      <c r="I27" s="3"/>
      <c r="J27" s="3"/>
      <c r="K27" s="3"/>
      <c r="L27" s="3"/>
      <c r="M27" s="3"/>
    </row>
    <row r="28" spans="2:15" ht="15.5" outlineLevel="1" x14ac:dyDescent="0.35">
      <c r="B28" s="6" t="s">
        <v>1466</v>
      </c>
      <c r="C28" s="130"/>
      <c r="D28" s="130"/>
      <c r="E28" s="130"/>
      <c r="F28" s="130"/>
      <c r="G28" s="3"/>
      <c r="H28" s="3"/>
      <c r="I28" s="3"/>
      <c r="J28" s="3"/>
      <c r="K28" s="3"/>
      <c r="L28" s="3"/>
      <c r="M28" s="3"/>
    </row>
    <row r="29" spans="2:15" ht="14" outlineLevel="1" x14ac:dyDescent="0.3">
      <c r="B29" s="665" t="s">
        <v>1446</v>
      </c>
      <c r="C29" s="130"/>
      <c r="D29" s="130"/>
      <c r="E29" s="130"/>
      <c r="F29" s="130"/>
      <c r="G29" s="3"/>
      <c r="H29" s="3"/>
      <c r="I29" s="3"/>
      <c r="J29" s="3"/>
      <c r="K29" s="3"/>
      <c r="L29" s="3"/>
      <c r="M29" s="3"/>
    </row>
    <row r="30" spans="2:15" ht="13" outlineLevel="1" x14ac:dyDescent="0.3">
      <c r="B30" s="353" t="s">
        <v>1467</v>
      </c>
      <c r="C30" s="130"/>
      <c r="D30" s="130"/>
      <c r="E30" s="130"/>
      <c r="F30" s="130"/>
      <c r="G30" s="1297">
        <f ca="1">G$8*'Manufacturing Costs'!G118*(1-Lists!$C$154)*(1-Lists!$D$154)</f>
        <v>3789.9098199701675</v>
      </c>
      <c r="H30" s="1297">
        <f ca="1">H8*'Manufacturing Costs'!H118*(1-Lists!$C$154-Lists!$D$154)</f>
        <v>3789.9098199701675</v>
      </c>
      <c r="I30" s="1297">
        <f ca="1">I8*'Manufacturing Costs'!I118*(1-Lists!$C$154-Lists!$D$154)</f>
        <v>3785.3890168116409</v>
      </c>
      <c r="J30" s="1297">
        <f ca="1">J8*'Manufacturing Costs'!J118*(1-Lists!$C$154-Lists!$D$154)</f>
        <v>3779.8262299605758</v>
      </c>
      <c r="K30" s="1297">
        <f ca="1">K8*'Manufacturing Costs'!K118*(1-Lists!$C$154-Lists!$D$154)</f>
        <v>3773.3983941857673</v>
      </c>
      <c r="L30" s="1297">
        <f ca="1">L8*'Manufacturing Costs'!L118*(1-Lists!$C$154-Lists!$D$154)</f>
        <v>3765.7022342864152</v>
      </c>
      <c r="M30" s="1297">
        <f ca="1">M8*'Manufacturing Costs'!M118*(1-Lists!$C$154-Lists!$D$154)</f>
        <v>3755.553337611404</v>
      </c>
      <c r="O30" s="55"/>
    </row>
    <row r="31" spans="2:15" ht="13" outlineLevel="1" x14ac:dyDescent="0.3">
      <c r="B31" s="353" t="s">
        <v>1468</v>
      </c>
      <c r="C31" s="130"/>
      <c r="D31" s="130"/>
      <c r="E31" s="130"/>
      <c r="F31" s="130"/>
      <c r="G31" s="1297">
        <f ca="1">G$8*'Manufacturing Costs'!G124*(1-Lists!$C$154)*(1-Lists!$D$154)</f>
        <v>988.7920935006548</v>
      </c>
      <c r="H31" s="1297">
        <f ca="1">H$8*'Manufacturing Costs'!H124*(1-Lists!$C$154-Lists!$D$154)</f>
        <v>988.7920935006548</v>
      </c>
      <c r="I31" s="1297">
        <f ca="1">I$8*'Manufacturing Costs'!I124*(1-Lists!$C$154-Lists!$D$154)</f>
        <v>987.38277658494735</v>
      </c>
      <c r="J31" s="1297">
        <f ca="1">J$8*'Manufacturing Costs'!J124*(1-Lists!$C$154-Lists!$D$154)</f>
        <v>985.78005735044133</v>
      </c>
      <c r="K31" s="1297">
        <f ca="1">K$8*'Manufacturing Costs'!K124*(1-Lists!$C$154-Lists!$D$154)</f>
        <v>983.46990634799545</v>
      </c>
      <c r="L31" s="1297">
        <f ca="1">L$8*'Manufacturing Costs'!L124*(1-Lists!$C$154-Lists!$D$154)</f>
        <v>980.72942886142198</v>
      </c>
      <c r="M31" s="1297">
        <f ca="1">M$8*'Manufacturing Costs'!M124*(1-Lists!$C$154-Lists!$D$154)</f>
        <v>975.53545938233697</v>
      </c>
    </row>
    <row r="32" spans="2:15" ht="13" outlineLevel="1" x14ac:dyDescent="0.3">
      <c r="B32" s="353" t="s">
        <v>1469</v>
      </c>
      <c r="C32" s="130"/>
      <c r="D32" s="130"/>
      <c r="E32" s="130"/>
      <c r="F32" s="130"/>
      <c r="G32" s="1297">
        <f ca="1">G$8*('Manufacturing Costs'!G119+'Manufacturing Costs'!G125)*(1-Lists!$C$154)*(1-Lists!$D$154)</f>
        <v>21.257507003037798</v>
      </c>
      <c r="H32" s="1297">
        <f ca="1">H$8*('Manufacturing Costs'!H119+'Manufacturing Costs'!H125)*(1-Lists!$C$154-Lists!$D$154)</f>
        <v>21.257507003037798</v>
      </c>
      <c r="I32" s="1297">
        <f ca="1">I$8*('Manufacturing Costs'!I119+'Manufacturing Costs'!I125)*(1-Lists!$C$154-Lists!$D$154)</f>
        <v>21.232149934039654</v>
      </c>
      <c r="J32" s="1297">
        <f ca="1">J$8*('Manufacturing Costs'!J119+'Manufacturing Costs'!J125)*(1-Lists!$C$154-Lists!$D$154)</f>
        <v>21.200948405227592</v>
      </c>
      <c r="K32" s="1297">
        <f ca="1">K$8*('Manufacturing Costs'!K119+'Manufacturing Costs'!K125)*(1-Lists!$C$154-Lists!$D$154)</f>
        <v>21.164894839182988</v>
      </c>
      <c r="L32" s="1297">
        <f ca="1">L$8*('Manufacturing Costs'!L119+'Manufacturing Costs'!L125)*(1-Lists!$C$154-Lists!$D$154)</f>
        <v>21.121727275644965</v>
      </c>
      <c r="M32" s="1297">
        <f ca="1">M$8*('Manufacturing Costs'!M119+'Manufacturing Costs'!M125)*(1-Lists!$C$154-Lists!$D$154)</f>
        <v>21.064802374422946</v>
      </c>
    </row>
    <row r="33" spans="2:14" ht="13" outlineLevel="1" x14ac:dyDescent="0.3">
      <c r="B33" s="353" t="s">
        <v>1470</v>
      </c>
      <c r="C33" s="130"/>
      <c r="D33" s="130"/>
      <c r="E33" s="130"/>
      <c r="F33" s="130"/>
      <c r="G33" s="1297">
        <f ca="1">G$8*('Manufacturing Costs'!G120+'Manufacturing Costs'!G126)*(1-Lists!$C$154)*(1-Lists!$D$154)</f>
        <v>65.731231200400472</v>
      </c>
      <c r="H33" s="1297">
        <f ca="1">H$8*('Manufacturing Costs'!H120+'Manufacturing Costs'!H126)*(1-Lists!$C$154-Lists!$D$154)</f>
        <v>65.731231200400472</v>
      </c>
      <c r="I33" s="1297">
        <f ca="1">I$8*('Manufacturing Costs'!I120+'Manufacturing Costs'!I126)*(1-Lists!$C$154-Lists!$D$154)</f>
        <v>65.648133054267575</v>
      </c>
      <c r="J33" s="1297">
        <f ca="1">J$8*('Manufacturing Costs'!J120+'Manufacturing Costs'!J126)*(1-Lists!$C$154-Lists!$D$154)</f>
        <v>65.548564079578341</v>
      </c>
      <c r="K33" s="1297">
        <f ca="1">K$8*('Manufacturing Costs'!K120+'Manufacturing Costs'!K126)*(1-Lists!$C$154-Lists!$D$154)</f>
        <v>65.424160499228762</v>
      </c>
      <c r="L33" s="1297">
        <f ca="1">L$8*('Manufacturing Costs'!L120+'Manufacturing Costs'!L126)*(1-Lists!$C$154-Lists!$D$154)</f>
        <v>65.27573046539068</v>
      </c>
      <c r="M33" s="1297">
        <f ca="1">M$8*('Manufacturing Costs'!M120+'Manufacturing Costs'!M126)*(1-Lists!$C$154-Lists!$D$154)</f>
        <v>65.047749157076453</v>
      </c>
    </row>
    <row r="34" spans="2:14" ht="13" outlineLevel="1" x14ac:dyDescent="0.3">
      <c r="B34" s="353" t="s">
        <v>1471</v>
      </c>
      <c r="C34" s="130"/>
      <c r="D34" s="130"/>
      <c r="E34" s="130"/>
      <c r="F34" s="130"/>
      <c r="G34" s="1297">
        <f ca="1">G$8*('Manufacturing Costs'!G121+'Manufacturing Costs'!G127)*(1-Lists!$C$154)*(1-Lists!$D$154)</f>
        <v>124.62972677209594</v>
      </c>
      <c r="H34" s="1297">
        <f ca="1">H$8*('Manufacturing Costs'!H121+'Manufacturing Costs'!H127)*(1-Lists!$C$154)*(1-Lists!$D$154)</f>
        <v>124.62972677209594</v>
      </c>
      <c r="I34" s="1297">
        <f ca="1">I$8*('Manufacturing Costs'!I121+'Manufacturing Costs'!I127)*(1-Lists!$C$154)*(1-Lists!$D$154)</f>
        <v>124.48106189899821</v>
      </c>
      <c r="J34" s="1297">
        <f ca="1">J$8*('Manufacturing Costs'!J121+'Manufacturing Costs'!J127)*(1-Lists!$C$154)*(1-Lists!$D$154)</f>
        <v>124.29813179293436</v>
      </c>
      <c r="K34" s="1297">
        <f ca="1">K$8*('Manufacturing Costs'!K121+'Manufacturing Costs'!K127)*(1-Lists!$C$154)*(1-Lists!$D$154)</f>
        <v>124.08675488572429</v>
      </c>
      <c r="L34" s="1297">
        <f ca="1">L$8*('Manufacturing Costs'!L121+'Manufacturing Costs'!L127)*(1-Lists!$C$154)*(1-Lists!$D$154)</f>
        <v>123.83366962749565</v>
      </c>
      <c r="M34" s="1297">
        <f ca="1">M$8*('Manufacturing Costs'!M121+'Manufacturing Costs'!M127)*(1-Lists!$C$154)*(1-Lists!$D$154)</f>
        <v>123.49992706375967</v>
      </c>
    </row>
    <row r="35" spans="2:14" ht="13" outlineLevel="1" x14ac:dyDescent="0.3">
      <c r="B35" s="353" t="s">
        <v>1472</v>
      </c>
      <c r="C35" s="130"/>
      <c r="D35" s="130"/>
      <c r="E35" s="130"/>
      <c r="F35" s="130"/>
      <c r="G35" s="1297">
        <f ca="1">G$8*'Manufacturing Costs'!G135*(1-Lists!$C$154)*(1-Lists!$D$154)</f>
        <v>46.11508842873338</v>
      </c>
      <c r="H35" s="1297">
        <f ca="1">H$8*'Manufacturing Costs'!H135*(1-Lists!$C$154-Lists!$D$154)</f>
        <v>46.11508842873338</v>
      </c>
      <c r="I35" s="1297">
        <f ca="1">I$8*'Manufacturing Costs'!I135*(1-Lists!$C$154-Lists!$D$154)</f>
        <v>50.992078415318417</v>
      </c>
      <c r="J35" s="1297">
        <f ca="1">J$8*'Manufacturing Costs'!J135*(1-Lists!$C$154-Lists!$D$154)</f>
        <v>58.755965478281048</v>
      </c>
      <c r="K35" s="1297">
        <f ca="1">K$8*'Manufacturing Costs'!K135*(1-Lists!$C$154-Lists!$D$154)</f>
        <v>71.203220236588066</v>
      </c>
      <c r="L35" s="1297">
        <f ca="1">L$8*'Manufacturing Costs'!L135*(1-Lists!$C$154-Lists!$D$154)</f>
        <v>95.999154157232994</v>
      </c>
      <c r="M35" s="1297">
        <f ca="1">M$8*'Manufacturing Costs'!M135*(1-Lists!$C$154-Lists!$D$154)</f>
        <v>178.62217722855638</v>
      </c>
    </row>
    <row r="36" spans="2:14" ht="13" outlineLevel="1" x14ac:dyDescent="0.3">
      <c r="B36" s="353" t="s">
        <v>1473</v>
      </c>
      <c r="C36" s="130"/>
      <c r="D36" s="130"/>
      <c r="E36" s="130"/>
      <c r="F36" s="130"/>
      <c r="G36" s="1297">
        <f ca="1">G$8*'Manufacturing Costs'!G136*(1-Lists!$C$154)*(1-Lists!$D$154)</f>
        <v>295.25804736690071</v>
      </c>
      <c r="H36" s="1297">
        <f ca="1">H$8*'Manufacturing Costs'!H136*(1-Lists!$C$154-Lists!$D$154)</f>
        <v>295.25804736690071</v>
      </c>
      <c r="I36" s="1297">
        <f ca="1">I$8*'Manufacturing Costs'!I136*(1-Lists!$C$154-Lists!$D$154)</f>
        <v>325.57167036066915</v>
      </c>
      <c r="J36" s="1297">
        <f ca="1">J$8*'Manufacturing Costs'!J136*(1-Lists!$C$154-Lists!$D$154)</f>
        <v>373.78870283969172</v>
      </c>
      <c r="K36" s="1297">
        <f ca="1">K$8*'Manufacturing Costs'!K136*(1-Lists!$C$154-Lists!$D$154)</f>
        <v>451.0814907611599</v>
      </c>
      <c r="L36" s="1297">
        <f ca="1">L$8*'Manufacturing Costs'!L136*(1-Lists!$C$154-Lists!$D$154)</f>
        <v>604.87312881092464</v>
      </c>
      <c r="M36" s="1297">
        <f ca="1">M$8*'Manufacturing Costs'!M136*(1-Lists!$C$154-Lists!$D$154)</f>
        <v>1116.0223431393633</v>
      </c>
    </row>
    <row r="37" spans="2:14" ht="13" outlineLevel="1" x14ac:dyDescent="0.3">
      <c r="B37" s="353" t="s">
        <v>1474</v>
      </c>
      <c r="C37" s="130"/>
      <c r="D37" s="130"/>
      <c r="E37" s="130"/>
      <c r="F37" s="130"/>
      <c r="G37" s="1297">
        <f ca="1">G$8*'Manufacturing Costs'!G137*(1-Lists!$C$154)*(1-Lists!$D$154)</f>
        <v>343.33148264669455</v>
      </c>
      <c r="H37" s="1297">
        <f ca="1">H$8*'Manufacturing Costs'!H137*(1-Lists!$C$154-Lists!$D$154)</f>
        <v>343.33148264669455</v>
      </c>
      <c r="I37" s="1297">
        <f ca="1">I$8*'Manufacturing Costs'!I137*(1-Lists!$C$154-Lists!$D$154)</f>
        <v>379.90470422898704</v>
      </c>
      <c r="J37" s="1297">
        <f ca="1">J$8*'Manufacturing Costs'!J137*(1-Lists!$C$154-Lists!$D$154)</f>
        <v>437.57413015952909</v>
      </c>
      <c r="K37" s="1297">
        <f ca="1">K$8*'Manufacturing Costs'!K137*(1-Lists!$C$154-Lists!$D$154)</f>
        <v>531.37743891422269</v>
      </c>
      <c r="L37" s="1297">
        <f ca="1">L$8*'Manufacturing Costs'!L137*(1-Lists!$C$154-Lists!$D$154)</f>
        <v>716.85249976379953</v>
      </c>
      <c r="M37" s="1297">
        <f ca="1">M$8*'Manufacturing Costs'!M137*(1-Lists!$C$154-Lists!$D$154)</f>
        <v>1339.5993720652586</v>
      </c>
    </row>
    <row r="38" spans="2:14" ht="13" outlineLevel="1" x14ac:dyDescent="0.3">
      <c r="B38" s="353" t="s">
        <v>1475</v>
      </c>
      <c r="C38" s="130"/>
      <c r="D38" s="130"/>
      <c r="E38" s="130"/>
      <c r="F38" s="130"/>
      <c r="G38" s="1297">
        <f ca="1">G$8*'Manufacturing Costs'!G138*(1-Lists!$C$154)*(1-Lists!$D$154)</f>
        <v>301.44854650822174</v>
      </c>
      <c r="H38" s="1297">
        <f ca="1">H$8*'Manufacturing Costs'!H138*(1-Lists!$C$154-Lists!$D$154)</f>
        <v>301.44854650822174</v>
      </c>
      <c r="I38" s="1297">
        <f ca="1">I$8*'Manufacturing Costs'!I138*(1-Lists!$C$154-Lists!$D$154)</f>
        <v>304.33127730000831</v>
      </c>
      <c r="J38" s="1297">
        <f ca="1">J$8*'Manufacturing Costs'!J138*(1-Lists!$C$154-Lists!$D$154)</f>
        <v>309.01492671886041</v>
      </c>
      <c r="K38" s="1297">
        <f ca="1">K$8*'Manufacturing Costs'!K138*(1-Lists!$C$154-Lists!$D$154)</f>
        <v>316.77391941133305</v>
      </c>
      <c r="L38" s="1297">
        <f ca="1">L$8*'Manufacturing Costs'!L138*(1-Lists!$C$154-Lists!$D$154)</f>
        <v>332.53948910542795</v>
      </c>
      <c r="M38" s="1297">
        <f ca="1">M$8*'Manufacturing Costs'!M138*(1-Lists!$C$154-Lists!$D$154)</f>
        <v>386.60773669241439</v>
      </c>
    </row>
    <row r="39" spans="2:14" ht="13" outlineLevel="1" x14ac:dyDescent="0.3">
      <c r="B39" s="353" t="s">
        <v>1476</v>
      </c>
      <c r="C39" s="130"/>
      <c r="D39" s="130"/>
      <c r="E39" s="130"/>
      <c r="F39" s="130"/>
      <c r="G39" s="1297">
        <f ca="1">G$8*SUM('Manufacturing Costs'!G130:G132)*(1-Lists!$C$154)*(1-Lists!$D$154)</f>
        <v>0</v>
      </c>
      <c r="H39" s="1297">
        <f ca="1">H$8*SUM('Manufacturing Costs'!H130:H132)*(1-Lists!$C$154-Lists!$D$154)</f>
        <v>0</v>
      </c>
      <c r="I39" s="1297">
        <f ca="1">I$8*SUM('Manufacturing Costs'!I130:I132)*(1-Lists!$C$154-Lists!$D$154)</f>
        <v>0</v>
      </c>
      <c r="J39" s="1297">
        <f ca="1">J$8*SUM('Manufacturing Costs'!J130:J132)*(1-Lists!$C$154-Lists!$D$154)</f>
        <v>0</v>
      </c>
      <c r="K39" s="1297">
        <f ca="1">K$8*SUM('Manufacturing Costs'!K130:K132)*(1-Lists!$C$154-Lists!$D$154)</f>
        <v>0</v>
      </c>
      <c r="L39" s="1297">
        <f ca="1">L$8*SUM('Manufacturing Costs'!L130:L132)*(1-Lists!$C$154-Lists!$D$154)</f>
        <v>0</v>
      </c>
      <c r="M39" s="1297">
        <f ca="1">M$8*SUM('Manufacturing Costs'!M130:M132)*(1-Lists!$C$154-Lists!$D$154)</f>
        <v>0</v>
      </c>
    </row>
    <row r="40" spans="2:14" ht="13" outlineLevel="1" x14ac:dyDescent="0.3">
      <c r="B40" s="353" t="s">
        <v>1477</v>
      </c>
      <c r="C40" s="132"/>
      <c r="D40" s="353"/>
      <c r="E40" s="353"/>
      <c r="F40" s="511"/>
      <c r="G40" s="1079">
        <f t="shared" ref="G40:M40" ca="1" si="0">SUM(G30:G39)</f>
        <v>5976.4735433969072</v>
      </c>
      <c r="H40" s="1079">
        <f t="shared" ca="1" si="0"/>
        <v>5976.4735433969072</v>
      </c>
      <c r="I40" s="1079">
        <f t="shared" ca="1" si="0"/>
        <v>6044.9328685888768</v>
      </c>
      <c r="J40" s="1079">
        <f t="shared" ca="1" si="0"/>
        <v>6155.7876567851199</v>
      </c>
      <c r="K40" s="1079">
        <f t="shared" ca="1" si="0"/>
        <v>6337.980180081202</v>
      </c>
      <c r="L40" s="1079">
        <f t="shared" ca="1" si="0"/>
        <v>6706.9270623537523</v>
      </c>
      <c r="M40" s="1079">
        <f t="shared" ca="1" si="0"/>
        <v>7961.5529047145938</v>
      </c>
      <c r="N40" s="737"/>
    </row>
    <row r="41" spans="2:14" ht="13" outlineLevel="1" x14ac:dyDescent="0.3">
      <c r="B41" s="353"/>
      <c r="C41" s="132"/>
      <c r="D41" s="353"/>
      <c r="E41" s="353"/>
      <c r="F41" s="511"/>
      <c r="G41" s="1079"/>
      <c r="H41" s="1079"/>
      <c r="I41" s="1079"/>
      <c r="J41" s="1079"/>
      <c r="K41" s="1079"/>
      <c r="L41" s="1079"/>
      <c r="M41" s="1079"/>
      <c r="N41" s="737"/>
    </row>
    <row r="42" spans="2:14" ht="14" outlineLevel="1" x14ac:dyDescent="0.3">
      <c r="B42" s="665" t="s">
        <v>1478</v>
      </c>
      <c r="C42" s="132"/>
      <c r="D42" s="353"/>
      <c r="E42" s="353"/>
      <c r="F42" s="511"/>
      <c r="G42" s="1079"/>
      <c r="H42" s="1079"/>
      <c r="I42" s="1079"/>
      <c r="J42" s="1079"/>
      <c r="K42" s="1079"/>
      <c r="L42" s="1079"/>
      <c r="M42" s="1079"/>
      <c r="N42" s="737"/>
    </row>
    <row r="43" spans="2:14" ht="13" outlineLevel="1" x14ac:dyDescent="0.3">
      <c r="B43" s="1359" t="s">
        <v>1412</v>
      </c>
      <c r="C43" s="130"/>
      <c r="D43" s="130"/>
      <c r="E43" s="130"/>
      <c r="F43" s="130"/>
    </row>
    <row r="44" spans="2:14" ht="13" outlineLevel="1" x14ac:dyDescent="0.3">
      <c r="B44" s="9" t="s">
        <v>1479</v>
      </c>
      <c r="C44" s="130"/>
      <c r="D44" s="130"/>
      <c r="E44" s="130"/>
      <c r="F44" s="130"/>
      <c r="G44" s="1297">
        <f ca="1">G$8*'Manufacturing Costs'!G139*(1-Lists!$C$154)*(1-Lists!$D$154)</f>
        <v>39.517713347879521</v>
      </c>
      <c r="H44" s="1297">
        <f ca="1">H$8*'Manufacturing Costs'!H139*(1-Lists!$C$154)*(1-Lists!$D$154)</f>
        <v>39.517713347879521</v>
      </c>
      <c r="I44" s="1297">
        <f ca="1">I$8*'Manufacturing Costs'!I139*(1-Lists!$C$154)*(1-Lists!$D$154)</f>
        <v>39.529365921250495</v>
      </c>
      <c r="J44" s="1297">
        <f ca="1">J$8*'Manufacturing Costs'!J139*(1-Lists!$C$154)*(1-Lists!$D$154)</f>
        <v>39.573562001663589</v>
      </c>
      <c r="K44" s="1297">
        <f ca="1">K$8*'Manufacturing Costs'!K139*(1-Lists!$C$154)*(1-Lists!$D$154)</f>
        <v>39.599822706272541</v>
      </c>
      <c r="L44" s="1297">
        <f ca="1">L$8*'Manufacturing Costs'!L139*(1-Lists!$C$154)*(1-Lists!$D$154)</f>
        <v>39.713030265487959</v>
      </c>
      <c r="M44" s="1297">
        <f ca="1">M$8*'Manufacturing Costs'!M139*(1-Lists!$C$154)*(1-Lists!$D$154)</f>
        <v>40.036856117374221</v>
      </c>
    </row>
    <row r="45" spans="2:14" ht="13" outlineLevel="1" x14ac:dyDescent="0.3">
      <c r="B45" s="9" t="s">
        <v>1480</v>
      </c>
      <c r="C45" s="130"/>
      <c r="D45" s="130"/>
      <c r="E45" s="130"/>
      <c r="F45" s="130"/>
      <c r="G45" s="1297">
        <f ca="1">G$8*'Manufacturing Costs'!G140*(1-Lists!$C$154)*(1-Lists!$D$154)</f>
        <v>79.969316890956904</v>
      </c>
      <c r="H45" s="1297">
        <f ca="1">H$8*'Manufacturing Costs'!H140*(1-Lists!$C$154)*(1-Lists!$D$154)</f>
        <v>79.969316890956904</v>
      </c>
      <c r="I45" s="1297">
        <f ca="1">I$8*'Manufacturing Costs'!I140*(1-Lists!$C$154)*(1-Lists!$D$154)</f>
        <v>80.061930219769707</v>
      </c>
      <c r="J45" s="1297">
        <f ca="1">J$8*'Manufacturing Costs'!J140*(1-Lists!$C$154)*(1-Lists!$D$154)</f>
        <v>80.413195643915117</v>
      </c>
      <c r="K45" s="1297">
        <f ca="1">K$8*'Manufacturing Costs'!K140*(1-Lists!$C$154)*(1-Lists!$D$154)</f>
        <v>80.621912739562404</v>
      </c>
      <c r="L45" s="1297">
        <f ca="1">L$8*'Manufacturing Costs'!L140*(1-Lists!$C$154)*(1-Lists!$D$154)</f>
        <v>81.521673553928167</v>
      </c>
      <c r="M45" s="1297">
        <f ca="1">M$8*'Manufacturing Costs'!M140*(1-Lists!$C$154)*(1-Lists!$D$154)</f>
        <v>84.095404621227715</v>
      </c>
    </row>
    <row r="46" spans="2:14" ht="13" outlineLevel="1" x14ac:dyDescent="0.3">
      <c r="B46" s="61" t="s">
        <v>1481</v>
      </c>
      <c r="C46" s="130"/>
      <c r="D46" s="130"/>
      <c r="E46" s="130"/>
      <c r="F46" s="130"/>
      <c r="G46" s="1297">
        <f ca="1">G$8*'Manufacturing Costs'!G141*(1-Lists!$C$154)*(1-Lists!$D$154)</f>
        <v>104.95037118234617</v>
      </c>
      <c r="H46" s="1297">
        <f ca="1">H$8*'Manufacturing Costs'!H141*(1-Lists!$C$154)*(1-Lists!$D$154)</f>
        <v>104.95037118234617</v>
      </c>
      <c r="I46" s="1297">
        <f ca="1">I$8*'Manufacturing Costs'!I141*(1-Lists!$C$154)*(1-Lists!$D$154)</f>
        <v>105.10525629674166</v>
      </c>
      <c r="J46" s="1297">
        <f ca="1">J$8*'Manufacturing Costs'!J141*(1-Lists!$C$154)*(1-Lists!$D$154)</f>
        <v>105.27496302812678</v>
      </c>
      <c r="K46" s="1297">
        <f ca="1">K$8*'Manufacturing Costs'!K141*(1-Lists!$C$154)*(1-Lists!$D$154)</f>
        <v>105.71049566689257</v>
      </c>
      <c r="L46" s="1297">
        <f ca="1">L$8*'Manufacturing Costs'!L141*(1-Lists!$C$154)*(1-Lists!$D$154)</f>
        <v>106.3905758884444</v>
      </c>
      <c r="M46" s="1297">
        <f ca="1">M$8*'Manufacturing Costs'!M141*(1-Lists!$C$154)*(1-Lists!$D$154)</f>
        <v>108.87964256284937</v>
      </c>
    </row>
    <row r="47" spans="2:14" ht="13" outlineLevel="1" x14ac:dyDescent="0.3">
      <c r="B47" s="61" t="s">
        <v>1482</v>
      </c>
      <c r="C47" s="130"/>
      <c r="D47" s="130"/>
      <c r="E47" s="130"/>
      <c r="F47" s="130"/>
      <c r="G47" s="1297">
        <f ca="1">SUM(G44:G46)</f>
        <v>224.43740142118259</v>
      </c>
      <c r="H47" s="1297">
        <f t="shared" ref="H47:M47" ca="1" si="1">SUM(H44:H46)</f>
        <v>224.43740142118259</v>
      </c>
      <c r="I47" s="1297">
        <f t="shared" ca="1" si="1"/>
        <v>224.69655243776185</v>
      </c>
      <c r="J47" s="1297">
        <f t="shared" ca="1" si="1"/>
        <v>225.2617206737055</v>
      </c>
      <c r="K47" s="1297">
        <f t="shared" ca="1" si="1"/>
        <v>225.93223111272752</v>
      </c>
      <c r="L47" s="1297">
        <f t="shared" ca="1" si="1"/>
        <v>227.62527970786053</v>
      </c>
      <c r="M47" s="1297">
        <f t="shared" ca="1" si="1"/>
        <v>233.0119033014513</v>
      </c>
    </row>
    <row r="48" spans="2:14" ht="13" outlineLevel="1" x14ac:dyDescent="0.3">
      <c r="B48" s="9"/>
      <c r="C48" s="130"/>
      <c r="D48" s="130"/>
      <c r="E48" s="130"/>
      <c r="F48" s="130"/>
      <c r="G48" s="1297"/>
      <c r="H48" s="1297"/>
      <c r="I48" s="1297"/>
      <c r="J48" s="1297"/>
      <c r="K48" s="1297"/>
      <c r="L48" s="1297"/>
      <c r="M48" s="1297"/>
    </row>
    <row r="49" spans="2:14" ht="13" outlineLevel="1" x14ac:dyDescent="0.3">
      <c r="B49" s="1360" t="s">
        <v>1413</v>
      </c>
      <c r="C49" s="130"/>
      <c r="D49" s="130"/>
      <c r="E49" s="130"/>
      <c r="F49" s="130"/>
      <c r="N49" s="737"/>
    </row>
    <row r="50" spans="2:14" ht="13" outlineLevel="1" x14ac:dyDescent="0.3">
      <c r="B50" s="355" t="s">
        <v>1483</v>
      </c>
      <c r="C50" s="130"/>
      <c r="D50" s="130"/>
      <c r="E50" s="130"/>
      <c r="F50" s="130"/>
      <c r="G50" s="1297">
        <f ca="1">Lists!$C$154*'Manufacturing Costs'!G448*(1-Lists!$D$154)</f>
        <v>0</v>
      </c>
      <c r="H50" s="1297">
        <f ca="1">Lists!$C$154*'Manufacturing Costs'!H448*(1-Lists!$D$154)</f>
        <v>0</v>
      </c>
      <c r="I50" s="1297">
        <f ca="1">Lists!$C$154*'Manufacturing Costs'!I448*(1-Lists!$D$154)</f>
        <v>0</v>
      </c>
      <c r="J50" s="1297">
        <f ca="1">Lists!$C$154*'Manufacturing Costs'!J448*(1-Lists!$D$154)</f>
        <v>0</v>
      </c>
      <c r="K50" s="1297">
        <f ca="1">Lists!$C$154*'Manufacturing Costs'!K448*(1-Lists!$D$154)</f>
        <v>0</v>
      </c>
      <c r="L50" s="1297">
        <f ca="1">Lists!$C$154*'Manufacturing Costs'!L448*(1-Lists!$D$154)</f>
        <v>0</v>
      </c>
      <c r="M50" s="1297">
        <f ca="1">Lists!$C$154*'Manufacturing Costs'!M448*(1-Lists!$D$154)</f>
        <v>0</v>
      </c>
      <c r="N50" s="737"/>
    </row>
    <row r="51" spans="2:14" ht="13" outlineLevel="1" x14ac:dyDescent="0.3">
      <c r="B51" s="61" t="s">
        <v>1484</v>
      </c>
      <c r="C51" s="130"/>
      <c r="D51" s="130"/>
      <c r="E51" s="130"/>
      <c r="F51" s="130"/>
      <c r="G51" s="1297">
        <f ca="1">G$9*'Manufacturing Costs'!G146*(1-Lists!$D$154)</f>
        <v>84.461125067196079</v>
      </c>
      <c r="H51" s="1297">
        <f ca="1">H$9*'Manufacturing Costs'!H146*(1-Lists!$D$154)</f>
        <v>84.461125067196079</v>
      </c>
      <c r="I51" s="1297">
        <f ca="1">I$9*'Manufacturing Costs'!I146*(1-Lists!$D$154)</f>
        <v>84.664651651250651</v>
      </c>
      <c r="J51" s="1297">
        <f ca="1">J$9*'Manufacturing Costs'!J146*(1-Lists!$D$154)</f>
        <v>84.869857443278192</v>
      </c>
      <c r="K51" s="1297">
        <f ca="1">K$9*'Manufacturing Costs'!K146*(1-Lists!$D$154)</f>
        <v>85.445044363652841</v>
      </c>
      <c r="L51" s="1297">
        <f ca="1">L$9*'Manufacturing Costs'!L146*(1-Lists!$D$154)</f>
        <v>86.303007767044988</v>
      </c>
      <c r="M51" s="1297">
        <f ca="1">M$9*'Manufacturing Costs'!M146*(1-Lists!$D$154)</f>
        <v>89.487453910073143</v>
      </c>
      <c r="N51" s="737"/>
    </row>
    <row r="52" spans="2:14" ht="13" outlineLevel="1" x14ac:dyDescent="0.3">
      <c r="B52" s="90" t="s">
        <v>1485</v>
      </c>
      <c r="C52" s="130"/>
      <c r="D52" s="130"/>
      <c r="E52" s="130"/>
      <c r="F52" s="130"/>
      <c r="G52" s="1297">
        <f ca="1">G$9*'Manufacturing Costs'!G147*(1-Lists!$D$154)</f>
        <v>481.81492895571716</v>
      </c>
      <c r="H52" s="1297">
        <f ca="1">H$9*'Manufacturing Costs'!H147*(1-Lists!$D$154)</f>
        <v>481.81492895571716</v>
      </c>
      <c r="I52" s="1297">
        <f ca="1">I$9*'Manufacturing Costs'!I147*(1-Lists!$D$154)</f>
        <v>481.71733581846399</v>
      </c>
      <c r="J52" s="1297">
        <f ca="1">J$9*'Manufacturing Costs'!J147*(1-Lists!$D$154)</f>
        <v>481.59724878931684</v>
      </c>
      <c r="K52" s="1297">
        <f ca="1">K$9*'Manufacturing Costs'!K147*(1-Lists!$D$154)</f>
        <v>481.45848745930209</v>
      </c>
      <c r="L52" s="1297">
        <f ca="1">L$9*'Manufacturing Costs'!L147*(1-Lists!$D$154)</f>
        <v>481.2923460983443</v>
      </c>
      <c r="M52" s="1297">
        <f ca="1">M$9*'Manufacturing Costs'!M147*(1-Lists!$D$154)</f>
        <v>481.07325611998391</v>
      </c>
      <c r="N52" s="737"/>
    </row>
    <row r="53" spans="2:14" ht="13" outlineLevel="1" x14ac:dyDescent="0.3">
      <c r="B53" s="353" t="s">
        <v>1486</v>
      </c>
      <c r="C53" s="130"/>
      <c r="D53" s="130"/>
      <c r="E53" s="130"/>
      <c r="F53" s="130"/>
      <c r="G53" s="1297">
        <f ca="1">G$9*'Manufacturing Costs'!G148*(1-Lists!$D$154)</f>
        <v>82.130714959936853</v>
      </c>
      <c r="H53" s="1297">
        <f ca="1">H$9*'Manufacturing Costs'!H148*(1-Lists!$D$154)</f>
        <v>82.130714959936853</v>
      </c>
      <c r="I53" s="1297">
        <f ca="1">I$9*'Manufacturing Costs'!I148*(1-Lists!$D$154)</f>
        <v>82.014643268726815</v>
      </c>
      <c r="J53" s="1297">
        <f ca="1">J$9*'Manufacturing Costs'!J148*(1-Lists!$D$154)</f>
        <v>82.228230497655971</v>
      </c>
      <c r="K53" s="1297">
        <f ca="1">K$9*'Manufacturing Costs'!K148*(1-Lists!$D$154)</f>
        <v>81.847902533008778</v>
      </c>
      <c r="L53" s="1297">
        <f ca="1">L$9*'Manufacturing Costs'!L148*(1-Lists!$D$154)</f>
        <v>82.032482163103154</v>
      </c>
      <c r="M53" s="1297">
        <f ca="1">M$9*'Manufacturing Costs'!M148*(1-Lists!$D$154)</f>
        <v>81.900743836600057</v>
      </c>
      <c r="N53" s="737"/>
    </row>
    <row r="54" spans="2:14" ht="13" outlineLevel="1" x14ac:dyDescent="0.3">
      <c r="B54" s="1051" t="s">
        <v>1487</v>
      </c>
      <c r="C54" s="130"/>
      <c r="D54" s="130"/>
      <c r="E54" s="130"/>
      <c r="F54" s="130"/>
      <c r="G54" s="1297">
        <f ca="1">G$9*'Manufacturing Costs'!G149*(1-Lists!$D$154)</f>
        <v>17.789507898822347</v>
      </c>
      <c r="H54" s="1297">
        <f ca="1">H$9*'Manufacturing Costs'!H149*(1-Lists!$D$154)</f>
        <v>17.789507898822347</v>
      </c>
      <c r="I54" s="1297">
        <f ca="1">I$9*'Manufacturing Costs'!I149*(1-Lists!$D$154)</f>
        <v>17.813915432534007</v>
      </c>
      <c r="J54" s="1297">
        <f ca="1">J$9*'Manufacturing Costs'!J149*(1-Lists!$D$154)</f>
        <v>17.907349236853911</v>
      </c>
      <c r="K54" s="1297">
        <f ca="1">K$9*'Manufacturing Costs'!K149*(1-Lists!$D$154)</f>
        <v>17.962388127399414</v>
      </c>
      <c r="L54" s="1297">
        <f ca="1">L$9*'Manufacturing Costs'!L149*(1-Lists!$D$154)</f>
        <v>18.201207468507022</v>
      </c>
      <c r="M54" s="1297">
        <f ca="1">M$9*'Manufacturing Costs'!M149*(1-Lists!$D$154)</f>
        <v>18.884332694933036</v>
      </c>
      <c r="N54" s="737"/>
    </row>
    <row r="55" spans="2:14" ht="13" outlineLevel="1" x14ac:dyDescent="0.3">
      <c r="B55" s="353" t="s">
        <v>1488</v>
      </c>
      <c r="C55" s="130"/>
      <c r="D55" s="130"/>
      <c r="E55" s="130"/>
      <c r="F55" s="130"/>
      <c r="G55" s="1297">
        <f ca="1">G$9*'Manufacturing Costs'!G150*(1-Lists!$D$154)</f>
        <v>15.749697904435557</v>
      </c>
      <c r="H55" s="1297">
        <f ca="1">H$9*'Manufacturing Costs'!H150*(1-Lists!$D$154)</f>
        <v>15.749697904435557</v>
      </c>
      <c r="I55" s="1297">
        <f ca="1">I$9*'Manufacturing Costs'!I150*(1-Lists!$D$154)</f>
        <v>15.749697904435557</v>
      </c>
      <c r="J55" s="1297">
        <f ca="1">J$9*'Manufacturing Costs'!J150*(1-Lists!$D$154)</f>
        <v>15.749697904435557</v>
      </c>
      <c r="K55" s="1297">
        <f ca="1">K$9*'Manufacturing Costs'!K150*(1-Lists!$D$154)</f>
        <v>15.749697904435557</v>
      </c>
      <c r="L55" s="1297">
        <f ca="1">L$9*'Manufacturing Costs'!L150*(1-Lists!$D$154)</f>
        <v>15.749697904435557</v>
      </c>
      <c r="M55" s="1297">
        <f ca="1">M$9*'Manufacturing Costs'!M150*(1-Lists!$D$154)</f>
        <v>15.749697904435557</v>
      </c>
      <c r="N55" s="737"/>
    </row>
    <row r="56" spans="2:14" ht="13" outlineLevel="1" x14ac:dyDescent="0.3">
      <c r="B56" s="9" t="s">
        <v>1489</v>
      </c>
      <c r="C56" s="130"/>
      <c r="D56" s="130"/>
      <c r="E56" s="130"/>
      <c r="F56" s="130"/>
      <c r="G56" s="1297">
        <f ca="1">G$9*'Manufacturing Costs'!G151*(1-Lists!$D$154)</f>
        <v>47.115849925144332</v>
      </c>
      <c r="H56" s="1297">
        <f ca="1">H$9*'Manufacturing Costs'!H151*(1-Lists!$D$154)</f>
        <v>47.115849925144332</v>
      </c>
      <c r="I56" s="1297">
        <f ca="1">I$9*'Manufacturing Costs'!I151*(1-Lists!$D$154)</f>
        <v>47.187718540606355</v>
      </c>
      <c r="J56" s="1297">
        <f ca="1">J$9*'Manufacturing Costs'!J151*(1-Lists!$D$154)</f>
        <v>47.533730596265457</v>
      </c>
      <c r="K56" s="1297">
        <f ca="1">K$9*'Manufacturing Costs'!K151*(1-Lists!$D$154)</f>
        <v>47.685830510018725</v>
      </c>
      <c r="L56" s="1297">
        <f ca="1">L$9*'Manufacturing Costs'!L151*(1-Lists!$D$154)</f>
        <v>48.534752683092215</v>
      </c>
      <c r="M56" s="1297">
        <f ca="1">M$9*'Manufacturing Costs'!M151*(1-Lists!$D$154)</f>
        <v>50.924819704061733</v>
      </c>
      <c r="N56" s="737"/>
    </row>
    <row r="57" spans="2:14" ht="13" outlineLevel="1" x14ac:dyDescent="0.3">
      <c r="B57" s="353" t="s">
        <v>1490</v>
      </c>
      <c r="C57" s="130"/>
      <c r="D57" s="130"/>
      <c r="E57" s="130"/>
      <c r="F57" s="130"/>
      <c r="G57" s="1297">
        <f>G$9*'Manufacturing Costs'!G152*(1-Lists!$D$154)</f>
        <v>10</v>
      </c>
      <c r="H57" s="1297">
        <f>H$9*'Manufacturing Costs'!H152*(1-Lists!$D$154)</f>
        <v>10</v>
      </c>
      <c r="I57" s="1297">
        <f>I$9*'Manufacturing Costs'!I152*(1-Lists!$D$154)</f>
        <v>10</v>
      </c>
      <c r="J57" s="1297">
        <f>J$9*'Manufacturing Costs'!J152*(1-Lists!$D$154)</f>
        <v>10</v>
      </c>
      <c r="K57" s="1297">
        <f>K$9*'Manufacturing Costs'!K152*(1-Lists!$D$154)</f>
        <v>10</v>
      </c>
      <c r="L57" s="1297">
        <f>L$9*'Manufacturing Costs'!L152*(1-Lists!$D$154)</f>
        <v>10</v>
      </c>
      <c r="M57" s="1297">
        <f>M$9*'Manufacturing Costs'!M152*(1-Lists!$D$154)</f>
        <v>10</v>
      </c>
      <c r="N57" s="737"/>
    </row>
    <row r="58" spans="2:14" ht="13" outlineLevel="1" x14ac:dyDescent="0.3">
      <c r="B58" s="355" t="s">
        <v>1491</v>
      </c>
      <c r="C58" s="130"/>
      <c r="D58" s="130"/>
      <c r="E58" s="130"/>
      <c r="F58" s="130"/>
      <c r="G58" s="1297">
        <f ca="1">SUM(G50:G57)</f>
        <v>739.06182471125237</v>
      </c>
      <c r="H58" s="1297">
        <f t="shared" ref="H58:M58" ca="1" si="2">SUM(H50:H57)</f>
        <v>739.06182471125237</v>
      </c>
      <c r="I58" s="1297">
        <f t="shared" ca="1" si="2"/>
        <v>739.14796261601748</v>
      </c>
      <c r="J58" s="1297">
        <f t="shared" ca="1" si="2"/>
        <v>739.88611446780601</v>
      </c>
      <c r="K58" s="1297">
        <f t="shared" ca="1" si="2"/>
        <v>740.1493508978175</v>
      </c>
      <c r="L58" s="1297">
        <f t="shared" ca="1" si="2"/>
        <v>742.11349408452725</v>
      </c>
      <c r="M58" s="1297">
        <f t="shared" ca="1" si="2"/>
        <v>748.02030417008757</v>
      </c>
      <c r="N58" s="737"/>
    </row>
    <row r="59" spans="2:14" ht="13" outlineLevel="1" x14ac:dyDescent="0.3">
      <c r="B59" s="355"/>
      <c r="C59" s="130"/>
      <c r="D59" s="130"/>
      <c r="E59" s="130"/>
      <c r="F59" s="130"/>
      <c r="N59" s="737"/>
    </row>
    <row r="60" spans="2:14" ht="13" outlineLevel="1" x14ac:dyDescent="0.3">
      <c r="B60" s="1360" t="s">
        <v>1414</v>
      </c>
      <c r="C60" s="130"/>
      <c r="D60" s="130"/>
      <c r="E60" s="130"/>
      <c r="F60" s="130"/>
      <c r="G60" s="1297"/>
      <c r="H60" s="1297"/>
      <c r="I60" s="1297"/>
      <c r="J60" s="1297"/>
      <c r="K60" s="1297"/>
      <c r="L60" s="1297"/>
      <c r="M60" s="1297"/>
      <c r="N60" s="737"/>
    </row>
    <row r="61" spans="2:14" ht="13" outlineLevel="1" x14ac:dyDescent="0.3">
      <c r="B61" s="355" t="s">
        <v>1492</v>
      </c>
      <c r="C61" s="130"/>
      <c r="D61" s="130"/>
      <c r="E61" s="130"/>
      <c r="F61" s="130"/>
      <c r="G61" s="1297">
        <f ca="1">Lists!$D$154*'Manufacturing Costs'!G478</f>
        <v>0</v>
      </c>
      <c r="H61" s="1297">
        <f ca="1">Lists!$D$154*'Manufacturing Costs'!H478</f>
        <v>0</v>
      </c>
      <c r="I61" s="1297">
        <f ca="1">Lists!$D$154*'Manufacturing Costs'!I478</f>
        <v>0</v>
      </c>
      <c r="J61" s="1297">
        <f ca="1">Lists!$D$154*'Manufacturing Costs'!J478</f>
        <v>0</v>
      </c>
      <c r="K61" s="1297">
        <f ca="1">Lists!$D$154*'Manufacturing Costs'!K478</f>
        <v>0</v>
      </c>
      <c r="L61" s="1297">
        <f ca="1">Lists!$D$154*'Manufacturing Costs'!L478</f>
        <v>0</v>
      </c>
      <c r="M61" s="1297">
        <f ca="1">Lists!$D$154*'Manufacturing Costs'!M478</f>
        <v>0</v>
      </c>
      <c r="N61" s="737"/>
    </row>
    <row r="62" spans="2:14" ht="13" outlineLevel="1" x14ac:dyDescent="0.3">
      <c r="B62" s="1051" t="s">
        <v>1493</v>
      </c>
      <c r="C62" s="130"/>
      <c r="D62" s="130"/>
      <c r="E62" s="130"/>
      <c r="F62" s="130"/>
      <c r="G62" s="1297">
        <f ca="1">'Manufacturing Costs'!G156</f>
        <v>63.08264120601266</v>
      </c>
      <c r="H62" s="1297">
        <f ca="1">'Manufacturing Costs'!H156</f>
        <v>63.08264120601266</v>
      </c>
      <c r="I62" s="1297">
        <f ca="1">'Manufacturing Costs'!I156</f>
        <v>63.161918224840811</v>
      </c>
      <c r="J62" s="1297">
        <f ca="1">'Manufacturing Costs'!J156</f>
        <v>63.690082212973635</v>
      </c>
      <c r="K62" s="1297">
        <f ca="1">'Manufacturing Costs'!K156</f>
        <v>63.832282572043667</v>
      </c>
      <c r="L62" s="1297">
        <f ca="1">'Manufacturing Costs'!L156</f>
        <v>65.063106262811047</v>
      </c>
      <c r="M62" s="1297">
        <f ca="1">'Manufacturing Costs'!M156</f>
        <v>68.402310205543586</v>
      </c>
      <c r="N62" s="737"/>
    </row>
    <row r="63" spans="2:14" ht="13" outlineLevel="1" x14ac:dyDescent="0.3">
      <c r="B63" s="90" t="s">
        <v>1258</v>
      </c>
      <c r="C63" s="130"/>
      <c r="D63" s="130"/>
      <c r="E63" s="130"/>
      <c r="F63" s="130"/>
      <c r="G63" s="1297">
        <f>'Manufacturing Costs'!G157</f>
        <v>3.2</v>
      </c>
      <c r="H63" s="1297">
        <f>'Manufacturing Costs'!H157</f>
        <v>3.2</v>
      </c>
      <c r="I63" s="1297">
        <f>'Manufacturing Costs'!I157</f>
        <v>3.2</v>
      </c>
      <c r="J63" s="1297">
        <f>'Manufacturing Costs'!J157</f>
        <v>3.2</v>
      </c>
      <c r="K63" s="1297">
        <f>'Manufacturing Costs'!K157</f>
        <v>3.2</v>
      </c>
      <c r="L63" s="1297">
        <f>'Manufacturing Costs'!L157</f>
        <v>3.2</v>
      </c>
      <c r="M63" s="1297">
        <f>'Manufacturing Costs'!M157</f>
        <v>3.2</v>
      </c>
      <c r="N63" s="737"/>
    </row>
    <row r="64" spans="2:14" ht="13" outlineLevel="1" x14ac:dyDescent="0.3">
      <c r="B64" s="353" t="s">
        <v>1259</v>
      </c>
      <c r="C64" s="130"/>
      <c r="D64" s="130"/>
      <c r="E64" s="130"/>
      <c r="F64" s="130"/>
      <c r="G64" s="1297">
        <f ca="1">'Manufacturing Costs'!G158</f>
        <v>19.34733415850927</v>
      </c>
      <c r="H64" s="1297">
        <f ca="1">'Manufacturing Costs'!H158</f>
        <v>19.34733415850927</v>
      </c>
      <c r="I64" s="1297">
        <f ca="1">'Manufacturing Costs'!I158</f>
        <v>19.34733415850927</v>
      </c>
      <c r="J64" s="1297">
        <f ca="1">'Manufacturing Costs'!J158</f>
        <v>19.34733415850927</v>
      </c>
      <c r="K64" s="1297">
        <f ca="1">'Manufacturing Costs'!K158</f>
        <v>19.34733415850927</v>
      </c>
      <c r="L64" s="1297">
        <f ca="1">'Manufacturing Costs'!L158</f>
        <v>19.34733415850927</v>
      </c>
      <c r="M64" s="1297">
        <f ca="1">'Manufacturing Costs'!M158</f>
        <v>19.34733415850927</v>
      </c>
      <c r="N64" s="737"/>
    </row>
    <row r="65" spans="2:14" ht="13" outlineLevel="1" x14ac:dyDescent="0.3">
      <c r="B65" s="353" t="s">
        <v>1260</v>
      </c>
      <c r="C65" s="130"/>
      <c r="D65" s="130"/>
      <c r="E65" s="130"/>
      <c r="F65" s="130"/>
      <c r="G65" s="1297">
        <f ca="1">'Manufacturing Costs'!G159</f>
        <v>14.035507150777415</v>
      </c>
      <c r="H65" s="1297">
        <f ca="1">'Manufacturing Costs'!H159</f>
        <v>14.035507150777415</v>
      </c>
      <c r="I65" s="1297">
        <f ca="1">'Manufacturing Costs'!I159</f>
        <v>14.082824466042636</v>
      </c>
      <c r="J65" s="1297">
        <f ca="1">'Manufacturing Costs'!J159</f>
        <v>14.132044249085064</v>
      </c>
      <c r="K65" s="1297">
        <f ca="1">'Manufacturing Costs'!K159</f>
        <v>14.264054193711893</v>
      </c>
      <c r="L65" s="1297">
        <f ca="1">'Manufacturing Costs'!L159</f>
        <v>14.462048842461064</v>
      </c>
      <c r="M65" s="1297">
        <f ca="1">'Manufacturing Costs'!M159</f>
        <v>15.167632400679587</v>
      </c>
      <c r="N65" s="737"/>
    </row>
    <row r="66" spans="2:14" ht="13" outlineLevel="1" x14ac:dyDescent="0.3">
      <c r="B66" s="1050" t="s">
        <v>1494</v>
      </c>
      <c r="C66" s="130"/>
      <c r="D66" s="130"/>
      <c r="E66" s="130"/>
      <c r="F66" s="130"/>
      <c r="G66" s="1297">
        <f ca="1">'Manufacturing Costs'!G160</f>
        <v>50.829321488100014</v>
      </c>
      <c r="H66" s="1297">
        <f ca="1">'Manufacturing Costs'!H160</f>
        <v>50.829321488100014</v>
      </c>
      <c r="I66" s="1297">
        <f ca="1">'Manufacturing Costs'!I160</f>
        <v>50.952502809625216</v>
      </c>
      <c r="J66" s="1297">
        <f ca="1">'Manufacturing Costs'!J160</f>
        <v>51.390804090276042</v>
      </c>
      <c r="K66" s="1297">
        <f ca="1">'Manufacturing Costs'!K160</f>
        <v>51.674832586772595</v>
      </c>
      <c r="L66" s="1297">
        <f ca="1">'Manufacturing Costs'!L160</f>
        <v>52.813357010709005</v>
      </c>
      <c r="M66" s="1297">
        <f ca="1">'Manufacturing Costs'!M160</f>
        <v>56.104552251971384</v>
      </c>
      <c r="N66" s="737"/>
    </row>
    <row r="67" spans="2:14" ht="13" outlineLevel="1" x14ac:dyDescent="0.3">
      <c r="B67" s="1050" t="s">
        <v>1262</v>
      </c>
      <c r="C67" s="130"/>
      <c r="D67" s="130"/>
      <c r="E67" s="130"/>
      <c r="F67" s="130"/>
      <c r="G67" s="1297">
        <f ca="1">'Manufacturing Costs'!G161</f>
        <v>8.6096433907787713</v>
      </c>
      <c r="H67" s="1297">
        <f ca="1">'Manufacturing Costs'!H161</f>
        <v>8.6096433907787713</v>
      </c>
      <c r="I67" s="1297">
        <f ca="1">'Manufacturing Costs'!I161</f>
        <v>8.6334149079839584</v>
      </c>
      <c r="J67" s="1297">
        <f ca="1">'Manufacturing Costs'!J161</f>
        <v>8.6569944304402142</v>
      </c>
      <c r="K67" s="1297">
        <f ca="1">'Manufacturing Costs'!K161</f>
        <v>8.7235082408544429</v>
      </c>
      <c r="L67" s="1297">
        <f ca="1">'Manufacturing Costs'!L161</f>
        <v>8.8206767253296086</v>
      </c>
      <c r="M67" s="1297">
        <f ca="1">'Manufacturing Costs'!M161</f>
        <v>9.1696616277117915</v>
      </c>
      <c r="N67" s="737"/>
    </row>
    <row r="68" spans="2:14" ht="13" outlineLevel="1" x14ac:dyDescent="0.3">
      <c r="B68" s="1050" t="s">
        <v>1263</v>
      </c>
      <c r="C68" s="130"/>
      <c r="D68" s="130"/>
      <c r="E68" s="130"/>
      <c r="F68" s="130"/>
      <c r="G68" s="1297">
        <f ca="1">'Manufacturing Costs'!G162</f>
        <v>8.0495843606666675</v>
      </c>
      <c r="H68" s="1297">
        <f ca="1">'Manufacturing Costs'!H162</f>
        <v>8.0495843606666675</v>
      </c>
      <c r="I68" s="1297">
        <f ca="1">'Manufacturing Costs'!I162</f>
        <v>8.0495843606666675</v>
      </c>
      <c r="J68" s="1297">
        <f ca="1">'Manufacturing Costs'!J162</f>
        <v>8.0495843606666675</v>
      </c>
      <c r="K68" s="1297">
        <f ca="1">'Manufacturing Costs'!K162</f>
        <v>8.0495843606666675</v>
      </c>
      <c r="L68" s="1297">
        <f ca="1">'Manufacturing Costs'!L162</f>
        <v>8.0495843606666675</v>
      </c>
      <c r="M68" s="1297">
        <f ca="1">'Manufacturing Costs'!M162</f>
        <v>8.0495843606666675</v>
      </c>
      <c r="N68" s="737"/>
    </row>
    <row r="69" spans="2:14" ht="13" outlineLevel="1" x14ac:dyDescent="0.3">
      <c r="B69" s="353" t="s">
        <v>1264</v>
      </c>
      <c r="C69" s="130"/>
      <c r="D69" s="130"/>
      <c r="E69" s="130"/>
      <c r="F69" s="130"/>
      <c r="G69" s="1297">
        <f ca="1">'Manufacturing Costs'!G163</f>
        <v>25.295756497967581</v>
      </c>
      <c r="H69" s="1297">
        <f ca="1">'Manufacturing Costs'!H163</f>
        <v>25.295756497967581</v>
      </c>
      <c r="I69" s="1297">
        <f ca="1">'Manufacturing Costs'!I163</f>
        <v>25.280721524015068</v>
      </c>
      <c r="J69" s="1297">
        <f ca="1">'Manufacturing Costs'!J163</f>
        <v>25.387539037099174</v>
      </c>
      <c r="K69" s="1297">
        <f ca="1">'Manufacturing Costs'!K163</f>
        <v>25.32489791373747</v>
      </c>
      <c r="L69" s="1297">
        <f ca="1">'Manufacturing Costs'!L163</f>
        <v>25.507492414264682</v>
      </c>
      <c r="M69" s="1297">
        <f ca="1">'Manufacturing Costs'!M163</f>
        <v>25.869011163099383</v>
      </c>
      <c r="N69" s="737"/>
    </row>
    <row r="70" spans="2:14" ht="13" outlineLevel="1" x14ac:dyDescent="0.3">
      <c r="B70" s="353" t="s">
        <v>1265</v>
      </c>
      <c r="C70" s="130"/>
      <c r="D70" s="130"/>
      <c r="E70" s="130"/>
      <c r="F70" s="130"/>
      <c r="G70" s="1297">
        <f ca="1">'Manufacturing Costs'!G164</f>
        <v>96.620209665806328</v>
      </c>
      <c r="H70" s="1297">
        <f ca="1">'Manufacturing Costs'!H164</f>
        <v>96.620209665806328</v>
      </c>
      <c r="I70" s="1297">
        <f ca="1">'Manufacturing Costs'!I164</f>
        <v>96.705202660688897</v>
      </c>
      <c r="J70" s="1297">
        <f ca="1">'Manufacturing Costs'!J164</f>
        <v>97.531339973273361</v>
      </c>
      <c r="K70" s="1297">
        <f ca="1">'Manufacturing Costs'!K164</f>
        <v>97.635849086988031</v>
      </c>
      <c r="L70" s="1297">
        <f ca="1">'Manufacturing Costs'!L164</f>
        <v>99.474543121266336</v>
      </c>
      <c r="M70" s="1297">
        <f ca="1">'Manufacturing Costs'!M164</f>
        <v>104.26256514183</v>
      </c>
      <c r="N70" s="737"/>
    </row>
    <row r="71" spans="2:14" ht="13" outlineLevel="1" x14ac:dyDescent="0.3">
      <c r="B71" s="353" t="s">
        <v>1266</v>
      </c>
      <c r="C71" s="130"/>
      <c r="D71" s="130"/>
      <c r="E71" s="130"/>
      <c r="F71" s="130"/>
      <c r="G71" s="1297">
        <f ca="1">'Manufacturing Costs'!G165</f>
        <v>17.053058434976315</v>
      </c>
      <c r="H71" s="1297">
        <f ca="1">'Manufacturing Costs'!H165</f>
        <v>17.053058434976315</v>
      </c>
      <c r="I71" s="1297">
        <f ca="1">'Manufacturing Costs'!I165</f>
        <v>17.066909006507696</v>
      </c>
      <c r="J71" s="1297">
        <f ca="1">'Manufacturing Costs'!J165</f>
        <v>17.220697332259924</v>
      </c>
      <c r="K71" s="1297">
        <f ca="1">'Manufacturing Costs'!K165</f>
        <v>17.234202478679304</v>
      </c>
      <c r="L71" s="1297">
        <f ca="1">'Manufacturing Costs'!L165</f>
        <v>17.572168902841106</v>
      </c>
      <c r="M71" s="1297">
        <f ca="1">'Manufacturing Costs'!M165</f>
        <v>18.442049789723875</v>
      </c>
      <c r="N71" s="737"/>
    </row>
    <row r="72" spans="2:14" ht="13" outlineLevel="1" x14ac:dyDescent="0.3">
      <c r="B72" s="353" t="s">
        <v>1267</v>
      </c>
      <c r="C72" s="130"/>
      <c r="D72" s="130"/>
      <c r="E72" s="130"/>
      <c r="F72" s="130"/>
      <c r="G72" s="1297">
        <f ca="1">'Manufacturing Costs'!G166</f>
        <v>200</v>
      </c>
      <c r="H72" s="1297">
        <f ca="1">'Manufacturing Costs'!H166</f>
        <v>200</v>
      </c>
      <c r="I72" s="1297">
        <f ca="1">'Manufacturing Costs'!I166</f>
        <v>200</v>
      </c>
      <c r="J72" s="1297">
        <f ca="1">'Manufacturing Costs'!J166</f>
        <v>200</v>
      </c>
      <c r="K72" s="1297">
        <f ca="1">'Manufacturing Costs'!K166</f>
        <v>200</v>
      </c>
      <c r="L72" s="1297">
        <f ca="1">'Manufacturing Costs'!L166</f>
        <v>200</v>
      </c>
      <c r="M72" s="1297">
        <f ca="1">'Manufacturing Costs'!M166</f>
        <v>200</v>
      </c>
      <c r="N72" s="737"/>
    </row>
    <row r="73" spans="2:14" ht="13" outlineLevel="1" x14ac:dyDescent="0.3">
      <c r="B73" s="353" t="s">
        <v>1268</v>
      </c>
      <c r="C73" s="130"/>
      <c r="D73" s="130"/>
      <c r="E73" s="130"/>
      <c r="F73" s="130"/>
      <c r="G73" s="1297">
        <f>'Manufacturing Costs'!G167</f>
        <v>20</v>
      </c>
      <c r="H73" s="1297">
        <f>'Manufacturing Costs'!H167</f>
        <v>20</v>
      </c>
      <c r="I73" s="1297">
        <f>'Manufacturing Costs'!I167</f>
        <v>20</v>
      </c>
      <c r="J73" s="1297">
        <f>'Manufacturing Costs'!J167</f>
        <v>20</v>
      </c>
      <c r="K73" s="1297">
        <f>'Manufacturing Costs'!K167</f>
        <v>20</v>
      </c>
      <c r="L73" s="1297">
        <f>'Manufacturing Costs'!L167</f>
        <v>20</v>
      </c>
      <c r="M73" s="1297">
        <f>'Manufacturing Costs'!M167</f>
        <v>20</v>
      </c>
      <c r="N73" s="737"/>
    </row>
    <row r="74" spans="2:14" ht="13" outlineLevel="1" x14ac:dyDescent="0.3">
      <c r="B74" s="353" t="s">
        <v>1495</v>
      </c>
      <c r="C74" s="130"/>
      <c r="D74" s="130"/>
      <c r="E74" s="130"/>
      <c r="F74" s="130"/>
      <c r="G74" s="1297">
        <f ca="1">SUM(G61:G73)</f>
        <v>526.12305635359508</v>
      </c>
      <c r="H74" s="1297">
        <f t="shared" ref="H74:M74" ca="1" si="3">SUM(H61:H73)</f>
        <v>526.12305635359508</v>
      </c>
      <c r="I74" s="1297">
        <f t="shared" ca="1" si="3"/>
        <v>526.48041211888017</v>
      </c>
      <c r="J74" s="1297">
        <f t="shared" ca="1" si="3"/>
        <v>528.60641984458334</v>
      </c>
      <c r="K74" s="1297">
        <f t="shared" ca="1" si="3"/>
        <v>529.28654559196332</v>
      </c>
      <c r="L74" s="1297">
        <f t="shared" ca="1" si="3"/>
        <v>534.31031179885872</v>
      </c>
      <c r="M74" s="1297">
        <f t="shared" ca="1" si="3"/>
        <v>548.01470109973548</v>
      </c>
      <c r="N74" s="737"/>
    </row>
    <row r="75" spans="2:14" ht="13" outlineLevel="1" x14ac:dyDescent="0.3">
      <c r="B75" s="353"/>
      <c r="C75" s="130"/>
      <c r="D75" s="130"/>
      <c r="E75" s="130"/>
      <c r="F75" s="130"/>
      <c r="G75" s="1297"/>
      <c r="H75" s="1297"/>
      <c r="I75" s="1297"/>
      <c r="J75" s="1297"/>
      <c r="K75" s="1297"/>
      <c r="L75" s="1297"/>
      <c r="M75" s="1297"/>
      <c r="N75" s="737"/>
    </row>
    <row r="76" spans="2:14" ht="13" outlineLevel="1" x14ac:dyDescent="0.3">
      <c r="B76" s="1360" t="s">
        <v>1496</v>
      </c>
      <c r="C76" s="130"/>
      <c r="D76" s="130"/>
      <c r="E76" s="130"/>
      <c r="F76" s="130"/>
      <c r="G76" s="1297"/>
      <c r="H76" s="1297"/>
      <c r="I76" s="1297"/>
      <c r="J76" s="1297"/>
      <c r="K76" s="1297"/>
      <c r="L76" s="1297"/>
      <c r="M76" s="1297"/>
      <c r="N76" s="737"/>
    </row>
    <row r="77" spans="2:14" ht="13" outlineLevel="1" x14ac:dyDescent="0.3">
      <c r="B77" s="353" t="s">
        <v>1497</v>
      </c>
      <c r="C77" s="130"/>
      <c r="D77" s="130"/>
      <c r="E77" s="130"/>
      <c r="F77" s="130"/>
      <c r="G77" s="1297">
        <f ca="1">G47+G58+G74</f>
        <v>1489.6222824860301</v>
      </c>
      <c r="H77" s="1297">
        <f t="shared" ref="H77:M77" ca="1" si="4">H47+H58+H74</f>
        <v>1489.6222824860301</v>
      </c>
      <c r="I77" s="1297">
        <f t="shared" ca="1" si="4"/>
        <v>1490.3249271726595</v>
      </c>
      <c r="J77" s="1297">
        <f t="shared" ca="1" si="4"/>
        <v>1493.7542549860948</v>
      </c>
      <c r="K77" s="1297">
        <f t="shared" ca="1" si="4"/>
        <v>1495.3681276025084</v>
      </c>
      <c r="L77" s="1297">
        <f t="shared" ca="1" si="4"/>
        <v>1504.0490855912465</v>
      </c>
      <c r="M77" s="1297">
        <f t="shared" ca="1" si="4"/>
        <v>1529.0469085712743</v>
      </c>
      <c r="N77" s="737"/>
    </row>
    <row r="78" spans="2:14" outlineLevel="1" x14ac:dyDescent="0.25">
      <c r="B78" s="353"/>
      <c r="G78" s="1297"/>
      <c r="H78" s="1297"/>
      <c r="I78" s="1297"/>
      <c r="J78" s="1297"/>
      <c r="K78" s="1297"/>
      <c r="L78" s="1297"/>
      <c r="M78" s="1297"/>
    </row>
    <row r="79" spans="2:14" ht="15.5" outlineLevel="1" x14ac:dyDescent="0.35">
      <c r="B79" s="6" t="s">
        <v>1498</v>
      </c>
      <c r="G79" s="1297"/>
      <c r="H79" s="1297"/>
      <c r="I79" s="1297"/>
      <c r="J79" s="1297"/>
      <c r="K79" s="1297"/>
      <c r="L79" s="1297"/>
      <c r="M79" s="1297"/>
    </row>
    <row r="80" spans="2:14" outlineLevel="1" x14ac:dyDescent="0.25">
      <c r="B80" s="353" t="s">
        <v>1499</v>
      </c>
      <c r="C80" s="132"/>
      <c r="D80" s="353"/>
      <c r="E80" s="353"/>
      <c r="F80" s="511"/>
      <c r="G80" s="1079">
        <f ca="1">'Manufacturing Costs'!G492</f>
        <v>174.96131463701596</v>
      </c>
      <c r="H80" s="1079">
        <f ca="1">'Manufacturing Costs'!H492</f>
        <v>174.96131463701596</v>
      </c>
      <c r="I80" s="1079">
        <f ca="1">'Manufacturing Costs'!I492</f>
        <v>177.62977184239284</v>
      </c>
      <c r="J80" s="1079">
        <f ca="1">'Manufacturing Costs'!J492</f>
        <v>181.70726126331135</v>
      </c>
      <c r="K80" s="1079">
        <f ca="1">'Manufacturing Costs'!K492</f>
        <v>188.05508546982264</v>
      </c>
      <c r="L80" s="1079">
        <f ca="1">'Manufacturing Costs'!L492</f>
        <v>199.76875937261636</v>
      </c>
      <c r="M80" s="1079">
        <f ca="1">'Manufacturing Costs'!M492</f>
        <v>234.06116497484376</v>
      </c>
    </row>
    <row r="81" spans="2:14" ht="13" outlineLevel="1" x14ac:dyDescent="0.3">
      <c r="B81" s="353" t="s">
        <v>1500</v>
      </c>
      <c r="C81" s="132"/>
      <c r="D81" s="353"/>
      <c r="E81" s="353"/>
      <c r="F81" s="511"/>
      <c r="G81" s="1079">
        <f ca="1">'Manufacturing Costs'!G493</f>
        <v>250.90510110427726</v>
      </c>
      <c r="H81" s="1079">
        <f ca="1">'Manufacturing Costs'!H493</f>
        <v>250.90510110427726</v>
      </c>
      <c r="I81" s="1079">
        <f ca="1">'Manufacturing Costs'!I493</f>
        <v>252.8206309989676</v>
      </c>
      <c r="J81" s="1079">
        <f ca="1">'Manufacturing Costs'!J493</f>
        <v>255.77775111343379</v>
      </c>
      <c r="K81" s="1079">
        <f ca="1">'Manufacturing Costs'!K493</f>
        <v>260.43845344863496</v>
      </c>
      <c r="L81" s="1079">
        <f ca="1">'Manufacturing Costs'!L493</f>
        <v>270.05782121040266</v>
      </c>
      <c r="M81" s="1079">
        <f ca="1">'Manufacturing Costs'!M493</f>
        <v>300.51350920896778</v>
      </c>
      <c r="N81" s="737"/>
    </row>
    <row r="82" spans="2:14" ht="13" outlineLevel="1" x14ac:dyDescent="0.3">
      <c r="B82" s="353" t="s">
        <v>1501</v>
      </c>
      <c r="C82" s="132"/>
      <c r="D82" s="353"/>
      <c r="E82" s="353"/>
      <c r="F82" s="511"/>
      <c r="G82" s="1301">
        <f ca="1">'Manufacturing Costs'!G498</f>
        <v>332.61732299716186</v>
      </c>
      <c r="H82" s="1301">
        <f ca="1">'Manufacturing Costs'!H498</f>
        <v>332.61732299716186</v>
      </c>
      <c r="I82" s="1301">
        <f ca="1">'Manufacturing Costs'!I498</f>
        <v>334.82350353785318</v>
      </c>
      <c r="J82" s="1301">
        <f ca="1">'Manufacturing Costs'!J498</f>
        <v>338.2398113543228</v>
      </c>
      <c r="K82" s="1301">
        <f ca="1">'Manufacturing Costs'!K498</f>
        <v>343.64390880549678</v>
      </c>
      <c r="L82" s="1301">
        <f ca="1">'Manufacturing Costs'!L498</f>
        <v>355.14454197244987</v>
      </c>
      <c r="M82" s="1301">
        <f ca="1">'Manufacturing Costs'!M498</f>
        <v>392.25497256974069</v>
      </c>
      <c r="N82" s="737"/>
    </row>
    <row r="83" spans="2:14" ht="13" outlineLevel="1" x14ac:dyDescent="0.3">
      <c r="B83" s="353" t="s">
        <v>1502</v>
      </c>
      <c r="C83" s="132"/>
      <c r="D83" s="353"/>
      <c r="E83" s="353"/>
      <c r="F83" s="511"/>
      <c r="G83" s="1079">
        <f ca="1">'Manufacturing Costs'!G499</f>
        <v>361.84115049894172</v>
      </c>
      <c r="H83" s="1079">
        <f ca="1">'Manufacturing Costs'!H499</f>
        <v>361.84115049894172</v>
      </c>
      <c r="I83" s="1079">
        <f ca="1">'Manufacturing Costs'!I499</f>
        <v>363.53744452402088</v>
      </c>
      <c r="J83" s="1079">
        <f ca="1">'Manufacturing Costs'!J499</f>
        <v>366.18969321621842</v>
      </c>
      <c r="K83" s="1079">
        <f ca="1">'Manufacturing Costs'!K499</f>
        <v>370.43283852141184</v>
      </c>
      <c r="L83" s="1079">
        <f ca="1">'Manufacturing Costs'!L499</f>
        <v>380.30063492271222</v>
      </c>
      <c r="M83" s="1079">
        <f ca="1">'Manufacturing Costs'!M499</f>
        <v>413.77808643806048</v>
      </c>
      <c r="N83" s="737"/>
    </row>
    <row r="84" spans="2:14" ht="13" outlineLevel="1" x14ac:dyDescent="0.3">
      <c r="B84" s="353" t="s">
        <v>1503</v>
      </c>
      <c r="C84" s="132"/>
      <c r="D84" s="353"/>
      <c r="E84" s="353"/>
      <c r="F84" s="511"/>
      <c r="G84" s="1079">
        <f ca="1">'Manufacturing Costs'!G497</f>
        <v>904.60287624735429</v>
      </c>
      <c r="H84" s="1079">
        <f ca="1">'Manufacturing Costs'!H497</f>
        <v>904.60287624735429</v>
      </c>
      <c r="I84" s="1079">
        <f ca="1">'Manufacturing Costs'!I497</f>
        <v>908.84361131005221</v>
      </c>
      <c r="J84" s="1079">
        <f ca="1">'Manufacturing Costs'!J497</f>
        <v>915.4742330405461</v>
      </c>
      <c r="K84" s="1079">
        <f ca="1">'Manufacturing Costs'!K497</f>
        <v>926.08209630352951</v>
      </c>
      <c r="L84" s="1079">
        <f ca="1">'Manufacturing Costs'!L497</f>
        <v>950.75158730678049</v>
      </c>
      <c r="M84" s="1079">
        <f ca="1">'Manufacturing Costs'!M497</f>
        <v>1034.4452160951512</v>
      </c>
      <c r="N84" s="737"/>
    </row>
    <row r="85" spans="2:14" ht="13" outlineLevel="1" x14ac:dyDescent="0.3">
      <c r="B85" s="353" t="s">
        <v>1504</v>
      </c>
      <c r="C85" s="132"/>
      <c r="D85" s="353"/>
      <c r="E85" s="353"/>
      <c r="F85" s="511"/>
      <c r="G85" s="1079">
        <f ca="1">SUM(G80:G84)</f>
        <v>2024.927765484751</v>
      </c>
      <c r="H85" s="1079">
        <f t="shared" ref="H85:M85" ca="1" si="5">SUM(H80:H84)</f>
        <v>2024.927765484751</v>
      </c>
      <c r="I85" s="1079">
        <f t="shared" ca="1" si="5"/>
        <v>2037.6549622132868</v>
      </c>
      <c r="J85" s="1079">
        <f t="shared" ca="1" si="5"/>
        <v>2057.3887499878324</v>
      </c>
      <c r="K85" s="1079">
        <f t="shared" ca="1" si="5"/>
        <v>2088.6523825488957</v>
      </c>
      <c r="L85" s="1079">
        <f t="shared" ca="1" si="5"/>
        <v>2156.0233447849614</v>
      </c>
      <c r="M85" s="1079">
        <f t="shared" ca="1" si="5"/>
        <v>2375.0529492867636</v>
      </c>
      <c r="N85" s="737"/>
    </row>
    <row r="86" spans="2:14" ht="13" outlineLevel="1" x14ac:dyDescent="0.3">
      <c r="B86" s="353"/>
      <c r="C86" s="132"/>
      <c r="D86" s="353"/>
      <c r="E86" s="353"/>
      <c r="F86" s="511"/>
      <c r="G86" s="1079"/>
      <c r="H86" s="1079"/>
      <c r="I86" s="1079"/>
      <c r="J86" s="1079"/>
      <c r="K86" s="1079"/>
      <c r="L86" s="1079"/>
      <c r="M86" s="1079"/>
      <c r="N86" s="737"/>
    </row>
    <row r="87" spans="2:14" ht="15.5" outlineLevel="1" x14ac:dyDescent="0.35">
      <c r="B87" s="6" t="s">
        <v>1364</v>
      </c>
      <c r="C87" s="132"/>
      <c r="D87" s="353"/>
      <c r="E87" s="353"/>
      <c r="F87" s="511"/>
      <c r="G87" s="1079"/>
      <c r="H87" s="1079"/>
      <c r="I87" s="1079"/>
      <c r="J87" s="1079"/>
      <c r="K87" s="1079"/>
      <c r="L87" s="1079"/>
      <c r="M87" s="1079"/>
      <c r="N87" s="737"/>
    </row>
    <row r="88" spans="2:14" outlineLevel="1" x14ac:dyDescent="0.25">
      <c r="B88" s="353" t="s">
        <v>1505</v>
      </c>
      <c r="G88" s="1297">
        <f ca="1">'Manufacturing Costs'!G169</f>
        <v>355.60113966998904</v>
      </c>
      <c r="H88" s="1297">
        <f ca="1">'Manufacturing Costs'!H169</f>
        <v>355.60113966998904</v>
      </c>
      <c r="I88" s="1297">
        <f ca="1">'Manufacturing Costs'!I169</f>
        <v>355.60113966998904</v>
      </c>
      <c r="J88" s="1297">
        <f ca="1">'Manufacturing Costs'!J169</f>
        <v>355.60113966998904</v>
      </c>
      <c r="K88" s="1297">
        <f ca="1">'Manufacturing Costs'!K169</f>
        <v>355.60113966998904</v>
      </c>
      <c r="L88" s="1297">
        <f ca="1">'Manufacturing Costs'!L169</f>
        <v>355.60113966998904</v>
      </c>
      <c r="M88" s="1297">
        <f ca="1">'Manufacturing Costs'!M169</f>
        <v>355.60113966998904</v>
      </c>
    </row>
    <row r="89" spans="2:14" ht="13" outlineLevel="1" x14ac:dyDescent="0.3">
      <c r="B89" s="353" t="s">
        <v>1506</v>
      </c>
      <c r="C89" s="132"/>
      <c r="D89" s="353"/>
      <c r="E89" s="353"/>
      <c r="F89" s="511"/>
      <c r="G89" s="1300">
        <f ca="1">'Manufacturing Costs'!G503</f>
        <v>578.61911441052371</v>
      </c>
      <c r="H89" s="1300">
        <f ca="1">'Manufacturing Costs'!H503</f>
        <v>578.61911441052371</v>
      </c>
      <c r="I89" s="1300">
        <f ca="1">'Manufacturing Costs'!I503</f>
        <v>581.90182081873809</v>
      </c>
      <c r="J89" s="1300">
        <f ca="1">'Manufacturing Costs'!J503</f>
        <v>587.09859263922579</v>
      </c>
      <c r="K89" s="1300">
        <f ca="1">'Manufacturing Costs'!K503</f>
        <v>595.43430554360236</v>
      </c>
      <c r="L89" s="1300">
        <f ca="1">'Manufacturing Costs'!L503</f>
        <v>615.87424807758873</v>
      </c>
      <c r="M89" s="1300">
        <f ca="1">'Manufacturing Costs'!M503</f>
        <v>687.22220843211528</v>
      </c>
      <c r="N89" s="737"/>
    </row>
    <row r="90" spans="2:14" outlineLevel="1" x14ac:dyDescent="0.25">
      <c r="B90" s="353" t="s">
        <v>1507</v>
      </c>
      <c r="C90" s="132"/>
      <c r="D90" s="353"/>
      <c r="E90" s="353"/>
      <c r="F90" s="511"/>
      <c r="G90" s="1300">
        <f ca="1">'Manufacturing Costs'!G504</f>
        <v>583.81365534509928</v>
      </c>
      <c r="H90" s="1300">
        <f ca="1">'Manufacturing Costs'!H504</f>
        <v>583.81365534509928</v>
      </c>
      <c r="I90" s="1300">
        <f ca="1">'Manufacturing Costs'!I504</f>
        <v>588.58328023395859</v>
      </c>
      <c r="J90" s="1300">
        <f ca="1">'Manufacturing Costs'!J504</f>
        <v>596.37930206782255</v>
      </c>
      <c r="K90" s="1300">
        <f ca="1">'Manufacturing Costs'!K504</f>
        <v>608.89002358498703</v>
      </c>
      <c r="L90" s="1300">
        <f ca="1">'Manufacturing Costs'!L504</f>
        <v>634.95459330674225</v>
      </c>
      <c r="M90" s="1300">
        <f ca="1">'Manufacturing Costs'!M504</f>
        <v>722.87466219778503</v>
      </c>
    </row>
    <row r="91" spans="2:14" outlineLevel="1" x14ac:dyDescent="0.25">
      <c r="B91" s="353"/>
      <c r="G91" s="1297"/>
      <c r="H91" s="1297"/>
      <c r="I91" s="1297"/>
      <c r="J91" s="1297"/>
      <c r="K91" s="1297"/>
      <c r="L91" s="1297"/>
      <c r="M91" s="1297"/>
    </row>
    <row r="92" spans="2:14" ht="15.5" outlineLevel="1" x14ac:dyDescent="0.35">
      <c r="B92" s="6" t="s">
        <v>963</v>
      </c>
      <c r="G92" s="1297"/>
      <c r="H92" s="1297"/>
      <c r="I92" s="1297"/>
      <c r="J92" s="1297"/>
      <c r="K92" s="1297"/>
      <c r="L92" s="1297"/>
      <c r="M92" s="1297"/>
    </row>
    <row r="93" spans="2:14" outlineLevel="1" x14ac:dyDescent="0.25">
      <c r="B93" s="353" t="s">
        <v>1477</v>
      </c>
      <c r="G93" s="1297">
        <f ca="1">G40</f>
        <v>5976.4735433969072</v>
      </c>
      <c r="H93" s="1297">
        <f t="shared" ref="H93:M93" ca="1" si="6">H40</f>
        <v>5976.4735433969072</v>
      </c>
      <c r="I93" s="1297">
        <f t="shared" ca="1" si="6"/>
        <v>6044.9328685888768</v>
      </c>
      <c r="J93" s="1297">
        <f t="shared" ca="1" si="6"/>
        <v>6155.7876567851199</v>
      </c>
      <c r="K93" s="1297">
        <f t="shared" ca="1" si="6"/>
        <v>6337.980180081202</v>
      </c>
      <c r="L93" s="1297">
        <f t="shared" ca="1" si="6"/>
        <v>6706.9270623537523</v>
      </c>
      <c r="M93" s="1297">
        <f t="shared" ca="1" si="6"/>
        <v>7961.5529047145938</v>
      </c>
    </row>
    <row r="94" spans="2:14" outlineLevel="1" x14ac:dyDescent="0.25">
      <c r="B94" s="353" t="s">
        <v>1497</v>
      </c>
      <c r="G94" s="1297">
        <f ca="1">G77</f>
        <v>1489.6222824860301</v>
      </c>
      <c r="H94" s="1297">
        <f t="shared" ref="H94:M94" ca="1" si="7">H77</f>
        <v>1489.6222824860301</v>
      </c>
      <c r="I94" s="1297">
        <f t="shared" ca="1" si="7"/>
        <v>1490.3249271726595</v>
      </c>
      <c r="J94" s="1297">
        <f t="shared" ca="1" si="7"/>
        <v>1493.7542549860948</v>
      </c>
      <c r="K94" s="1297">
        <f t="shared" ca="1" si="7"/>
        <v>1495.3681276025084</v>
      </c>
      <c r="L94" s="1297">
        <f t="shared" ca="1" si="7"/>
        <v>1504.0490855912465</v>
      </c>
      <c r="M94" s="1297">
        <f t="shared" ca="1" si="7"/>
        <v>1529.0469085712743</v>
      </c>
    </row>
    <row r="95" spans="2:14" outlineLevel="1" x14ac:dyDescent="0.25">
      <c r="B95" s="353" t="s">
        <v>1504</v>
      </c>
      <c r="G95" s="1297">
        <f ca="1">G85</f>
        <v>2024.927765484751</v>
      </c>
      <c r="H95" s="1297">
        <f t="shared" ref="H95:M95" ca="1" si="8">H85</f>
        <v>2024.927765484751</v>
      </c>
      <c r="I95" s="1297">
        <f t="shared" ca="1" si="8"/>
        <v>2037.6549622132868</v>
      </c>
      <c r="J95" s="1297">
        <f t="shared" ca="1" si="8"/>
        <v>2057.3887499878324</v>
      </c>
      <c r="K95" s="1297">
        <f t="shared" ca="1" si="8"/>
        <v>2088.6523825488957</v>
      </c>
      <c r="L95" s="1297">
        <f t="shared" ca="1" si="8"/>
        <v>2156.0233447849614</v>
      </c>
      <c r="M95" s="1297">
        <f t="shared" ca="1" si="8"/>
        <v>2375.0529492867636</v>
      </c>
    </row>
    <row r="96" spans="2:14" outlineLevel="1" x14ac:dyDescent="0.25">
      <c r="B96" s="353" t="s">
        <v>1508</v>
      </c>
      <c r="G96" s="1297">
        <f ca="1">G88</f>
        <v>355.60113966998904</v>
      </c>
      <c r="H96" s="1297">
        <f t="shared" ref="H96:M96" ca="1" si="9">H88</f>
        <v>355.60113966998904</v>
      </c>
      <c r="I96" s="1297">
        <f t="shared" ca="1" si="9"/>
        <v>355.60113966998904</v>
      </c>
      <c r="J96" s="1297">
        <f t="shared" ca="1" si="9"/>
        <v>355.60113966998904</v>
      </c>
      <c r="K96" s="1297">
        <f t="shared" ca="1" si="9"/>
        <v>355.60113966998904</v>
      </c>
      <c r="L96" s="1297">
        <f t="shared" ca="1" si="9"/>
        <v>355.60113966998904</v>
      </c>
      <c r="M96" s="1297">
        <f t="shared" ca="1" si="9"/>
        <v>355.60113966998904</v>
      </c>
    </row>
    <row r="97" spans="2:15" outlineLevel="1" x14ac:dyDescent="0.25">
      <c r="B97" s="353" t="s">
        <v>1509</v>
      </c>
      <c r="G97" s="1297">
        <f ca="1">SUM(G89:G90)</f>
        <v>1162.432769755623</v>
      </c>
      <c r="H97" s="1297">
        <f t="shared" ref="H97:M97" ca="1" si="10">SUM(H89:H90)</f>
        <v>1162.432769755623</v>
      </c>
      <c r="I97" s="1297">
        <f t="shared" ca="1" si="10"/>
        <v>1170.4851010526968</v>
      </c>
      <c r="J97" s="1297">
        <f t="shared" ca="1" si="10"/>
        <v>1183.4778947070483</v>
      </c>
      <c r="K97" s="1297">
        <f t="shared" ca="1" si="10"/>
        <v>1204.3243291285894</v>
      </c>
      <c r="L97" s="1297">
        <f t="shared" ca="1" si="10"/>
        <v>1250.8288413843311</v>
      </c>
      <c r="M97" s="1297">
        <f t="shared" ca="1" si="10"/>
        <v>1410.0968706299004</v>
      </c>
    </row>
    <row r="98" spans="2:15" outlineLevel="1" x14ac:dyDescent="0.25">
      <c r="B98" s="353" t="s">
        <v>1510</v>
      </c>
      <c r="G98" s="1297">
        <f ca="1">SUM(G93:G97)</f>
        <v>11009.0575007933</v>
      </c>
      <c r="H98" s="1297">
        <f t="shared" ref="H98:M98" ca="1" si="11">SUM(H93:H97)</f>
        <v>11009.0575007933</v>
      </c>
      <c r="I98" s="1297">
        <f t="shared" ca="1" si="11"/>
        <v>11098.998998697507</v>
      </c>
      <c r="J98" s="1297">
        <f t="shared" ca="1" si="11"/>
        <v>11246.009696136083</v>
      </c>
      <c r="K98" s="1297">
        <f t="shared" ca="1" si="11"/>
        <v>11481.926159031183</v>
      </c>
      <c r="L98" s="1297">
        <f t="shared" ca="1" si="11"/>
        <v>11973.429473784279</v>
      </c>
      <c r="M98" s="1297">
        <f t="shared" ca="1" si="11"/>
        <v>13631.35077287252</v>
      </c>
    </row>
    <row r="99" spans="2:15" x14ac:dyDescent="0.25">
      <c r="B99" s="353"/>
      <c r="G99" s="1082"/>
      <c r="H99" s="1082"/>
      <c r="I99" s="1082"/>
      <c r="J99" s="1082"/>
      <c r="K99" s="1082"/>
      <c r="L99" s="1082"/>
      <c r="M99" s="1082"/>
    </row>
    <row r="100" spans="2:15" ht="13.5" thickBot="1" x14ac:dyDescent="0.35">
      <c r="C100" s="130"/>
      <c r="D100" s="130"/>
      <c r="E100" s="130"/>
      <c r="F100" s="130"/>
      <c r="G100" s="3"/>
      <c r="H100" s="3"/>
      <c r="I100" s="3"/>
      <c r="J100" s="3"/>
      <c r="K100" s="3"/>
      <c r="L100" s="3"/>
      <c r="M100" s="3"/>
    </row>
    <row r="101" spans="2:15" ht="20.5" thickBot="1" x14ac:dyDescent="0.45">
      <c r="B101" s="1453" t="s">
        <v>1511</v>
      </c>
      <c r="C101" s="1454"/>
      <c r="D101" s="1454"/>
      <c r="E101" s="1454"/>
      <c r="F101" s="1454"/>
      <c r="G101" s="1454"/>
      <c r="H101" s="1454"/>
      <c r="I101" s="1454"/>
      <c r="J101" s="1454"/>
      <c r="K101" s="1454"/>
      <c r="L101" s="1454"/>
      <c r="M101" s="1455"/>
    </row>
    <row r="102" spans="2:15" ht="13" x14ac:dyDescent="0.3">
      <c r="C102" s="130"/>
      <c r="D102" s="130"/>
      <c r="E102" s="130"/>
      <c r="F102" s="130"/>
      <c r="G102" s="3"/>
      <c r="H102" s="3"/>
      <c r="I102" s="3"/>
      <c r="J102" s="3"/>
      <c r="K102" s="3"/>
      <c r="L102" s="3"/>
      <c r="M102" s="3"/>
    </row>
    <row r="103" spans="2:15" ht="15.5" outlineLevel="1" x14ac:dyDescent="0.35">
      <c r="B103" s="6" t="s">
        <v>1466</v>
      </c>
      <c r="C103" s="130"/>
      <c r="D103" s="130"/>
      <c r="E103" s="130"/>
      <c r="F103" s="130"/>
      <c r="G103" s="3"/>
      <c r="H103" s="3"/>
      <c r="I103" s="3"/>
      <c r="J103" s="3"/>
      <c r="K103" s="3"/>
      <c r="L103" s="3"/>
      <c r="M103" s="3"/>
    </row>
    <row r="104" spans="2:15" ht="14" outlineLevel="1" x14ac:dyDescent="0.3">
      <c r="B104" s="665" t="s">
        <v>1446</v>
      </c>
      <c r="C104" s="130"/>
      <c r="D104" s="130"/>
      <c r="E104" s="130"/>
      <c r="F104" s="130"/>
      <c r="G104" s="3"/>
      <c r="H104" s="3"/>
      <c r="I104" s="3"/>
      <c r="J104" s="3"/>
      <c r="K104" s="3"/>
      <c r="L104" s="3"/>
      <c r="M104" s="3"/>
    </row>
    <row r="105" spans="2:15" ht="13" outlineLevel="1" x14ac:dyDescent="0.3">
      <c r="B105" s="353" t="s">
        <v>1512</v>
      </c>
      <c r="C105" s="130"/>
      <c r="D105" s="130"/>
      <c r="E105" s="130"/>
      <c r="F105" s="130"/>
      <c r="G105" s="1357">
        <f ca="1">G30/G$98</f>
        <v>0.34425379463201738</v>
      </c>
      <c r="H105" s="1357">
        <f t="shared" ref="H105:M105" ca="1" si="12">H30/H$98</f>
        <v>0.34425379463201738</v>
      </c>
      <c r="I105" s="1357">
        <f t="shared" ca="1" si="12"/>
        <v>0.34105679415376694</v>
      </c>
      <c r="J105" s="1357">
        <f t="shared" ca="1" si="12"/>
        <v>0.33610376765540695</v>
      </c>
      <c r="K105" s="1357">
        <f t="shared" ca="1" si="12"/>
        <v>0.32863809973362146</v>
      </c>
      <c r="L105" s="1357">
        <f t="shared" ca="1" si="12"/>
        <v>0.31450489958047423</v>
      </c>
      <c r="M105" s="1357">
        <f t="shared" ca="1" si="12"/>
        <v>0.27550852444390589</v>
      </c>
      <c r="O105" s="55"/>
    </row>
    <row r="106" spans="2:15" ht="13" outlineLevel="1" x14ac:dyDescent="0.3">
      <c r="B106" s="353" t="s">
        <v>1513</v>
      </c>
      <c r="C106" s="130"/>
      <c r="D106" s="130"/>
      <c r="E106" s="130"/>
      <c r="F106" s="130"/>
      <c r="G106" s="1357">
        <f t="shared" ref="G106:M106" ca="1" si="13">G31/G$98</f>
        <v>8.9816234807512232E-2</v>
      </c>
      <c r="H106" s="1357">
        <f t="shared" ca="1" si="13"/>
        <v>8.9816234807512232E-2</v>
      </c>
      <c r="I106" s="1357">
        <f t="shared" ca="1" si="13"/>
        <v>8.8961425863793575E-2</v>
      </c>
      <c r="J106" s="1357">
        <f t="shared" ca="1" si="13"/>
        <v>8.7655985010322082E-2</v>
      </c>
      <c r="K106" s="1357">
        <f t="shared" ca="1" si="13"/>
        <v>8.565373899173187E-2</v>
      </c>
      <c r="L106" s="1357">
        <f t="shared" ca="1" si="13"/>
        <v>8.1908815766503704E-2</v>
      </c>
      <c r="M106" s="1357">
        <f t="shared" ca="1" si="13"/>
        <v>7.1565575241723717E-2</v>
      </c>
    </row>
    <row r="107" spans="2:15" ht="13" outlineLevel="1" x14ac:dyDescent="0.3">
      <c r="B107" s="353" t="s">
        <v>1514</v>
      </c>
      <c r="C107" s="130"/>
      <c r="D107" s="130"/>
      <c r="E107" s="130"/>
      <c r="F107" s="130"/>
      <c r="G107" s="1357">
        <f t="shared" ref="G107:M107" ca="1" si="14">G32/G$98</f>
        <v>1.9309107070706103E-3</v>
      </c>
      <c r="H107" s="1357">
        <f t="shared" ca="1" si="14"/>
        <v>1.9309107070706103E-3</v>
      </c>
      <c r="I107" s="1357">
        <f t="shared" ca="1" si="14"/>
        <v>1.9129788133624749E-3</v>
      </c>
      <c r="J107" s="1357">
        <f t="shared" ca="1" si="14"/>
        <v>1.8851974147338533E-3</v>
      </c>
      <c r="K107" s="1357">
        <f t="shared" ca="1" si="14"/>
        <v>1.8433226747879407E-3</v>
      </c>
      <c r="L107" s="1357">
        <f t="shared" ca="1" si="14"/>
        <v>1.7640499175186862E-3</v>
      </c>
      <c r="M107" s="1357">
        <f t="shared" ca="1" si="14"/>
        <v>1.5453202492847291E-3</v>
      </c>
    </row>
    <row r="108" spans="2:15" ht="13" outlineLevel="1" x14ac:dyDescent="0.3">
      <c r="B108" s="353" t="s">
        <v>1515</v>
      </c>
      <c r="C108" s="130"/>
      <c r="D108" s="130"/>
      <c r="E108" s="130"/>
      <c r="F108" s="130"/>
      <c r="G108" s="1357">
        <f t="shared" ref="G108:M108" ca="1" si="15">G33/G$98</f>
        <v>5.9706501846923726E-3</v>
      </c>
      <c r="H108" s="1357">
        <f t="shared" ca="1" si="15"/>
        <v>5.9706501846923726E-3</v>
      </c>
      <c r="I108" s="1357">
        <f t="shared" ca="1" si="15"/>
        <v>5.9147796176908865E-3</v>
      </c>
      <c r="J108" s="1357">
        <f t="shared" ca="1" si="15"/>
        <v>5.828606399130137E-3</v>
      </c>
      <c r="K108" s="1357">
        <f t="shared" ca="1" si="15"/>
        <v>5.6980126498870545E-3</v>
      </c>
      <c r="L108" s="1357">
        <f t="shared" ca="1" si="15"/>
        <v>5.4517154511421586E-3</v>
      </c>
      <c r="M108" s="1357">
        <f t="shared" ca="1" si="15"/>
        <v>4.7719224778902088E-3</v>
      </c>
    </row>
    <row r="109" spans="2:15" ht="13" outlineLevel="1" x14ac:dyDescent="0.3">
      <c r="B109" s="353" t="s">
        <v>1516</v>
      </c>
      <c r="C109" s="130"/>
      <c r="D109" s="130"/>
      <c r="E109" s="130"/>
      <c r="F109" s="130"/>
      <c r="G109" s="1357">
        <f t="shared" ref="G109:M109" ca="1" si="16">G34/G$98</f>
        <v>1.1320653631168269E-2</v>
      </c>
      <c r="H109" s="1357">
        <f t="shared" ca="1" si="16"/>
        <v>1.1320653631168269E-2</v>
      </c>
      <c r="I109" s="1357">
        <f t="shared" ca="1" si="16"/>
        <v>1.1215521500056568E-2</v>
      </c>
      <c r="J109" s="1357">
        <f t="shared" ca="1" si="16"/>
        <v>1.1052643128668193E-2</v>
      </c>
      <c r="K109" s="1357">
        <f t="shared" ca="1" si="16"/>
        <v>1.0807137510471016E-2</v>
      </c>
      <c r="L109" s="1357">
        <f t="shared" ca="1" si="16"/>
        <v>1.0342372659280986E-2</v>
      </c>
      <c r="M109" s="1357">
        <f t="shared" ca="1" si="16"/>
        <v>9.0599918615207539E-3</v>
      </c>
    </row>
    <row r="110" spans="2:15" ht="13" outlineLevel="1" x14ac:dyDescent="0.3">
      <c r="B110" s="353" t="s">
        <v>1517</v>
      </c>
      <c r="C110" s="130"/>
      <c r="D110" s="130"/>
      <c r="E110" s="130"/>
      <c r="F110" s="130"/>
      <c r="G110" s="1357">
        <f t="shared" ref="G110:M110" ca="1" si="17">G35/G$98</f>
        <v>4.1888316438905308E-3</v>
      </c>
      <c r="H110" s="1357">
        <f t="shared" ca="1" si="17"/>
        <v>4.1888316438905308E-3</v>
      </c>
      <c r="I110" s="1357">
        <f t="shared" ca="1" si="17"/>
        <v>4.5942952532298138E-3</v>
      </c>
      <c r="J110" s="1357">
        <f t="shared" ca="1" si="17"/>
        <v>5.2246056215360095E-3</v>
      </c>
      <c r="K110" s="1357">
        <f t="shared" ca="1" si="17"/>
        <v>6.2013306173879816E-3</v>
      </c>
      <c r="L110" s="1357">
        <f t="shared" ca="1" si="17"/>
        <v>8.0176823496912325E-3</v>
      </c>
      <c r="M110" s="1357">
        <f t="shared" ca="1" si="17"/>
        <v>1.3103776742656262E-2</v>
      </c>
    </row>
    <row r="111" spans="2:15" ht="13" outlineLevel="1" x14ac:dyDescent="0.3">
      <c r="B111" s="353" t="s">
        <v>1518</v>
      </c>
      <c r="C111" s="130"/>
      <c r="D111" s="130"/>
      <c r="E111" s="130"/>
      <c r="F111" s="130"/>
      <c r="G111" s="1357">
        <f t="shared" ref="G111:M111" ca="1" si="18">G36/G$98</f>
        <v>2.681955720057096E-2</v>
      </c>
      <c r="H111" s="1357">
        <f t="shared" ca="1" si="18"/>
        <v>2.681955720057096E-2</v>
      </c>
      <c r="I111" s="1357">
        <f t="shared" ca="1" si="18"/>
        <v>2.9333426410694849E-2</v>
      </c>
      <c r="J111" s="1357">
        <f t="shared" ca="1" si="18"/>
        <v>3.3237451588550425E-2</v>
      </c>
      <c r="K111" s="1357">
        <f t="shared" ca="1" si="18"/>
        <v>3.928622118914768E-2</v>
      </c>
      <c r="L111" s="1357">
        <f t="shared" ca="1" si="18"/>
        <v>5.0517951447017678E-2</v>
      </c>
      <c r="M111" s="1357">
        <f t="shared" ca="1" si="18"/>
        <v>8.187173536465199E-2</v>
      </c>
    </row>
    <row r="112" spans="2:15" ht="13" outlineLevel="1" x14ac:dyDescent="0.3">
      <c r="B112" s="353" t="s">
        <v>1519</v>
      </c>
      <c r="C112" s="130"/>
      <c r="D112" s="130"/>
      <c r="E112" s="130"/>
      <c r="F112" s="130"/>
      <c r="G112" s="1357">
        <f t="shared" ref="G112:M112" ca="1" si="19">G37/G$98</f>
        <v>3.1186273904187937E-2</v>
      </c>
      <c r="H112" s="1357">
        <f t="shared" ca="1" si="19"/>
        <v>3.1186273904187937E-2</v>
      </c>
      <c r="I112" s="1357">
        <f t="shared" ca="1" si="19"/>
        <v>3.422873578721556E-2</v>
      </c>
      <c r="J112" s="1357">
        <f t="shared" ca="1" si="19"/>
        <v>3.8909279111672052E-2</v>
      </c>
      <c r="K112" s="1357">
        <f t="shared" ca="1" si="19"/>
        <v>4.6279468405766078E-2</v>
      </c>
      <c r="L112" s="1357">
        <f t="shared" ca="1" si="19"/>
        <v>5.9870273703398168E-2</v>
      </c>
      <c r="M112" s="1357">
        <f t="shared" ca="1" si="19"/>
        <v>9.8273413573302562E-2</v>
      </c>
    </row>
    <row r="113" spans="2:14" ht="13" outlineLevel="1" x14ac:dyDescent="0.3">
      <c r="B113" s="353" t="s">
        <v>1520</v>
      </c>
      <c r="C113" s="130"/>
      <c r="D113" s="130"/>
      <c r="E113" s="130"/>
      <c r="F113" s="130"/>
      <c r="G113" s="1357">
        <f t="shared" ref="G113:M113" ca="1" si="20">G38/G$98</f>
        <v>2.7381866838873326E-2</v>
      </c>
      <c r="H113" s="1357">
        <f t="shared" ca="1" si="20"/>
        <v>2.7381866838873326E-2</v>
      </c>
      <c r="I113" s="1357">
        <f t="shared" ca="1" si="20"/>
        <v>2.7419704906336353E-2</v>
      </c>
      <c r="J113" s="1357">
        <f t="shared" ca="1" si="20"/>
        <v>2.7477739666633232E-2</v>
      </c>
      <c r="K113" s="1357">
        <f t="shared" ca="1" si="20"/>
        <v>2.7588918011127644E-2</v>
      </c>
      <c r="L113" s="1357">
        <f t="shared" ca="1" si="20"/>
        <v>2.777311962571127E-2</v>
      </c>
      <c r="M113" s="1357">
        <f t="shared" ca="1" si="20"/>
        <v>2.8361660053660621E-2</v>
      </c>
    </row>
    <row r="114" spans="2:14" ht="13" outlineLevel="1" x14ac:dyDescent="0.3">
      <c r="B114" s="353" t="s">
        <v>1521</v>
      </c>
      <c r="C114" s="130"/>
      <c r="D114" s="130"/>
      <c r="E114" s="130"/>
      <c r="F114" s="130"/>
      <c r="G114" s="1357">
        <f t="shared" ref="G114:M114" ca="1" si="21">G39/G$98</f>
        <v>0</v>
      </c>
      <c r="H114" s="1357">
        <f t="shared" ca="1" si="21"/>
        <v>0</v>
      </c>
      <c r="I114" s="1357">
        <f t="shared" ca="1" si="21"/>
        <v>0</v>
      </c>
      <c r="J114" s="1357">
        <f t="shared" ca="1" si="21"/>
        <v>0</v>
      </c>
      <c r="K114" s="1357">
        <f t="shared" ca="1" si="21"/>
        <v>0</v>
      </c>
      <c r="L114" s="1357">
        <f t="shared" ca="1" si="21"/>
        <v>0</v>
      </c>
      <c r="M114" s="1357">
        <f t="shared" ca="1" si="21"/>
        <v>0</v>
      </c>
    </row>
    <row r="115" spans="2:14" ht="13" outlineLevel="1" x14ac:dyDescent="0.3">
      <c r="B115" s="353" t="s">
        <v>1522</v>
      </c>
      <c r="C115" s="132"/>
      <c r="D115" s="353"/>
      <c r="E115" s="353"/>
      <c r="F115" s="511"/>
      <c r="G115" s="1357">
        <f t="shared" ref="G115:M115" ca="1" si="22">G40/G$98</f>
        <v>0.54286877354998364</v>
      </c>
      <c r="H115" s="1357">
        <f t="shared" ca="1" si="22"/>
        <v>0.54286877354998364</v>
      </c>
      <c r="I115" s="1357">
        <f t="shared" ca="1" si="22"/>
        <v>0.54463766230614707</v>
      </c>
      <c r="J115" s="1357">
        <f t="shared" ca="1" si="22"/>
        <v>0.547375275596653</v>
      </c>
      <c r="K115" s="1357">
        <f t="shared" ca="1" si="22"/>
        <v>0.55199624978392869</v>
      </c>
      <c r="L115" s="1357">
        <f t="shared" ca="1" si="22"/>
        <v>0.56015088050073802</v>
      </c>
      <c r="M115" s="1357">
        <f t="shared" ca="1" si="22"/>
        <v>0.5840619200085968</v>
      </c>
      <c r="N115" s="737"/>
    </row>
    <row r="116" spans="2:14" ht="13" outlineLevel="1" x14ac:dyDescent="0.3">
      <c r="B116" s="353"/>
      <c r="C116" s="132"/>
      <c r="D116" s="353"/>
      <c r="E116" s="353"/>
      <c r="F116" s="511"/>
      <c r="G116" s="1357"/>
      <c r="H116" s="1357"/>
      <c r="I116" s="1357"/>
      <c r="J116" s="1357"/>
      <c r="K116" s="1357"/>
      <c r="L116" s="1357"/>
      <c r="M116" s="1357"/>
      <c r="N116" s="737"/>
    </row>
    <row r="117" spans="2:14" ht="14" outlineLevel="1" x14ac:dyDescent="0.3">
      <c r="B117" s="665" t="s">
        <v>1478</v>
      </c>
      <c r="C117" s="132"/>
      <c r="D117" s="353"/>
      <c r="E117" s="353"/>
      <c r="F117" s="511"/>
      <c r="G117" s="1357"/>
      <c r="H117" s="1357"/>
      <c r="I117" s="1357"/>
      <c r="J117" s="1357"/>
      <c r="K117" s="1357"/>
      <c r="L117" s="1357"/>
      <c r="M117" s="1357"/>
      <c r="N117" s="737"/>
    </row>
    <row r="118" spans="2:14" ht="13" outlineLevel="1" x14ac:dyDescent="0.3">
      <c r="B118" s="1359" t="s">
        <v>1412</v>
      </c>
      <c r="C118" s="130"/>
      <c r="D118" s="353"/>
      <c r="E118" s="353"/>
      <c r="F118" s="511"/>
      <c r="G118" s="1357">
        <f t="shared" ref="G118:M118" ca="1" si="23">G43/G$98</f>
        <v>0</v>
      </c>
      <c r="H118" s="1357">
        <f t="shared" ca="1" si="23"/>
        <v>0</v>
      </c>
      <c r="I118" s="1357">
        <f t="shared" ca="1" si="23"/>
        <v>0</v>
      </c>
      <c r="J118" s="1357">
        <f t="shared" ca="1" si="23"/>
        <v>0</v>
      </c>
      <c r="K118" s="1357">
        <f t="shared" ca="1" si="23"/>
        <v>0</v>
      </c>
      <c r="L118" s="1357">
        <f t="shared" ca="1" si="23"/>
        <v>0</v>
      </c>
      <c r="M118" s="1357">
        <f t="shared" ca="1" si="23"/>
        <v>0</v>
      </c>
      <c r="N118" s="737"/>
    </row>
    <row r="119" spans="2:14" ht="13" outlineLevel="1" x14ac:dyDescent="0.3">
      <c r="B119" s="9" t="s">
        <v>1523</v>
      </c>
      <c r="C119" s="130"/>
      <c r="D119" s="353"/>
      <c r="E119" s="353"/>
      <c r="F119" s="511"/>
      <c r="G119" s="1357">
        <f t="shared" ref="G119:M119" ca="1" si="24">G44/G$98</f>
        <v>3.5895637156070736E-3</v>
      </c>
      <c r="H119" s="1357">
        <f t="shared" ca="1" si="24"/>
        <v>3.5895637156070736E-3</v>
      </c>
      <c r="I119" s="1357">
        <f t="shared" ca="1" si="24"/>
        <v>3.5615253164622647E-3</v>
      </c>
      <c r="J119" s="1357">
        <f t="shared" ca="1" si="24"/>
        <v>3.5188980866040264E-3</v>
      </c>
      <c r="K119" s="1357">
        <f t="shared" ca="1" si="24"/>
        <v>3.4488832411733498E-3</v>
      </c>
      <c r="L119" s="1357">
        <f t="shared" ca="1" si="24"/>
        <v>3.3167632007554139E-3</v>
      </c>
      <c r="M119" s="1357">
        <f t="shared" ca="1" si="24"/>
        <v>2.9371158283925001E-3</v>
      </c>
      <c r="N119" s="737"/>
    </row>
    <row r="120" spans="2:14" ht="13" outlineLevel="1" x14ac:dyDescent="0.3">
      <c r="B120" s="9" t="s">
        <v>1524</v>
      </c>
      <c r="C120" s="130"/>
      <c r="D120" s="353"/>
      <c r="E120" s="353"/>
      <c r="F120" s="511"/>
      <c r="G120" s="1357">
        <f t="shared" ref="G120:M120" ca="1" si="25">G45/G$98</f>
        <v>7.2639566906789622E-3</v>
      </c>
      <c r="H120" s="1357">
        <f t="shared" ca="1" si="25"/>
        <v>7.2639566906789622E-3</v>
      </c>
      <c r="I120" s="1357">
        <f t="shared" ca="1" si="25"/>
        <v>7.2134370161818341E-3</v>
      </c>
      <c r="J120" s="1357">
        <f t="shared" ca="1" si="25"/>
        <v>7.1503758058774902E-3</v>
      </c>
      <c r="K120" s="1357">
        <f t="shared" ca="1" si="25"/>
        <v>7.021636581084326E-3</v>
      </c>
      <c r="L120" s="1357">
        <f t="shared" ca="1" si="25"/>
        <v>6.8085483555416744E-3</v>
      </c>
      <c r="M120" s="1357">
        <f t="shared" ca="1" si="25"/>
        <v>6.1692642220449864E-3</v>
      </c>
      <c r="N120" s="737"/>
    </row>
    <row r="121" spans="2:14" ht="13" outlineLevel="1" x14ac:dyDescent="0.3">
      <c r="B121" s="61" t="s">
        <v>1525</v>
      </c>
      <c r="C121" s="130"/>
      <c r="D121" s="353"/>
      <c r="E121" s="353"/>
      <c r="F121" s="511"/>
      <c r="G121" s="1357">
        <f t="shared" ref="G121:M121" ca="1" si="26">G46/G$98</f>
        <v>9.5330931984671328E-3</v>
      </c>
      <c r="H121" s="1357">
        <f t="shared" ca="1" si="26"/>
        <v>9.5330931984671328E-3</v>
      </c>
      <c r="I121" s="1357">
        <f t="shared" ca="1" si="26"/>
        <v>9.4697959977360115E-3</v>
      </c>
      <c r="J121" s="1357">
        <f t="shared" ca="1" si="26"/>
        <v>9.3610948125269055E-3</v>
      </c>
      <c r="K121" s="1357">
        <f t="shared" ca="1" si="26"/>
        <v>9.2066865961984348E-3</v>
      </c>
      <c r="L121" s="1357">
        <f t="shared" ca="1" si="26"/>
        <v>8.885555815181077E-3</v>
      </c>
      <c r="M121" s="1357">
        <f t="shared" ca="1" si="26"/>
        <v>7.9874433852533955E-3</v>
      </c>
      <c r="N121" s="737"/>
    </row>
    <row r="122" spans="2:14" ht="13" outlineLevel="1" x14ac:dyDescent="0.3">
      <c r="B122" s="61" t="s">
        <v>1526</v>
      </c>
      <c r="C122" s="130"/>
      <c r="D122" s="353"/>
      <c r="E122" s="353"/>
      <c r="F122" s="511"/>
      <c r="G122" s="1357">
        <f t="shared" ref="G122:M122" ca="1" si="27">G47/G$98</f>
        <v>2.0386613604753166E-2</v>
      </c>
      <c r="H122" s="1357">
        <f t="shared" ca="1" si="27"/>
        <v>2.0386613604753166E-2</v>
      </c>
      <c r="I122" s="1357">
        <f t="shared" ca="1" si="27"/>
        <v>2.024475833038011E-2</v>
      </c>
      <c r="J122" s="1357">
        <f t="shared" ca="1" si="27"/>
        <v>2.0030368705008423E-2</v>
      </c>
      <c r="K122" s="1357">
        <f t="shared" ca="1" si="27"/>
        <v>1.9677206418456109E-2</v>
      </c>
      <c r="L122" s="1357">
        <f t="shared" ca="1" si="27"/>
        <v>1.9010867371478165E-2</v>
      </c>
      <c r="M122" s="1357">
        <f t="shared" ca="1" si="27"/>
        <v>1.7093823435690884E-2</v>
      </c>
      <c r="N122" s="737"/>
    </row>
    <row r="123" spans="2:14" ht="13" outlineLevel="1" x14ac:dyDescent="0.3">
      <c r="B123" s="9"/>
      <c r="C123" s="130"/>
      <c r="D123" s="353"/>
      <c r="E123" s="353"/>
      <c r="F123" s="511"/>
      <c r="G123" s="1357"/>
      <c r="H123" s="1357"/>
      <c r="I123" s="1357"/>
      <c r="J123" s="1357"/>
      <c r="K123" s="1357"/>
      <c r="L123" s="1357"/>
      <c r="M123" s="1357"/>
      <c r="N123" s="737"/>
    </row>
    <row r="124" spans="2:14" ht="13" outlineLevel="1" x14ac:dyDescent="0.3">
      <c r="B124" s="1360" t="s">
        <v>1413</v>
      </c>
      <c r="C124" s="130"/>
      <c r="D124" s="353"/>
      <c r="E124" s="353"/>
      <c r="F124" s="511"/>
      <c r="G124" s="1357"/>
      <c r="H124" s="1357"/>
      <c r="I124" s="1357"/>
      <c r="J124" s="1357"/>
      <c r="K124" s="1357"/>
      <c r="L124" s="1357"/>
      <c r="M124" s="1357"/>
      <c r="N124" s="737"/>
    </row>
    <row r="125" spans="2:14" ht="13" outlineLevel="1" x14ac:dyDescent="0.3">
      <c r="B125" s="355" t="s">
        <v>1527</v>
      </c>
      <c r="C125" s="130"/>
      <c r="D125" s="353"/>
      <c r="E125" s="353"/>
      <c r="F125" s="511"/>
      <c r="G125" s="1357">
        <f t="shared" ref="G125:M125" ca="1" si="28">G50/G$98</f>
        <v>0</v>
      </c>
      <c r="H125" s="1357">
        <f t="shared" ca="1" si="28"/>
        <v>0</v>
      </c>
      <c r="I125" s="1357">
        <f t="shared" ca="1" si="28"/>
        <v>0</v>
      </c>
      <c r="J125" s="1357">
        <f t="shared" ca="1" si="28"/>
        <v>0</v>
      </c>
      <c r="K125" s="1357">
        <f t="shared" ca="1" si="28"/>
        <v>0</v>
      </c>
      <c r="L125" s="1357">
        <f t="shared" ca="1" si="28"/>
        <v>0</v>
      </c>
      <c r="M125" s="1357">
        <f t="shared" ca="1" si="28"/>
        <v>0</v>
      </c>
      <c r="N125" s="737"/>
    </row>
    <row r="126" spans="2:14" ht="13" outlineLevel="1" x14ac:dyDescent="0.3">
      <c r="B126" s="61" t="s">
        <v>1528</v>
      </c>
      <c r="C126" s="130"/>
      <c r="D126" s="353"/>
      <c r="E126" s="353"/>
      <c r="F126" s="511"/>
      <c r="G126" s="1357">
        <f t="shared" ref="G126:M126" ca="1" si="29">G51/G$98</f>
        <v>7.6719669291499207E-3</v>
      </c>
      <c r="H126" s="1357">
        <f t="shared" ca="1" si="29"/>
        <v>7.6719669291499207E-3</v>
      </c>
      <c r="I126" s="1357">
        <f t="shared" ca="1" si="29"/>
        <v>7.6281340021011118E-3</v>
      </c>
      <c r="J126" s="1357">
        <f t="shared" ca="1" si="29"/>
        <v>7.5466640823222721E-3</v>
      </c>
      <c r="K126" s="1357">
        <f t="shared" ca="1" si="29"/>
        <v>7.4416995180242897E-3</v>
      </c>
      <c r="L126" s="1357">
        <f t="shared" ca="1" si="29"/>
        <v>7.2078770711436254E-3</v>
      </c>
      <c r="M126" s="1357">
        <f t="shared" ca="1" si="29"/>
        <v>6.5648265825687903E-3</v>
      </c>
      <c r="N126" s="737"/>
    </row>
    <row r="127" spans="2:14" ht="13" outlineLevel="1" x14ac:dyDescent="0.3">
      <c r="B127" s="90" t="s">
        <v>1529</v>
      </c>
      <c r="C127" s="130"/>
      <c r="D127" s="353"/>
      <c r="E127" s="353"/>
      <c r="F127" s="511"/>
      <c r="G127" s="1357">
        <f t="shared" ref="G127:M127" ca="1" si="30">G52/G$98</f>
        <v>4.3765320411942449E-2</v>
      </c>
      <c r="H127" s="1357">
        <f t="shared" ca="1" si="30"/>
        <v>4.3765320411942449E-2</v>
      </c>
      <c r="I127" s="1357">
        <f t="shared" ca="1" si="30"/>
        <v>4.3401872175589405E-2</v>
      </c>
      <c r="J127" s="1357">
        <f t="shared" ca="1" si="30"/>
        <v>4.2823833679850425E-2</v>
      </c>
      <c r="K127" s="1357">
        <f t="shared" ca="1" si="30"/>
        <v>4.193185714581589E-2</v>
      </c>
      <c r="L127" s="1357">
        <f t="shared" ca="1" si="30"/>
        <v>4.0196699462934138E-2</v>
      </c>
      <c r="M127" s="1357">
        <f t="shared" ca="1" si="30"/>
        <v>3.5291679022548393E-2</v>
      </c>
      <c r="N127" s="737"/>
    </row>
    <row r="128" spans="2:14" ht="13" outlineLevel="1" x14ac:dyDescent="0.3">
      <c r="B128" s="353" t="s">
        <v>1530</v>
      </c>
      <c r="C128" s="130"/>
      <c r="D128" s="353"/>
      <c r="E128" s="353"/>
      <c r="F128" s="511"/>
      <c r="G128" s="1357">
        <f t="shared" ref="G128:M128" ca="1" si="31">G53/G$98</f>
        <v>7.4602857650637767E-3</v>
      </c>
      <c r="H128" s="1357">
        <f t="shared" ca="1" si="31"/>
        <v>7.4602857650637767E-3</v>
      </c>
      <c r="I128" s="1357">
        <f t="shared" ca="1" si="31"/>
        <v>7.3893729766397334E-3</v>
      </c>
      <c r="J128" s="1357">
        <f t="shared" ca="1" si="31"/>
        <v>7.3117694826377432E-3</v>
      </c>
      <c r="K128" s="1357">
        <f t="shared" ca="1" si="31"/>
        <v>7.1284122018700474E-3</v>
      </c>
      <c r="L128" s="1357">
        <f t="shared" ca="1" si="31"/>
        <v>6.8512102019486201E-3</v>
      </c>
      <c r="M128" s="1357">
        <f t="shared" ca="1" si="31"/>
        <v>6.0082632456050578E-3</v>
      </c>
      <c r="N128" s="737"/>
    </row>
    <row r="129" spans="2:14" ht="13" outlineLevel="1" x14ac:dyDescent="0.3">
      <c r="B129" s="1051" t="s">
        <v>1531</v>
      </c>
      <c r="C129" s="130"/>
      <c r="D129" s="353"/>
      <c r="E129" s="353"/>
      <c r="F129" s="511"/>
      <c r="G129" s="1357">
        <f t="shared" ref="G129:M129" ca="1" si="32">G54/G$98</f>
        <v>1.615897446038451E-3</v>
      </c>
      <c r="H129" s="1357">
        <f t="shared" ca="1" si="32"/>
        <v>1.615897446038451E-3</v>
      </c>
      <c r="I129" s="1357">
        <f t="shared" ca="1" si="32"/>
        <v>1.6050019857308312E-3</v>
      </c>
      <c r="J129" s="1357">
        <f t="shared" ca="1" si="32"/>
        <v>1.5923291656956811E-3</v>
      </c>
      <c r="K129" s="1357">
        <f t="shared" ca="1" si="32"/>
        <v>1.5644054733160761E-3</v>
      </c>
      <c r="L129" s="1357">
        <f t="shared" ca="1" si="32"/>
        <v>1.5201331839268281E-3</v>
      </c>
      <c r="M129" s="1357">
        <f t="shared" ca="1" si="32"/>
        <v>1.3853603365936685E-3</v>
      </c>
      <c r="N129" s="737"/>
    </row>
    <row r="130" spans="2:14" ht="13" outlineLevel="1" x14ac:dyDescent="0.3">
      <c r="B130" s="353" t="s">
        <v>1532</v>
      </c>
      <c r="C130" s="130"/>
      <c r="D130" s="353"/>
      <c r="E130" s="353"/>
      <c r="F130" s="511"/>
      <c r="G130" s="1357">
        <f t="shared" ref="G130:M130" ca="1" si="33">G55/G$98</f>
        <v>1.430612738947058E-3</v>
      </c>
      <c r="H130" s="1357">
        <f t="shared" ca="1" si="33"/>
        <v>1.430612738947058E-3</v>
      </c>
      <c r="I130" s="1357">
        <f t="shared" ca="1" si="33"/>
        <v>1.4190196707183972E-3</v>
      </c>
      <c r="J130" s="1357">
        <f t="shared" ca="1" si="33"/>
        <v>1.4004698848736415E-3</v>
      </c>
      <c r="K130" s="1357">
        <f t="shared" ca="1" si="33"/>
        <v>1.3716947562885632E-3</v>
      </c>
      <c r="L130" s="1357">
        <f t="shared" ca="1" si="33"/>
        <v>1.3153873699193188E-3</v>
      </c>
      <c r="M130" s="1357">
        <f t="shared" ca="1" si="33"/>
        <v>1.155402583856819E-3</v>
      </c>
      <c r="N130" s="737"/>
    </row>
    <row r="131" spans="2:14" ht="13" outlineLevel="1" x14ac:dyDescent="0.3">
      <c r="B131" s="9" t="s">
        <v>1533</v>
      </c>
      <c r="C131" s="130"/>
      <c r="D131" s="353"/>
      <c r="E131" s="353"/>
      <c r="F131" s="511"/>
      <c r="G131" s="1357">
        <f t="shared" ref="G131:M131" ca="1" si="34">G56/G$98</f>
        <v>4.2797351109983041E-3</v>
      </c>
      <c r="H131" s="1357">
        <f t="shared" ca="1" si="34"/>
        <v>4.2797351109983041E-3</v>
      </c>
      <c r="I131" s="1357">
        <f t="shared" ca="1" si="34"/>
        <v>4.2515292186389008E-3</v>
      </c>
      <c r="J131" s="1357">
        <f t="shared" ca="1" si="34"/>
        <v>4.2267196881927956E-3</v>
      </c>
      <c r="K131" s="1357">
        <f t="shared" ca="1" si="34"/>
        <v>4.1531211618628227E-3</v>
      </c>
      <c r="L131" s="1357">
        <f t="shared" ca="1" si="34"/>
        <v>4.053538110309886E-3</v>
      </c>
      <c r="M131" s="1357">
        <f t="shared" ca="1" si="34"/>
        <v>3.735860117795971E-3</v>
      </c>
      <c r="N131" s="737"/>
    </row>
    <row r="132" spans="2:14" ht="13" outlineLevel="1" x14ac:dyDescent="0.3">
      <c r="B132" s="353" t="s">
        <v>1534</v>
      </c>
      <c r="C132" s="130"/>
      <c r="D132" s="353"/>
      <c r="E132" s="353"/>
      <c r="F132" s="511"/>
      <c r="G132" s="1357">
        <f t="shared" ref="G132:M132" ca="1" si="35">G57/G$98</f>
        <v>9.0834297116528016E-4</v>
      </c>
      <c r="H132" s="1357">
        <f t="shared" ca="1" si="35"/>
        <v>9.0834297116528016E-4</v>
      </c>
      <c r="I132" s="1357">
        <f t="shared" ca="1" si="35"/>
        <v>9.0098215173940667E-4</v>
      </c>
      <c r="J132" s="1357">
        <f t="shared" ca="1" si="35"/>
        <v>8.892042840258097E-4</v>
      </c>
      <c r="K132" s="1357">
        <f t="shared" ca="1" si="35"/>
        <v>8.7093401067855111E-4</v>
      </c>
      <c r="L132" s="1357">
        <f t="shared" ca="1" si="35"/>
        <v>8.3518260343829755E-4</v>
      </c>
      <c r="M132" s="1357">
        <f t="shared" ca="1" si="35"/>
        <v>7.336030131291758E-4</v>
      </c>
      <c r="N132" s="737"/>
    </row>
    <row r="133" spans="2:14" ht="13" outlineLevel="1" x14ac:dyDescent="0.3">
      <c r="B133" s="355" t="s">
        <v>1535</v>
      </c>
      <c r="C133" s="130"/>
      <c r="D133" s="353"/>
      <c r="E133" s="353"/>
      <c r="F133" s="511"/>
      <c r="G133" s="1357">
        <f t="shared" ref="G133:M133" ca="1" si="36">G58/G$98</f>
        <v>6.7132161373305244E-2</v>
      </c>
      <c r="H133" s="1357">
        <f t="shared" ca="1" si="36"/>
        <v>6.7132161373305244E-2</v>
      </c>
      <c r="I133" s="1357">
        <f t="shared" ca="1" si="36"/>
        <v>6.659591218115779E-2</v>
      </c>
      <c r="J133" s="1357">
        <f t="shared" ca="1" si="36"/>
        <v>6.5790990267598382E-2</v>
      </c>
      <c r="K133" s="1357">
        <f t="shared" ca="1" si="36"/>
        <v>6.4462124267856247E-2</v>
      </c>
      <c r="L133" s="1357">
        <f t="shared" ca="1" si="36"/>
        <v>6.1980028003620714E-2</v>
      </c>
      <c r="M133" s="1357">
        <f t="shared" ca="1" si="36"/>
        <v>5.4874994902097886E-2</v>
      </c>
      <c r="N133" s="737"/>
    </row>
    <row r="134" spans="2:14" ht="13" outlineLevel="1" x14ac:dyDescent="0.3">
      <c r="B134" s="355"/>
      <c r="C134" s="130"/>
      <c r="D134" s="353"/>
      <c r="E134" s="353"/>
      <c r="F134" s="511"/>
      <c r="G134" s="1357"/>
      <c r="H134" s="1357"/>
      <c r="I134" s="1357"/>
      <c r="J134" s="1357"/>
      <c r="K134" s="1357"/>
      <c r="L134" s="1357"/>
      <c r="M134" s="1357"/>
      <c r="N134" s="737"/>
    </row>
    <row r="135" spans="2:14" ht="13" outlineLevel="1" x14ac:dyDescent="0.3">
      <c r="B135" s="1360" t="s">
        <v>1414</v>
      </c>
      <c r="C135" s="130"/>
      <c r="D135" s="353"/>
      <c r="E135" s="353"/>
      <c r="F135" s="511"/>
      <c r="G135" s="1357"/>
      <c r="H135" s="1357"/>
      <c r="I135" s="1357"/>
      <c r="J135" s="1357"/>
      <c r="K135" s="1357"/>
      <c r="L135" s="1357"/>
      <c r="M135" s="1357"/>
      <c r="N135" s="737"/>
    </row>
    <row r="136" spans="2:14" ht="13" outlineLevel="1" x14ac:dyDescent="0.3">
      <c r="B136" s="355" t="s">
        <v>1536</v>
      </c>
      <c r="C136" s="130"/>
      <c r="D136" s="353"/>
      <c r="E136" s="353"/>
      <c r="F136" s="511"/>
      <c r="G136" s="1357">
        <f t="shared" ref="G136:M136" ca="1" si="37">G61/G$98</f>
        <v>0</v>
      </c>
      <c r="H136" s="1357">
        <f t="shared" ca="1" si="37"/>
        <v>0</v>
      </c>
      <c r="I136" s="1357">
        <f t="shared" ca="1" si="37"/>
        <v>0</v>
      </c>
      <c r="J136" s="1357">
        <f t="shared" ca="1" si="37"/>
        <v>0</v>
      </c>
      <c r="K136" s="1357">
        <f t="shared" ca="1" si="37"/>
        <v>0</v>
      </c>
      <c r="L136" s="1357">
        <f t="shared" ca="1" si="37"/>
        <v>0</v>
      </c>
      <c r="M136" s="1357">
        <f t="shared" ca="1" si="37"/>
        <v>0</v>
      </c>
      <c r="N136" s="737"/>
    </row>
    <row r="137" spans="2:14" ht="13" outlineLevel="1" x14ac:dyDescent="0.3">
      <c r="B137" s="1051" t="s">
        <v>1537</v>
      </c>
      <c r="C137" s="130"/>
      <c r="D137" s="353"/>
      <c r="E137" s="353"/>
      <c r="F137" s="511"/>
      <c r="G137" s="1357">
        <f t="shared" ref="G137:M137" ca="1" si="38">G62/G$98</f>
        <v>5.7300673742022874E-3</v>
      </c>
      <c r="H137" s="1357">
        <f t="shared" ca="1" si="38"/>
        <v>5.7300673742022874E-3</v>
      </c>
      <c r="I137" s="1357">
        <f t="shared" ca="1" si="38"/>
        <v>5.690776099020552E-3</v>
      </c>
      <c r="J137" s="1357">
        <f t="shared" ca="1" si="38"/>
        <v>5.6633493953732184E-3</v>
      </c>
      <c r="K137" s="1357">
        <f t="shared" ca="1" si="38"/>
        <v>5.5593705871236571E-3</v>
      </c>
      <c r="L137" s="1357">
        <f t="shared" ca="1" si="38"/>
        <v>5.4339574476357138E-3</v>
      </c>
      <c r="M137" s="1357">
        <f t="shared" ca="1" si="38"/>
        <v>5.0180140871783343E-3</v>
      </c>
      <c r="N137" s="737"/>
    </row>
    <row r="138" spans="2:14" ht="13" outlineLevel="1" x14ac:dyDescent="0.3">
      <c r="B138" s="90" t="s">
        <v>1538</v>
      </c>
      <c r="C138" s="130"/>
      <c r="D138" s="353"/>
      <c r="E138" s="353"/>
      <c r="F138" s="511"/>
      <c r="G138" s="1357">
        <f t="shared" ref="G138:M138" ca="1" si="39">G63/G$98</f>
        <v>2.9066975077288968E-4</v>
      </c>
      <c r="H138" s="1357">
        <f t="shared" ca="1" si="39"/>
        <v>2.9066975077288968E-4</v>
      </c>
      <c r="I138" s="1357">
        <f t="shared" ca="1" si="39"/>
        <v>2.8831428855661016E-4</v>
      </c>
      <c r="J138" s="1357">
        <f t="shared" ca="1" si="39"/>
        <v>2.8454537088825916E-4</v>
      </c>
      <c r="K138" s="1357">
        <f t="shared" ca="1" si="39"/>
        <v>2.7869888341713639E-4</v>
      </c>
      <c r="L138" s="1357">
        <f t="shared" ca="1" si="39"/>
        <v>2.6725843310025524E-4</v>
      </c>
      <c r="M138" s="1357">
        <f t="shared" ca="1" si="39"/>
        <v>2.3475296420133628E-4</v>
      </c>
      <c r="N138" s="737"/>
    </row>
    <row r="139" spans="2:14" ht="13" outlineLevel="1" x14ac:dyDescent="0.3">
      <c r="B139" s="353" t="s">
        <v>1539</v>
      </c>
      <c r="C139" s="130"/>
      <c r="D139" s="353"/>
      <c r="E139" s="353"/>
      <c r="F139" s="511"/>
      <c r="G139" s="1357">
        <f t="shared" ref="G139:M139" ca="1" si="40">G64/G$98</f>
        <v>1.7574014993667825E-3</v>
      </c>
      <c r="H139" s="1357">
        <f t="shared" ca="1" si="40"/>
        <v>1.7574014993667825E-3</v>
      </c>
      <c r="I139" s="1357">
        <f t="shared" ca="1" si="40"/>
        <v>1.7431602760555004E-3</v>
      </c>
      <c r="J139" s="1357">
        <f t="shared" ca="1" si="40"/>
        <v>1.7203732418225328E-3</v>
      </c>
      <c r="K139" s="1357">
        <f t="shared" ca="1" si="40"/>
        <v>1.6850251334608608E-3</v>
      </c>
      <c r="L139" s="1357">
        <f t="shared" ca="1" si="40"/>
        <v>1.6158556912094476E-3</v>
      </c>
      <c r="M139" s="1357">
        <f t="shared" ca="1" si="40"/>
        <v>1.4193262634699427E-3</v>
      </c>
      <c r="N139" s="737"/>
    </row>
    <row r="140" spans="2:14" ht="13" outlineLevel="1" x14ac:dyDescent="0.3">
      <c r="B140" s="353" t="s">
        <v>1540</v>
      </c>
      <c r="C140" s="130"/>
      <c r="D140" s="353"/>
      <c r="E140" s="353"/>
      <c r="F140" s="511"/>
      <c r="G140" s="1357">
        <f t="shared" ref="G140:M140" ca="1" si="41">G65/G$98</f>
        <v>1.2749054267148692E-3</v>
      </c>
      <c r="H140" s="1357">
        <f t="shared" ca="1" si="41"/>
        <v>1.2749054267148692E-3</v>
      </c>
      <c r="I140" s="1357">
        <f t="shared" ca="1" si="41"/>
        <v>1.2688373489983455E-3</v>
      </c>
      <c r="J140" s="1357">
        <f t="shared" ca="1" si="41"/>
        <v>1.2566274288328746E-3</v>
      </c>
      <c r="K140" s="1357">
        <f t="shared" ca="1" si="41"/>
        <v>1.2423049927465706E-3</v>
      </c>
      <c r="L140" s="1357">
        <f t="shared" ca="1" si="41"/>
        <v>1.207845160329845E-3</v>
      </c>
      <c r="M140" s="1357">
        <f t="shared" ca="1" si="41"/>
        <v>1.1127020831174258E-3</v>
      </c>
      <c r="N140" s="737"/>
    </row>
    <row r="141" spans="2:14" ht="13" outlineLevel="1" x14ac:dyDescent="0.3">
      <c r="B141" s="1050" t="s">
        <v>1541</v>
      </c>
      <c r="C141" s="130"/>
      <c r="D141" s="353"/>
      <c r="E141" s="353"/>
      <c r="F141" s="511"/>
      <c r="G141" s="1357">
        <f t="shared" ref="G141:M141" ca="1" si="42">G66/G$98</f>
        <v>4.6170456902815986E-3</v>
      </c>
      <c r="H141" s="1357">
        <f t="shared" ca="1" si="42"/>
        <v>4.6170456902815986E-3</v>
      </c>
      <c r="I141" s="1357">
        <f t="shared" ca="1" si="42"/>
        <v>4.5907295617924294E-3</v>
      </c>
      <c r="J141" s="1357">
        <f t="shared" ca="1" si="42"/>
        <v>4.5696923156604563E-3</v>
      </c>
      <c r="K141" s="1357">
        <f t="shared" ca="1" si="42"/>
        <v>4.500536919594054E-3</v>
      </c>
      <c r="L141" s="1357">
        <f t="shared" ca="1" si="42"/>
        <v>4.4108797004520214E-3</v>
      </c>
      <c r="M141" s="1357">
        <f t="shared" ca="1" si="42"/>
        <v>4.1158468582309492E-3</v>
      </c>
      <c r="N141" s="737"/>
    </row>
    <row r="142" spans="2:14" ht="13" outlineLevel="1" x14ac:dyDescent="0.3">
      <c r="B142" s="1050" t="s">
        <v>1542</v>
      </c>
      <c r="C142" s="130"/>
      <c r="D142" s="353"/>
      <c r="E142" s="353"/>
      <c r="F142" s="511"/>
      <c r="G142" s="1357">
        <f t="shared" ref="G142:M142" ca="1" si="43">G67/G$98</f>
        <v>7.8205090582535066E-4</v>
      </c>
      <c r="H142" s="1357">
        <f t="shared" ca="1" si="43"/>
        <v>7.8205090582535066E-4</v>
      </c>
      <c r="I142" s="1357">
        <f t="shared" ca="1" si="43"/>
        <v>7.7785527406544583E-4</v>
      </c>
      <c r="J142" s="1357">
        <f t="shared" ca="1" si="43"/>
        <v>7.6978365343350133E-4</v>
      </c>
      <c r="K142" s="1357">
        <f t="shared" ca="1" si="43"/>
        <v>7.5976000193947522E-4</v>
      </c>
      <c r="L142" s="1357">
        <f t="shared" ca="1" si="43"/>
        <v>7.3668757515483801E-4</v>
      </c>
      <c r="M142" s="1357">
        <f t="shared" ca="1" si="43"/>
        <v>6.7268913994643527E-4</v>
      </c>
      <c r="N142" s="737"/>
    </row>
    <row r="143" spans="2:14" ht="13" outlineLevel="1" x14ac:dyDescent="0.3">
      <c r="B143" s="1050" t="s">
        <v>1543</v>
      </c>
      <c r="C143" s="130"/>
      <c r="D143" s="353"/>
      <c r="E143" s="353"/>
      <c r="F143" s="511"/>
      <c r="G143" s="1357">
        <f t="shared" ref="G143:M143" ca="1" si="44">G68/G$98</f>
        <v>7.3117833748135327E-4</v>
      </c>
      <c r="H143" s="1357">
        <f t="shared" ca="1" si="44"/>
        <v>7.3117833748135327E-4</v>
      </c>
      <c r="I143" s="1357">
        <f t="shared" ca="1" si="44"/>
        <v>7.2525318378813307E-4</v>
      </c>
      <c r="J143" s="1357">
        <f t="shared" ca="1" si="44"/>
        <v>7.1577248981319591E-4</v>
      </c>
      <c r="K143" s="1357">
        <f t="shared" ca="1" si="44"/>
        <v>7.0106567915307618E-4</v>
      </c>
      <c r="L143" s="1357">
        <f t="shared" ca="1" si="44"/>
        <v>6.7228728229377921E-4</v>
      </c>
      <c r="M143" s="1357">
        <f t="shared" ca="1" si="44"/>
        <v>5.9051993414225581E-4</v>
      </c>
      <c r="N143" s="737"/>
    </row>
    <row r="144" spans="2:14" ht="13" outlineLevel="1" x14ac:dyDescent="0.3">
      <c r="B144" s="353" t="s">
        <v>1544</v>
      </c>
      <c r="C144" s="130"/>
      <c r="D144" s="353"/>
      <c r="E144" s="353"/>
      <c r="F144" s="511"/>
      <c r="G144" s="1357">
        <f t="shared" ref="G144:M144" ca="1" si="45">G69/G$98</f>
        <v>2.2977222615237314E-3</v>
      </c>
      <c r="H144" s="1357">
        <f t="shared" ca="1" si="45"/>
        <v>2.2977222615237314E-3</v>
      </c>
      <c r="I144" s="1357">
        <f t="shared" ca="1" si="45"/>
        <v>2.277747887623183E-3</v>
      </c>
      <c r="J144" s="1357">
        <f t="shared" ca="1" si="45"/>
        <v>2.2574708472661068E-3</v>
      </c>
      <c r="K144" s="1357">
        <f t="shared" ca="1" si="45"/>
        <v>2.2056314910036245E-3</v>
      </c>
      <c r="L144" s="1357">
        <f t="shared" ca="1" si="45"/>
        <v>2.1303413921728203E-3</v>
      </c>
      <c r="M144" s="1357">
        <f t="shared" ca="1" si="45"/>
        <v>1.8977584535921992E-3</v>
      </c>
      <c r="N144" s="737"/>
    </row>
    <row r="145" spans="2:14" ht="13" outlineLevel="1" x14ac:dyDescent="0.3">
      <c r="B145" s="353" t="s">
        <v>1545</v>
      </c>
      <c r="C145" s="130"/>
      <c r="D145" s="353"/>
      <c r="E145" s="353"/>
      <c r="F145" s="511"/>
      <c r="G145" s="1357">
        <f t="shared" ref="G145:M145" ca="1" si="46">G70/G$98</f>
        <v>8.7764288322450847E-3</v>
      </c>
      <c r="H145" s="1357">
        <f t="shared" ca="1" si="46"/>
        <v>8.7764288322450847E-3</v>
      </c>
      <c r="I145" s="1357">
        <f t="shared" ca="1" si="46"/>
        <v>8.7129661577622884E-3</v>
      </c>
      <c r="J145" s="1357">
        <f t="shared" ca="1" si="46"/>
        <v>8.6725285331012373E-3</v>
      </c>
      <c r="K145" s="1357">
        <f t="shared" ca="1" si="46"/>
        <v>8.5034381631336232E-3</v>
      </c>
      <c r="L145" s="1357">
        <f t="shared" ca="1" si="46"/>
        <v>8.3079407899854414E-3</v>
      </c>
      <c r="M145" s="1357">
        <f t="shared" ca="1" si="46"/>
        <v>7.648733194462346E-3</v>
      </c>
      <c r="N145" s="737"/>
    </row>
    <row r="146" spans="2:14" ht="13" outlineLevel="1" x14ac:dyDescent="0.3">
      <c r="B146" s="353" t="s">
        <v>1546</v>
      </c>
      <c r="C146" s="130"/>
      <c r="D146" s="353"/>
      <c r="E146" s="353"/>
      <c r="F146" s="511"/>
      <c r="G146" s="1357">
        <f t="shared" ref="G146:M146" ca="1" si="47">G71/G$98</f>
        <v>1.5490025766281528E-3</v>
      </c>
      <c r="H146" s="1357">
        <f t="shared" ca="1" si="47"/>
        <v>1.5490025766281528E-3</v>
      </c>
      <c r="I146" s="1357">
        <f t="shared" ca="1" si="47"/>
        <v>1.5376980400223963E-3</v>
      </c>
      <c r="J146" s="1357">
        <f t="shared" ca="1" si="47"/>
        <v>1.5312717841757357E-3</v>
      </c>
      <c r="K146" s="1357">
        <f t="shared" ca="1" si="47"/>
        <v>1.5009853085602392E-3</v>
      </c>
      <c r="L146" s="1357">
        <f t="shared" ca="1" si="47"/>
        <v>1.467596977233233E-3</v>
      </c>
      <c r="M146" s="1357">
        <f t="shared" ca="1" si="47"/>
        <v>1.3529143294019718E-3</v>
      </c>
      <c r="N146" s="737"/>
    </row>
    <row r="147" spans="2:14" ht="13" outlineLevel="1" x14ac:dyDescent="0.3">
      <c r="B147" s="353" t="s">
        <v>1547</v>
      </c>
      <c r="C147" s="130"/>
      <c r="D147" s="353"/>
      <c r="E147" s="353"/>
      <c r="F147" s="511"/>
      <c r="G147" s="1357">
        <f t="shared" ref="G147:M147" ca="1" si="48">G72/G$98</f>
        <v>1.8166859423305603E-2</v>
      </c>
      <c r="H147" s="1357">
        <f t="shared" ca="1" si="48"/>
        <v>1.8166859423305603E-2</v>
      </c>
      <c r="I147" s="1357">
        <f t="shared" ca="1" si="48"/>
        <v>1.8019643034788133E-2</v>
      </c>
      <c r="J147" s="1357">
        <f t="shared" ca="1" si="48"/>
        <v>1.7784085680516194E-2</v>
      </c>
      <c r="K147" s="1357">
        <f t="shared" ca="1" si="48"/>
        <v>1.7418680213571021E-2</v>
      </c>
      <c r="L147" s="1357">
        <f t="shared" ca="1" si="48"/>
        <v>1.6703652068765951E-2</v>
      </c>
      <c r="M147" s="1357">
        <f t="shared" ca="1" si="48"/>
        <v>1.4672060262583516E-2</v>
      </c>
      <c r="N147" s="737"/>
    </row>
    <row r="148" spans="2:14" ht="13" outlineLevel="1" x14ac:dyDescent="0.3">
      <c r="B148" s="353" t="s">
        <v>1548</v>
      </c>
      <c r="C148" s="130"/>
      <c r="D148" s="353"/>
      <c r="E148" s="353"/>
      <c r="F148" s="511"/>
      <c r="G148" s="1357">
        <f t="shared" ref="G148:M148" ca="1" si="49">G73/G$98</f>
        <v>1.8166859423305603E-3</v>
      </c>
      <c r="H148" s="1357">
        <f t="shared" ca="1" si="49"/>
        <v>1.8166859423305603E-3</v>
      </c>
      <c r="I148" s="1357">
        <f t="shared" ca="1" si="49"/>
        <v>1.8019643034788133E-3</v>
      </c>
      <c r="J148" s="1357">
        <f t="shared" ca="1" si="49"/>
        <v>1.7784085680516194E-3</v>
      </c>
      <c r="K148" s="1357">
        <f t="shared" ca="1" si="49"/>
        <v>1.7418680213571022E-3</v>
      </c>
      <c r="L148" s="1357">
        <f t="shared" ca="1" si="49"/>
        <v>1.6703652068765951E-3</v>
      </c>
      <c r="M148" s="1357">
        <f t="shared" ca="1" si="49"/>
        <v>1.4672060262583516E-3</v>
      </c>
      <c r="N148" s="737"/>
    </row>
    <row r="149" spans="2:14" ht="13" outlineLevel="1" x14ac:dyDescent="0.3">
      <c r="B149" s="353" t="s">
        <v>1549</v>
      </c>
      <c r="C149" s="130"/>
      <c r="D149" s="353"/>
      <c r="E149" s="353"/>
      <c r="F149" s="511"/>
      <c r="G149" s="1357">
        <f t="shared" ref="G149:M149" ca="1" si="50">G74/G$98</f>
        <v>4.7790018020678268E-2</v>
      </c>
      <c r="H149" s="1357">
        <f t="shared" ca="1" si="50"/>
        <v>4.7790018020678268E-2</v>
      </c>
      <c r="I149" s="1357">
        <f t="shared" ca="1" si="50"/>
        <v>4.7434945455951824E-2</v>
      </c>
      <c r="J149" s="1357">
        <f t="shared" ca="1" si="50"/>
        <v>4.700390930893493E-2</v>
      </c>
      <c r="K149" s="1357">
        <f t="shared" ca="1" si="50"/>
        <v>4.6097365395060444E-2</v>
      </c>
      <c r="L149" s="1357">
        <f t="shared" ca="1" si="50"/>
        <v>4.4624667725209934E-2</v>
      </c>
      <c r="M149" s="1357">
        <f t="shared" ca="1" si="50"/>
        <v>4.0202523596585063E-2</v>
      </c>
      <c r="N149" s="737"/>
    </row>
    <row r="150" spans="2:14" ht="13" outlineLevel="1" x14ac:dyDescent="0.3">
      <c r="B150" s="353"/>
      <c r="C150" s="130"/>
      <c r="D150" s="353"/>
      <c r="E150" s="353"/>
      <c r="F150" s="511"/>
      <c r="G150" s="1357"/>
      <c r="H150" s="1357"/>
      <c r="I150" s="1357"/>
      <c r="J150" s="1357"/>
      <c r="K150" s="1357"/>
      <c r="L150" s="1357"/>
      <c r="M150" s="1357"/>
      <c r="N150" s="737"/>
    </row>
    <row r="151" spans="2:14" ht="13" outlineLevel="1" x14ac:dyDescent="0.3">
      <c r="B151" s="1360" t="s">
        <v>1496</v>
      </c>
      <c r="C151" s="130"/>
      <c r="D151" s="353"/>
      <c r="E151" s="353"/>
      <c r="F151" s="511"/>
      <c r="G151" s="1357"/>
      <c r="H151" s="1357"/>
      <c r="I151" s="1357"/>
      <c r="J151" s="1357"/>
      <c r="K151" s="1357"/>
      <c r="L151" s="1357"/>
      <c r="M151" s="1357"/>
      <c r="N151" s="737"/>
    </row>
    <row r="152" spans="2:14" ht="13" outlineLevel="1" x14ac:dyDescent="0.3">
      <c r="B152" s="353" t="s">
        <v>1550</v>
      </c>
      <c r="C152" s="130"/>
      <c r="D152" s="130"/>
      <c r="E152" s="130"/>
      <c r="F152" s="130"/>
      <c r="G152" s="1357">
        <f t="shared" ref="G152:M152" ca="1" si="51">G77/G$98</f>
        <v>0.13530879299873669</v>
      </c>
      <c r="H152" s="1357">
        <f t="shared" ca="1" si="51"/>
        <v>0.13530879299873669</v>
      </c>
      <c r="I152" s="1357">
        <f t="shared" ca="1" si="51"/>
        <v>0.13427561596748974</v>
      </c>
      <c r="J152" s="1357">
        <f t="shared" ca="1" si="51"/>
        <v>0.13282526828154173</v>
      </c>
      <c r="K152" s="1357">
        <f t="shared" ca="1" si="51"/>
        <v>0.13023669608137281</v>
      </c>
      <c r="L152" s="1357">
        <f t="shared" ca="1" si="51"/>
        <v>0.1256155631003088</v>
      </c>
      <c r="M152" s="1357">
        <f t="shared" ca="1" si="51"/>
        <v>0.11217134193437382</v>
      </c>
    </row>
    <row r="153" spans="2:14" outlineLevel="1" x14ac:dyDescent="0.25">
      <c r="B153" s="353"/>
      <c r="G153" s="1357"/>
      <c r="H153" s="1357"/>
      <c r="I153" s="1357"/>
      <c r="J153" s="1357"/>
      <c r="K153" s="1357"/>
      <c r="L153" s="1357"/>
      <c r="M153" s="1357"/>
    </row>
    <row r="154" spans="2:14" ht="15.5" outlineLevel="1" x14ac:dyDescent="0.35">
      <c r="B154" s="6" t="s">
        <v>1498</v>
      </c>
      <c r="G154" s="1357"/>
      <c r="H154" s="1357"/>
      <c r="I154" s="1357"/>
      <c r="J154" s="1357"/>
      <c r="K154" s="1357"/>
      <c r="L154" s="1357"/>
      <c r="M154" s="1357"/>
    </row>
    <row r="155" spans="2:14" outlineLevel="1" x14ac:dyDescent="0.25">
      <c r="B155" s="353" t="s">
        <v>1551</v>
      </c>
      <c r="G155" s="1357">
        <f t="shared" ref="G155:M155" ca="1" si="52">G80/G$98</f>
        <v>1.5892488037637049E-2</v>
      </c>
      <c r="H155" s="1357">
        <f t="shared" ca="1" si="52"/>
        <v>1.5892488037637049E-2</v>
      </c>
      <c r="I155" s="1357">
        <f t="shared" ca="1" si="52"/>
        <v>1.6004125404753898E-2</v>
      </c>
      <c r="J155" s="1357">
        <f t="shared" ca="1" si="52"/>
        <v>1.6157487515393351E-2</v>
      </c>
      <c r="K155" s="1357">
        <f t="shared" ca="1" si="52"/>
        <v>1.6378356981673035E-2</v>
      </c>
      <c r="L155" s="1357">
        <f t="shared" ca="1" si="52"/>
        <v>1.6684339253846055E-2</v>
      </c>
      <c r="M155" s="1357">
        <f t="shared" ca="1" si="52"/>
        <v>1.7170797588207051E-2</v>
      </c>
    </row>
    <row r="156" spans="2:14" ht="13" outlineLevel="1" x14ac:dyDescent="0.3">
      <c r="B156" s="353" t="s">
        <v>1552</v>
      </c>
      <c r="C156" s="132"/>
      <c r="D156" s="353"/>
      <c r="E156" s="353"/>
      <c r="F156" s="511"/>
      <c r="G156" s="1357">
        <f t="shared" ref="G156:M156" ca="1" si="53">G81/G$98</f>
        <v>2.2790788501758422E-2</v>
      </c>
      <c r="H156" s="1357">
        <f t="shared" ca="1" si="53"/>
        <v>2.2790788501758422E-2</v>
      </c>
      <c r="I156" s="1357">
        <f t="shared" ca="1" si="53"/>
        <v>2.2778687612156436E-2</v>
      </c>
      <c r="J156" s="1357">
        <f t="shared" ca="1" si="53"/>
        <v>2.2743867204855266E-2</v>
      </c>
      <c r="K156" s="1357">
        <f t="shared" ca="1" si="53"/>
        <v>2.2682470679693877E-2</v>
      </c>
      <c r="L156" s="1357">
        <f t="shared" ca="1" si="53"/>
        <v>2.2554759419737839E-2</v>
      </c>
      <c r="M156" s="1357">
        <f t="shared" ca="1" si="53"/>
        <v>2.2045761584172107E-2</v>
      </c>
      <c r="N156" s="737"/>
    </row>
    <row r="157" spans="2:14" ht="13" outlineLevel="1" x14ac:dyDescent="0.3">
      <c r="B157" s="353" t="s">
        <v>1553</v>
      </c>
      <c r="C157" s="132"/>
      <c r="D157" s="353"/>
      <c r="E157" s="353"/>
      <c r="F157" s="511"/>
      <c r="G157" s="1357">
        <f t="shared" ref="G157:M157" ca="1" si="54">G82/G$98</f>
        <v>3.0213060743228368E-2</v>
      </c>
      <c r="H157" s="1357">
        <f t="shared" ca="1" si="54"/>
        <v>3.0213060743228368E-2</v>
      </c>
      <c r="I157" s="1357">
        <f t="shared" ca="1" si="54"/>
        <v>3.016700006704618E-2</v>
      </c>
      <c r="J157" s="1357">
        <f t="shared" ca="1" si="54"/>
        <v>3.0076428928434554E-2</v>
      </c>
      <c r="K157" s="1357">
        <f t="shared" ca="1" si="54"/>
        <v>2.9929116774122556E-2</v>
      </c>
      <c r="L157" s="1357">
        <f t="shared" ca="1" si="54"/>
        <v>2.9661054316145245E-2</v>
      </c>
      <c r="M157" s="1357">
        <f t="shared" ca="1" si="54"/>
        <v>2.8775942979206399E-2</v>
      </c>
      <c r="N157" s="737"/>
    </row>
    <row r="158" spans="2:14" ht="13" outlineLevel="1" x14ac:dyDescent="0.3">
      <c r="B158" s="353" t="s">
        <v>1554</v>
      </c>
      <c r="C158" s="132"/>
      <c r="D158" s="353"/>
      <c r="E158" s="353"/>
      <c r="F158" s="511"/>
      <c r="G158" s="1357">
        <f t="shared" ref="G158:M158" ca="1" si="55">G83/G$98</f>
        <v>3.2867586573407201E-2</v>
      </c>
      <c r="H158" s="1357">
        <f t="shared" ca="1" si="55"/>
        <v>3.2867586573407201E-2</v>
      </c>
      <c r="I158" s="1357">
        <f t="shared" ca="1" si="55"/>
        <v>3.2754074900509751E-2</v>
      </c>
      <c r="J158" s="1357">
        <f t="shared" ca="1" si="55"/>
        <v>3.2561744397395842E-2</v>
      </c>
      <c r="K158" s="1357">
        <f t="shared" ca="1" si="55"/>
        <v>3.2262255774049328E-2</v>
      </c>
      <c r="L158" s="1357">
        <f t="shared" ca="1" si="55"/>
        <v>3.1762047436398835E-2</v>
      </c>
      <c r="M158" s="1357">
        <f t="shared" ca="1" si="55"/>
        <v>3.0354885097778572E-2</v>
      </c>
      <c r="N158" s="737"/>
    </row>
    <row r="159" spans="2:14" ht="13" outlineLevel="1" x14ac:dyDescent="0.3">
      <c r="B159" s="353" t="s">
        <v>1555</v>
      </c>
      <c r="C159" s="132"/>
      <c r="D159" s="353"/>
      <c r="E159" s="353"/>
      <c r="F159" s="511"/>
      <c r="G159" s="1357">
        <f t="shared" ref="G159:M159" ca="1" si="56">G84/G$98</f>
        <v>8.2168966433518009E-2</v>
      </c>
      <c r="H159" s="1357">
        <f t="shared" ca="1" si="56"/>
        <v>8.2168966433518009E-2</v>
      </c>
      <c r="I159" s="1357">
        <f t="shared" ca="1" si="56"/>
        <v>8.1885187251274374E-2</v>
      </c>
      <c r="J159" s="1357">
        <f t="shared" ca="1" si="56"/>
        <v>8.1404360993489605E-2</v>
      </c>
      <c r="K159" s="1357">
        <f t="shared" ca="1" si="56"/>
        <v>8.0655639435123314E-2</v>
      </c>
      <c r="L159" s="1357">
        <f t="shared" ca="1" si="56"/>
        <v>7.9405118590997081E-2</v>
      </c>
      <c r="M159" s="1357">
        <f t="shared" ca="1" si="56"/>
        <v>7.5887212744446431E-2</v>
      </c>
      <c r="N159" s="737"/>
    </row>
    <row r="160" spans="2:14" ht="13" outlineLevel="1" x14ac:dyDescent="0.3">
      <c r="B160" s="353" t="s">
        <v>1556</v>
      </c>
      <c r="C160" s="132"/>
      <c r="D160" s="353"/>
      <c r="E160" s="353"/>
      <c r="F160" s="511"/>
      <c r="G160" s="1357">
        <f t="shared" ref="G160:M160" ca="1" si="57">G85/G$98</f>
        <v>0.18393289028954904</v>
      </c>
      <c r="H160" s="1357">
        <f t="shared" ca="1" si="57"/>
        <v>0.18393289028954904</v>
      </c>
      <c r="I160" s="1357">
        <f t="shared" ca="1" si="57"/>
        <v>0.18358907523574067</v>
      </c>
      <c r="J160" s="1357">
        <f t="shared" ca="1" si="57"/>
        <v>0.18294388903956862</v>
      </c>
      <c r="K160" s="1357">
        <f t="shared" ca="1" si="57"/>
        <v>0.18190783964466212</v>
      </c>
      <c r="L160" s="1357">
        <f t="shared" ca="1" si="57"/>
        <v>0.18006731901712503</v>
      </c>
      <c r="M160" s="1357">
        <f t="shared" ca="1" si="57"/>
        <v>0.17423459999381052</v>
      </c>
      <c r="N160" s="737"/>
    </row>
    <row r="161" spans="2:14" ht="13" outlineLevel="1" x14ac:dyDescent="0.3">
      <c r="B161" s="353"/>
      <c r="C161" s="132"/>
      <c r="D161" s="353"/>
      <c r="E161" s="353"/>
      <c r="F161" s="511"/>
      <c r="G161" s="1357"/>
      <c r="H161" s="1357"/>
      <c r="I161" s="1357"/>
      <c r="J161" s="1357"/>
      <c r="K161" s="1357"/>
      <c r="L161" s="1357"/>
      <c r="M161" s="1357"/>
      <c r="N161" s="737"/>
    </row>
    <row r="162" spans="2:14" ht="15.5" outlineLevel="1" x14ac:dyDescent="0.35">
      <c r="B162" s="6" t="s">
        <v>1364</v>
      </c>
      <c r="C162" s="132"/>
      <c r="D162" s="353"/>
      <c r="E162" s="353"/>
      <c r="F162" s="511"/>
      <c r="G162" s="1357"/>
      <c r="H162" s="1357"/>
      <c r="I162" s="1357"/>
      <c r="J162" s="1357"/>
      <c r="K162" s="1357"/>
      <c r="L162" s="1357"/>
      <c r="M162" s="1357"/>
      <c r="N162" s="737"/>
    </row>
    <row r="163" spans="2:14" outlineLevel="1" x14ac:dyDescent="0.25">
      <c r="B163" s="353" t="s">
        <v>1557</v>
      </c>
      <c r="G163" s="1357">
        <f t="shared" ref="G163:M163" ca="1" si="58">G88/G$98</f>
        <v>3.2300779575759761E-2</v>
      </c>
      <c r="H163" s="1357">
        <f t="shared" ca="1" si="58"/>
        <v>3.2300779575759761E-2</v>
      </c>
      <c r="I163" s="1357">
        <f t="shared" ca="1" si="58"/>
        <v>3.2039027998085202E-2</v>
      </c>
      <c r="J163" s="1357">
        <f t="shared" ca="1" si="58"/>
        <v>3.162020567990146E-2</v>
      </c>
      <c r="K163" s="1357">
        <f t="shared" ca="1" si="58"/>
        <v>3.0970512677464718E-2</v>
      </c>
      <c r="L163" s="1357">
        <f t="shared" ca="1" si="58"/>
        <v>2.9699188561520713E-2</v>
      </c>
      <c r="M163" s="1357">
        <f t="shared" ca="1" si="58"/>
        <v>2.6087006753407284E-2</v>
      </c>
    </row>
    <row r="164" spans="2:14" ht="13" outlineLevel="1" x14ac:dyDescent="0.3">
      <c r="B164" s="353" t="s">
        <v>1558</v>
      </c>
      <c r="C164" s="132"/>
      <c r="D164" s="353"/>
      <c r="E164" s="353"/>
      <c r="F164" s="511"/>
      <c r="G164" s="1357">
        <f t="shared" ref="G164:M164" ca="1" si="59">G89/G$98</f>
        <v>5.2558460555667826E-2</v>
      </c>
      <c r="H164" s="1357">
        <f t="shared" ca="1" si="59"/>
        <v>5.2558460555667826E-2</v>
      </c>
      <c r="I164" s="1357">
        <f t="shared" ca="1" si="59"/>
        <v>5.2428315462234532E-2</v>
      </c>
      <c r="J164" s="1357">
        <f t="shared" ca="1" si="59"/>
        <v>5.2205058372032327E-2</v>
      </c>
      <c r="K164" s="1357">
        <f t="shared" ca="1" si="59"/>
        <v>5.1858398782268743E-2</v>
      </c>
      <c r="L164" s="1357">
        <f t="shared" ca="1" si="59"/>
        <v>5.143674579000445E-2</v>
      </c>
      <c r="M164" s="1357">
        <f t="shared" ca="1" si="59"/>
        <v>5.0414828279508626E-2</v>
      </c>
      <c r="N164" s="737"/>
    </row>
    <row r="165" spans="2:14" outlineLevel="1" x14ac:dyDescent="0.25">
      <c r="B165" s="353" t="s">
        <v>1559</v>
      </c>
      <c r="C165" s="132"/>
      <c r="D165" s="353"/>
      <c r="E165" s="353"/>
      <c r="F165" s="511"/>
      <c r="G165" s="1357">
        <f t="shared" ref="G165:M165" ca="1" si="60">G90/G$98</f>
        <v>5.3030303030303032E-2</v>
      </c>
      <c r="H165" s="1357">
        <f t="shared" ca="1" si="60"/>
        <v>5.3030303030303032E-2</v>
      </c>
      <c r="I165" s="1357">
        <f t="shared" ca="1" si="60"/>
        <v>5.3030303030303018E-2</v>
      </c>
      <c r="J165" s="1357">
        <f t="shared" ca="1" si="60"/>
        <v>5.3030303030303025E-2</v>
      </c>
      <c r="K165" s="1357">
        <f t="shared" ca="1" si="60"/>
        <v>5.3030303030303032E-2</v>
      </c>
      <c r="L165" s="1357">
        <f t="shared" ca="1" si="60"/>
        <v>5.3030303030303046E-2</v>
      </c>
      <c r="M165" s="1357">
        <f t="shared" ca="1" si="60"/>
        <v>5.3030303030303025E-2</v>
      </c>
    </row>
    <row r="166" spans="2:14" outlineLevel="1" x14ac:dyDescent="0.25">
      <c r="B166" s="353"/>
      <c r="G166" s="1357"/>
      <c r="H166" s="1357"/>
      <c r="I166" s="1357"/>
      <c r="J166" s="1357"/>
      <c r="K166" s="1357"/>
      <c r="L166" s="1357"/>
      <c r="M166" s="1357"/>
    </row>
    <row r="167" spans="2:14" ht="15.5" outlineLevel="1" x14ac:dyDescent="0.35">
      <c r="B167" s="6" t="s">
        <v>963</v>
      </c>
      <c r="G167" s="1357"/>
      <c r="H167" s="1357"/>
      <c r="I167" s="1357"/>
      <c r="J167" s="1357"/>
      <c r="K167" s="1357"/>
      <c r="L167" s="1357"/>
      <c r="M167" s="1357"/>
    </row>
    <row r="168" spans="2:14" outlineLevel="1" x14ac:dyDescent="0.25">
      <c r="B168" s="353" t="s">
        <v>1522</v>
      </c>
      <c r="G168" s="1357">
        <f t="shared" ref="G168:M168" ca="1" si="61">G93/G$98</f>
        <v>0.54286877354998364</v>
      </c>
      <c r="H168" s="1357">
        <f t="shared" ca="1" si="61"/>
        <v>0.54286877354998364</v>
      </c>
      <c r="I168" s="1357">
        <f t="shared" ca="1" si="61"/>
        <v>0.54463766230614707</v>
      </c>
      <c r="J168" s="1357">
        <f t="shared" ca="1" si="61"/>
        <v>0.547375275596653</v>
      </c>
      <c r="K168" s="1357">
        <f t="shared" ca="1" si="61"/>
        <v>0.55199624978392869</v>
      </c>
      <c r="L168" s="1357">
        <f t="shared" ca="1" si="61"/>
        <v>0.56015088050073802</v>
      </c>
      <c r="M168" s="1357">
        <f t="shared" ca="1" si="61"/>
        <v>0.5840619200085968</v>
      </c>
    </row>
    <row r="169" spans="2:14" outlineLevel="1" x14ac:dyDescent="0.25">
      <c r="B169" s="353" t="s">
        <v>1550</v>
      </c>
      <c r="G169" s="1357">
        <f t="shared" ref="G169:M169" ca="1" si="62">G94/G$98</f>
        <v>0.13530879299873669</v>
      </c>
      <c r="H169" s="1357">
        <f t="shared" ca="1" si="62"/>
        <v>0.13530879299873669</v>
      </c>
      <c r="I169" s="1357">
        <f t="shared" ca="1" si="62"/>
        <v>0.13427561596748974</v>
      </c>
      <c r="J169" s="1357">
        <f t="shared" ca="1" si="62"/>
        <v>0.13282526828154173</v>
      </c>
      <c r="K169" s="1357">
        <f t="shared" ca="1" si="62"/>
        <v>0.13023669608137281</v>
      </c>
      <c r="L169" s="1357">
        <f t="shared" ca="1" si="62"/>
        <v>0.1256155631003088</v>
      </c>
      <c r="M169" s="1357">
        <f t="shared" ca="1" si="62"/>
        <v>0.11217134193437382</v>
      </c>
    </row>
    <row r="170" spans="2:14" outlineLevel="1" x14ac:dyDescent="0.25">
      <c r="B170" s="353" t="s">
        <v>1556</v>
      </c>
      <c r="G170" s="1357">
        <f t="shared" ref="G170:M170" ca="1" si="63">G95/G$98</f>
        <v>0.18393289028954904</v>
      </c>
      <c r="H170" s="1357">
        <f t="shared" ca="1" si="63"/>
        <v>0.18393289028954904</v>
      </c>
      <c r="I170" s="1357">
        <f t="shared" ca="1" si="63"/>
        <v>0.18358907523574067</v>
      </c>
      <c r="J170" s="1357">
        <f t="shared" ca="1" si="63"/>
        <v>0.18294388903956862</v>
      </c>
      <c r="K170" s="1357">
        <f t="shared" ca="1" si="63"/>
        <v>0.18190783964466212</v>
      </c>
      <c r="L170" s="1357">
        <f t="shared" ca="1" si="63"/>
        <v>0.18006731901712503</v>
      </c>
      <c r="M170" s="1357">
        <f t="shared" ca="1" si="63"/>
        <v>0.17423459999381052</v>
      </c>
    </row>
    <row r="171" spans="2:14" outlineLevel="1" x14ac:dyDescent="0.25">
      <c r="B171" s="353" t="s">
        <v>1560</v>
      </c>
      <c r="G171" s="1357">
        <f t="shared" ref="G171:M171" ca="1" si="64">G96/G$98</f>
        <v>3.2300779575759761E-2</v>
      </c>
      <c r="H171" s="1357">
        <f t="shared" ca="1" si="64"/>
        <v>3.2300779575759761E-2</v>
      </c>
      <c r="I171" s="1357">
        <f t="shared" ca="1" si="64"/>
        <v>3.2039027998085202E-2</v>
      </c>
      <c r="J171" s="1357">
        <f t="shared" ca="1" si="64"/>
        <v>3.162020567990146E-2</v>
      </c>
      <c r="K171" s="1357">
        <f t="shared" ca="1" si="64"/>
        <v>3.0970512677464718E-2</v>
      </c>
      <c r="L171" s="1357">
        <f t="shared" ca="1" si="64"/>
        <v>2.9699188561520713E-2</v>
      </c>
      <c r="M171" s="1357">
        <f t="shared" ca="1" si="64"/>
        <v>2.6087006753407284E-2</v>
      </c>
    </row>
    <row r="172" spans="2:14" outlineLevel="1" x14ac:dyDescent="0.25">
      <c r="B172" s="353" t="s">
        <v>1561</v>
      </c>
      <c r="G172" s="1357">
        <f t="shared" ref="G172:M172" ca="1" si="65">G97/G$98</f>
        <v>0.10558876358597086</v>
      </c>
      <c r="H172" s="1357">
        <f t="shared" ca="1" si="65"/>
        <v>0.10558876358597086</v>
      </c>
      <c r="I172" s="1357">
        <f t="shared" ca="1" si="65"/>
        <v>0.10545861849253756</v>
      </c>
      <c r="J172" s="1357">
        <f t="shared" ca="1" si="65"/>
        <v>0.10523536140233536</v>
      </c>
      <c r="K172" s="1357">
        <f t="shared" ca="1" si="65"/>
        <v>0.10488870181257177</v>
      </c>
      <c r="L172" s="1357">
        <f t="shared" ca="1" si="65"/>
        <v>0.10446704882030751</v>
      </c>
      <c r="M172" s="1357">
        <f t="shared" ca="1" si="65"/>
        <v>0.10344513130981166</v>
      </c>
    </row>
    <row r="173" spans="2:14" outlineLevel="1" x14ac:dyDescent="0.25">
      <c r="B173" s="353" t="s">
        <v>1562</v>
      </c>
      <c r="G173" s="1357">
        <f t="shared" ref="G173:M173" ca="1" si="66">G98/G$98</f>
        <v>1</v>
      </c>
      <c r="H173" s="1357">
        <f t="shared" ca="1" si="66"/>
        <v>1</v>
      </c>
      <c r="I173" s="1357">
        <f t="shared" ca="1" si="66"/>
        <v>1</v>
      </c>
      <c r="J173" s="1357">
        <f t="shared" ca="1" si="66"/>
        <v>1</v>
      </c>
      <c r="K173" s="1357">
        <f t="shared" ca="1" si="66"/>
        <v>1</v>
      </c>
      <c r="L173" s="1357">
        <f t="shared" ca="1" si="66"/>
        <v>1</v>
      </c>
      <c r="M173" s="1357">
        <f t="shared" ca="1" si="66"/>
        <v>1</v>
      </c>
    </row>
    <row r="174" spans="2:14" ht="13" thickBot="1" x14ac:dyDescent="0.3"/>
    <row r="175" spans="2:14" ht="20.5" thickBot="1" x14ac:dyDescent="0.45">
      <c r="B175" s="1453" t="s">
        <v>1563</v>
      </c>
      <c r="C175" s="1454"/>
      <c r="D175" s="1454"/>
      <c r="E175" s="1454"/>
      <c r="F175" s="1454"/>
      <c r="G175" s="1454"/>
      <c r="H175" s="1454"/>
      <c r="I175" s="1454"/>
      <c r="J175" s="1454"/>
      <c r="K175" s="1454"/>
      <c r="L175" s="1454"/>
      <c r="M175" s="1455"/>
      <c r="N175" s="737"/>
    </row>
    <row r="177" spans="2:15" ht="15.5" outlineLevel="1" x14ac:dyDescent="0.35">
      <c r="B177" s="6" t="s">
        <v>1564</v>
      </c>
      <c r="C177" s="130"/>
      <c r="D177" s="130"/>
      <c r="E177" s="130"/>
      <c r="F177" s="130"/>
      <c r="G177" s="1380"/>
      <c r="H177" s="1380"/>
      <c r="I177" s="1380"/>
      <c r="J177" s="1380"/>
      <c r="K177" s="1380"/>
      <c r="L177" s="1380"/>
      <c r="M177" s="1380"/>
    </row>
    <row r="178" spans="2:15" ht="13" outlineLevel="1" x14ac:dyDescent="0.3">
      <c r="B178" t="s">
        <v>1565</v>
      </c>
      <c r="C178" s="130"/>
      <c r="D178" s="130"/>
      <c r="E178" s="130"/>
      <c r="F178" s="130"/>
      <c r="G178" s="502">
        <f>'Cost Input'!$F113</f>
        <v>1.06656</v>
      </c>
      <c r="H178" s="502">
        <f>'Cost Input'!$F113</f>
        <v>1.06656</v>
      </c>
      <c r="I178" s="502">
        <f>'Cost Input'!$F113</f>
        <v>1.06656</v>
      </c>
      <c r="J178" s="502">
        <f>'Cost Input'!$F113</f>
        <v>1.06656</v>
      </c>
      <c r="K178" s="502">
        <f>'Cost Input'!$F113</f>
        <v>1.06656</v>
      </c>
      <c r="L178" s="502">
        <f>'Cost Input'!$F113</f>
        <v>1.06656</v>
      </c>
      <c r="M178" s="502">
        <f>'Cost Input'!$F113</f>
        <v>1.06656</v>
      </c>
    </row>
    <row r="179" spans="2:15" ht="13" outlineLevel="1" x14ac:dyDescent="0.3">
      <c r="B179" t="s">
        <v>1431</v>
      </c>
      <c r="C179" s="130"/>
      <c r="D179" s="130"/>
      <c r="E179" s="130"/>
      <c r="F179" s="130"/>
      <c r="G179" s="502">
        <f>'Cost Input'!$F114</f>
        <v>1.8664800000000001</v>
      </c>
      <c r="H179" s="502">
        <f>'Cost Input'!$F114</f>
        <v>1.8664800000000001</v>
      </c>
      <c r="I179" s="502">
        <f>'Cost Input'!$F114</f>
        <v>1.8664800000000001</v>
      </c>
      <c r="J179" s="502">
        <f>'Cost Input'!$F114</f>
        <v>1.8664800000000001</v>
      </c>
      <c r="K179" s="502">
        <f>'Cost Input'!$F114</f>
        <v>1.8664800000000001</v>
      </c>
      <c r="L179" s="502">
        <f>'Cost Input'!$F114</f>
        <v>1.8664800000000001</v>
      </c>
      <c r="M179" s="502">
        <f>'Cost Input'!$F114</f>
        <v>1.8664800000000001</v>
      </c>
      <c r="N179" s="737"/>
    </row>
    <row r="180" spans="2:15" outlineLevel="1" x14ac:dyDescent="0.25">
      <c r="B180" t="s">
        <v>1441</v>
      </c>
      <c r="G180" s="1296">
        <f>'Cost Input'!$F115</f>
        <v>0.25370399999999999</v>
      </c>
      <c r="H180" s="1296">
        <f>'Cost Input'!$F115</f>
        <v>0.25370399999999999</v>
      </c>
      <c r="I180" s="1296">
        <f>'Cost Input'!$F115</f>
        <v>0.25370399999999999</v>
      </c>
      <c r="J180" s="1296">
        <f>'Cost Input'!$F115</f>
        <v>0.25370399999999999</v>
      </c>
      <c r="K180" s="1296">
        <f>'Cost Input'!$F115</f>
        <v>0.25370399999999999</v>
      </c>
      <c r="L180" s="1296">
        <f>'Cost Input'!$F115</f>
        <v>0.25370399999999999</v>
      </c>
      <c r="M180" s="1296">
        <f>'Cost Input'!$F115</f>
        <v>0.25370399999999999</v>
      </c>
    </row>
    <row r="181" spans="2:15" outlineLevel="1" x14ac:dyDescent="0.25">
      <c r="B181" t="s">
        <v>1443</v>
      </c>
      <c r="G181" s="37">
        <f>'Cost Input'!$F$116</f>
        <v>0.153252</v>
      </c>
      <c r="H181" s="37">
        <f>'Cost Input'!$F$116</f>
        <v>0.153252</v>
      </c>
      <c r="I181" s="37">
        <f>'Cost Input'!$F$116</f>
        <v>0.153252</v>
      </c>
      <c r="J181" s="37">
        <f>'Cost Input'!$F$116</f>
        <v>0.153252</v>
      </c>
      <c r="K181" s="37">
        <f>'Cost Input'!$F$116</f>
        <v>0.153252</v>
      </c>
      <c r="L181" s="37">
        <f>'Cost Input'!$F$116</f>
        <v>0.153252</v>
      </c>
      <c r="M181" s="37">
        <f>'Cost Input'!$F$116</f>
        <v>0.153252</v>
      </c>
      <c r="O181" s="76"/>
    </row>
    <row r="182" spans="2:15" ht="13" outlineLevel="1" x14ac:dyDescent="0.3">
      <c r="C182" s="130"/>
      <c r="D182" s="130"/>
      <c r="E182" s="130"/>
      <c r="F182" s="130"/>
      <c r="G182" s="502"/>
      <c r="H182" s="502"/>
      <c r="I182" s="502"/>
      <c r="J182" s="502"/>
      <c r="K182" s="502"/>
      <c r="L182" s="502"/>
      <c r="M182" s="502"/>
      <c r="N182" s="737"/>
    </row>
    <row r="183" spans="2:15" ht="15.5" outlineLevel="1" x14ac:dyDescent="0.35">
      <c r="B183" s="6" t="s">
        <v>1566</v>
      </c>
    </row>
    <row r="184" spans="2:15" ht="14" outlineLevel="1" x14ac:dyDescent="0.3">
      <c r="B184" s="665" t="s">
        <v>1446</v>
      </c>
    </row>
    <row r="185" spans="2:15" outlineLevel="1" x14ac:dyDescent="0.25">
      <c r="B185" s="353" t="s">
        <v>1405</v>
      </c>
      <c r="G185" s="1018">
        <f t="shared" ref="G185:M194" ca="1" si="67">G30*G$178</f>
        <v>4042.1662175873817</v>
      </c>
      <c r="H185" s="1018">
        <f t="shared" ca="1" si="67"/>
        <v>4042.1662175873817</v>
      </c>
      <c r="I185" s="1018">
        <f t="shared" ca="1" si="67"/>
        <v>4037.3445097706235</v>
      </c>
      <c r="J185" s="1018">
        <f t="shared" ca="1" si="67"/>
        <v>4031.4114638267515</v>
      </c>
      <c r="K185" s="1018">
        <f t="shared" ca="1" si="67"/>
        <v>4024.5557913027719</v>
      </c>
      <c r="L185" s="1018">
        <f t="shared" ca="1" si="67"/>
        <v>4016.3473750005187</v>
      </c>
      <c r="M185" s="1018">
        <f t="shared" ca="1" si="67"/>
        <v>4005.522967762819</v>
      </c>
    </row>
    <row r="186" spans="2:15" outlineLevel="1" x14ac:dyDescent="0.25">
      <c r="B186" s="353" t="s">
        <v>1406</v>
      </c>
      <c r="G186" s="1018">
        <f t="shared" ca="1" si="67"/>
        <v>1054.6060952440582</v>
      </c>
      <c r="H186" s="1018">
        <f t="shared" ca="1" si="67"/>
        <v>1054.6060952440582</v>
      </c>
      <c r="I186" s="1018">
        <f t="shared" ca="1" si="67"/>
        <v>1053.1029741944415</v>
      </c>
      <c r="J186" s="1018">
        <f t="shared" ca="1" si="67"/>
        <v>1051.3935779676867</v>
      </c>
      <c r="K186" s="1018">
        <f t="shared" ca="1" si="67"/>
        <v>1048.9296633145179</v>
      </c>
      <c r="L186" s="1018">
        <f t="shared" ca="1" si="67"/>
        <v>1046.0067796464382</v>
      </c>
      <c r="M186" s="1018">
        <f t="shared" ca="1" si="67"/>
        <v>1040.4670995588253</v>
      </c>
    </row>
    <row r="187" spans="2:15" outlineLevel="1" x14ac:dyDescent="0.25">
      <c r="B187" s="353" t="s">
        <v>727</v>
      </c>
      <c r="G187" s="1018">
        <f t="shared" ca="1" si="67"/>
        <v>22.672406669159994</v>
      </c>
      <c r="H187" s="1018">
        <f t="shared" ca="1" si="67"/>
        <v>22.672406669159994</v>
      </c>
      <c r="I187" s="1018">
        <f t="shared" ca="1" si="67"/>
        <v>22.645361833649332</v>
      </c>
      <c r="J187" s="1018">
        <f t="shared" ca="1" si="67"/>
        <v>22.612083531079541</v>
      </c>
      <c r="K187" s="1018">
        <f t="shared" ca="1" si="67"/>
        <v>22.573630239679009</v>
      </c>
      <c r="L187" s="1018">
        <f t="shared" ca="1" si="67"/>
        <v>22.527589443111893</v>
      </c>
      <c r="M187" s="1018">
        <f t="shared" ca="1" si="67"/>
        <v>22.466875620464535</v>
      </c>
    </row>
    <row r="188" spans="2:15" outlineLevel="1" x14ac:dyDescent="0.25">
      <c r="B188" s="353" t="s">
        <v>1407</v>
      </c>
      <c r="G188" s="1018">
        <f t="shared" ca="1" si="67"/>
        <v>70.106301949099119</v>
      </c>
      <c r="H188" s="1018">
        <f t="shared" ca="1" si="67"/>
        <v>70.106301949099119</v>
      </c>
      <c r="I188" s="1018">
        <f t="shared" ca="1" si="67"/>
        <v>70.017672790359626</v>
      </c>
      <c r="J188" s="1018">
        <f t="shared" ca="1" si="67"/>
        <v>69.911476504715068</v>
      </c>
      <c r="K188" s="1018">
        <f t="shared" ca="1" si="67"/>
        <v>69.778792622057424</v>
      </c>
      <c r="L188" s="1018">
        <f t="shared" ca="1" si="67"/>
        <v>69.620483085167081</v>
      </c>
      <c r="M188" s="1018">
        <f t="shared" ca="1" si="67"/>
        <v>69.377327340971462</v>
      </c>
    </row>
    <row r="189" spans="2:15" outlineLevel="1" x14ac:dyDescent="0.25">
      <c r="B189" s="353" t="s">
        <v>1408</v>
      </c>
      <c r="G189" s="1018">
        <f t="shared" ca="1" si="67"/>
        <v>132.92508138604663</v>
      </c>
      <c r="H189" s="1018">
        <f t="shared" ca="1" si="67"/>
        <v>132.92508138604663</v>
      </c>
      <c r="I189" s="1018">
        <f t="shared" ca="1" si="67"/>
        <v>132.76652137899552</v>
      </c>
      <c r="J189" s="1018">
        <f t="shared" ca="1" si="67"/>
        <v>132.57141544507206</v>
      </c>
      <c r="K189" s="1018">
        <f t="shared" ca="1" si="67"/>
        <v>132.34596929091811</v>
      </c>
      <c r="L189" s="1018">
        <f t="shared" ca="1" si="67"/>
        <v>132.07603867790175</v>
      </c>
      <c r="M189" s="1018">
        <f t="shared" ca="1" si="67"/>
        <v>131.72008220912352</v>
      </c>
    </row>
    <row r="190" spans="2:15" outlineLevel="1" x14ac:dyDescent="0.25">
      <c r="B190" s="353" t="s">
        <v>1409</v>
      </c>
      <c r="G190" s="1018">
        <f t="shared" ca="1" si="67"/>
        <v>49.184508714549871</v>
      </c>
      <c r="H190" s="1018">
        <f t="shared" ca="1" si="67"/>
        <v>49.184508714549871</v>
      </c>
      <c r="I190" s="1018">
        <f t="shared" ca="1" si="67"/>
        <v>54.386111154642009</v>
      </c>
      <c r="J190" s="1018">
        <f t="shared" ca="1" si="67"/>
        <v>62.666762540515435</v>
      </c>
      <c r="K190" s="1018">
        <f t="shared" ca="1" si="67"/>
        <v>75.942506575535361</v>
      </c>
      <c r="L190" s="1018">
        <f t="shared" ca="1" si="67"/>
        <v>102.38885785793842</v>
      </c>
      <c r="M190" s="1018">
        <f t="shared" ca="1" si="67"/>
        <v>190.51126934488909</v>
      </c>
    </row>
    <row r="191" spans="2:15" outlineLevel="1" x14ac:dyDescent="0.25">
      <c r="B191" s="353" t="s">
        <v>1410</v>
      </c>
      <c r="G191" s="1018">
        <f t="shared" ca="1" si="67"/>
        <v>314.91042299964158</v>
      </c>
      <c r="H191" s="1018">
        <f t="shared" ca="1" si="67"/>
        <v>314.91042299964158</v>
      </c>
      <c r="I191" s="1018">
        <f t="shared" ca="1" si="67"/>
        <v>347.24172073987529</v>
      </c>
      <c r="J191" s="1018">
        <f t="shared" ca="1" si="67"/>
        <v>398.66807890070157</v>
      </c>
      <c r="K191" s="1018">
        <f t="shared" ca="1" si="67"/>
        <v>481.10547478622266</v>
      </c>
      <c r="L191" s="1018">
        <f t="shared" ca="1" si="67"/>
        <v>645.13348426457981</v>
      </c>
      <c r="M191" s="1018">
        <f t="shared" ca="1" si="67"/>
        <v>1190.3047902987194</v>
      </c>
    </row>
    <row r="192" spans="2:15" outlineLevel="1" x14ac:dyDescent="0.25">
      <c r="B192" s="353" t="s">
        <v>1411</v>
      </c>
      <c r="G192" s="1018">
        <f t="shared" ca="1" si="67"/>
        <v>366.18362613165851</v>
      </c>
      <c r="H192" s="1018">
        <f t="shared" ca="1" si="67"/>
        <v>366.18362613165851</v>
      </c>
      <c r="I192" s="1018">
        <f t="shared" ca="1" si="67"/>
        <v>405.19116134246838</v>
      </c>
      <c r="J192" s="1018">
        <f t="shared" ca="1" si="67"/>
        <v>466.69906426294733</v>
      </c>
      <c r="K192" s="1018">
        <f t="shared" ca="1" si="67"/>
        <v>566.74592124835328</v>
      </c>
      <c r="L192" s="1018">
        <f t="shared" ca="1" si="67"/>
        <v>764.56620214807799</v>
      </c>
      <c r="M192" s="1018">
        <f t="shared" ca="1" si="67"/>
        <v>1428.7631062699222</v>
      </c>
    </row>
    <row r="193" spans="2:13" outlineLevel="1" x14ac:dyDescent="0.25">
      <c r="B193" s="353" t="s">
        <v>781</v>
      </c>
      <c r="G193" s="1018">
        <f t="shared" ca="1" si="67"/>
        <v>321.51296176380896</v>
      </c>
      <c r="H193" s="1018">
        <f t="shared" ca="1" si="67"/>
        <v>321.51296176380896</v>
      </c>
      <c r="I193" s="1018">
        <f t="shared" ca="1" si="67"/>
        <v>324.58756711709685</v>
      </c>
      <c r="J193" s="1018">
        <f t="shared" ca="1" si="67"/>
        <v>329.58296024126776</v>
      </c>
      <c r="K193" s="1018">
        <f t="shared" ca="1" si="67"/>
        <v>337.85839148735135</v>
      </c>
      <c r="L193" s="1018">
        <f t="shared" ca="1" si="67"/>
        <v>354.67331750028524</v>
      </c>
      <c r="M193" s="1018">
        <f t="shared" ca="1" si="67"/>
        <v>412.34034764666148</v>
      </c>
    </row>
    <row r="194" spans="2:13" outlineLevel="1" x14ac:dyDescent="0.25">
      <c r="B194" s="353" t="s">
        <v>315</v>
      </c>
      <c r="G194" s="1018">
        <f t="shared" ca="1" si="67"/>
        <v>0</v>
      </c>
      <c r="H194" s="1018">
        <f t="shared" ca="1" si="67"/>
        <v>0</v>
      </c>
      <c r="I194" s="1018">
        <f t="shared" ca="1" si="67"/>
        <v>0</v>
      </c>
      <c r="J194" s="1018">
        <f t="shared" ca="1" si="67"/>
        <v>0</v>
      </c>
      <c r="K194" s="1018">
        <f t="shared" ca="1" si="67"/>
        <v>0</v>
      </c>
      <c r="L194" s="1018">
        <f t="shared" ca="1" si="67"/>
        <v>0</v>
      </c>
      <c r="M194" s="1018">
        <f t="shared" ca="1" si="67"/>
        <v>0</v>
      </c>
    </row>
    <row r="195" spans="2:13" outlineLevel="1" x14ac:dyDescent="0.25">
      <c r="B195" s="353" t="s">
        <v>1418</v>
      </c>
      <c r="G195" s="1018">
        <f ca="1">SUM(G185:G194)</f>
        <v>6374.2676224454053</v>
      </c>
      <c r="H195" s="1018">
        <f t="shared" ref="H195:M195" ca="1" si="68">SUM(H185:H194)</f>
        <v>6374.2676224454053</v>
      </c>
      <c r="I195" s="1018">
        <f t="shared" ca="1" si="68"/>
        <v>6447.283600322151</v>
      </c>
      <c r="J195" s="1018">
        <f t="shared" ca="1" si="68"/>
        <v>6565.5168832207364</v>
      </c>
      <c r="K195" s="1018">
        <f t="shared" ca="1" si="68"/>
        <v>6759.8361408674073</v>
      </c>
      <c r="L195" s="1018">
        <f t="shared" ca="1" si="68"/>
        <v>7153.3401276240193</v>
      </c>
      <c r="M195" s="1018">
        <f t="shared" ca="1" si="68"/>
        <v>8491.4738660523963</v>
      </c>
    </row>
    <row r="196" spans="2:13" outlineLevel="1" x14ac:dyDescent="0.25">
      <c r="B196" s="353"/>
      <c r="G196" s="1018"/>
      <c r="H196" s="1018"/>
      <c r="I196" s="1018"/>
      <c r="J196" s="1018"/>
      <c r="K196" s="1018"/>
      <c r="L196" s="1018"/>
      <c r="M196" s="1018"/>
    </row>
    <row r="197" spans="2:13" ht="14" outlineLevel="1" x14ac:dyDescent="0.3">
      <c r="B197" s="665" t="s">
        <v>1478</v>
      </c>
      <c r="C197" s="132"/>
      <c r="G197" s="1018"/>
      <c r="H197" s="1018"/>
      <c r="I197" s="1018"/>
      <c r="J197" s="1018"/>
      <c r="K197" s="1018"/>
      <c r="L197" s="1018"/>
      <c r="M197" s="1018"/>
    </row>
    <row r="198" spans="2:13" ht="13" outlineLevel="1" x14ac:dyDescent="0.3">
      <c r="B198" s="1359" t="s">
        <v>1412</v>
      </c>
      <c r="C198" s="130"/>
      <c r="G198" s="1018"/>
      <c r="H198" s="1018"/>
      <c r="I198" s="1018"/>
      <c r="J198" s="1018"/>
      <c r="K198" s="1018"/>
      <c r="L198" s="1018"/>
      <c r="M198" s="1018"/>
    </row>
    <row r="199" spans="2:13" ht="13" outlineLevel="1" x14ac:dyDescent="0.3">
      <c r="B199" s="9" t="s">
        <v>1479</v>
      </c>
      <c r="C199" s="130"/>
      <c r="G199" s="1018">
        <f ca="1">G44*G$178</f>
        <v>42.148012348314381</v>
      </c>
      <c r="H199" s="1018">
        <f t="shared" ref="H199:M199" ca="1" si="69">H44*H$178</f>
        <v>42.148012348314381</v>
      </c>
      <c r="I199" s="1018">
        <f t="shared" ca="1" si="69"/>
        <v>42.160440516968926</v>
      </c>
      <c r="J199" s="1018">
        <f t="shared" ca="1" si="69"/>
        <v>42.207578288494318</v>
      </c>
      <c r="K199" s="1018">
        <f t="shared" ca="1" si="69"/>
        <v>42.235586905602041</v>
      </c>
      <c r="L199" s="1018">
        <f t="shared" ca="1" si="69"/>
        <v>42.356329559958837</v>
      </c>
      <c r="M199" s="1018">
        <f t="shared" ca="1" si="69"/>
        <v>42.70170926054665</v>
      </c>
    </row>
    <row r="200" spans="2:13" ht="13" outlineLevel="1" x14ac:dyDescent="0.3">
      <c r="B200" s="9" t="s">
        <v>1480</v>
      </c>
      <c r="C200" s="130"/>
      <c r="G200" s="1018">
        <f t="shared" ref="G200:M200" ca="1" si="70">G45*G$178</f>
        <v>85.292074623218994</v>
      </c>
      <c r="H200" s="1018">
        <f t="shared" ca="1" si="70"/>
        <v>85.292074623218994</v>
      </c>
      <c r="I200" s="1018">
        <f t="shared" ca="1" si="70"/>
        <v>85.390852295197575</v>
      </c>
      <c r="J200" s="1018">
        <f t="shared" ca="1" si="70"/>
        <v>85.765497945974104</v>
      </c>
      <c r="K200" s="1018">
        <f t="shared" ca="1" si="70"/>
        <v>85.988107251507671</v>
      </c>
      <c r="L200" s="1018">
        <f t="shared" ca="1" si="70"/>
        <v>86.947756145677616</v>
      </c>
      <c r="M200" s="1018">
        <f t="shared" ca="1" si="70"/>
        <v>89.692794752816624</v>
      </c>
    </row>
    <row r="201" spans="2:13" ht="13" outlineLevel="1" x14ac:dyDescent="0.3">
      <c r="B201" s="61" t="s">
        <v>1481</v>
      </c>
      <c r="C201" s="130"/>
      <c r="G201" s="1018">
        <f t="shared" ref="G201:M201" ca="1" si="71">G46*G$178</f>
        <v>111.93586788824314</v>
      </c>
      <c r="H201" s="1018">
        <f t="shared" ca="1" si="71"/>
        <v>111.93586788824314</v>
      </c>
      <c r="I201" s="1018">
        <f t="shared" ca="1" si="71"/>
        <v>112.10106215585277</v>
      </c>
      <c r="J201" s="1018">
        <f t="shared" ca="1" si="71"/>
        <v>112.28206456727889</v>
      </c>
      <c r="K201" s="1018">
        <f t="shared" ca="1" si="71"/>
        <v>112.74658625848093</v>
      </c>
      <c r="L201" s="1018">
        <f t="shared" ca="1" si="71"/>
        <v>113.47193261957926</v>
      </c>
      <c r="M201" s="1018">
        <f t="shared" ca="1" si="71"/>
        <v>116.12667157183262</v>
      </c>
    </row>
    <row r="202" spans="2:13" ht="13" outlineLevel="1" x14ac:dyDescent="0.3">
      <c r="B202" s="61" t="s">
        <v>1482</v>
      </c>
      <c r="C202" s="130"/>
      <c r="G202" s="1018">
        <f t="shared" ref="G202:M202" ca="1" si="72">G47*G$178</f>
        <v>239.3759548597765</v>
      </c>
      <c r="H202" s="1018">
        <f t="shared" ca="1" si="72"/>
        <v>239.3759548597765</v>
      </c>
      <c r="I202" s="1018">
        <f t="shared" ca="1" si="72"/>
        <v>239.65235496801927</v>
      </c>
      <c r="J202" s="1018">
        <f t="shared" ca="1" si="72"/>
        <v>240.25514080174733</v>
      </c>
      <c r="K202" s="1018">
        <f t="shared" ca="1" si="72"/>
        <v>240.97028041559065</v>
      </c>
      <c r="L202" s="1018">
        <f t="shared" ca="1" si="72"/>
        <v>242.77601832521572</v>
      </c>
      <c r="M202" s="1018">
        <f t="shared" ca="1" si="72"/>
        <v>248.52117558519589</v>
      </c>
    </row>
    <row r="203" spans="2:13" ht="13" outlineLevel="1" x14ac:dyDescent="0.3">
      <c r="B203" s="9"/>
      <c r="C203" s="130"/>
      <c r="G203" s="1018"/>
      <c r="H203" s="1018"/>
      <c r="I203" s="1018"/>
      <c r="J203" s="1018"/>
      <c r="K203" s="1018"/>
      <c r="L203" s="1018"/>
      <c r="M203" s="1018"/>
    </row>
    <row r="204" spans="2:13" ht="13" outlineLevel="1" x14ac:dyDescent="0.3">
      <c r="B204" s="1360" t="s">
        <v>1413</v>
      </c>
      <c r="C204" s="130"/>
      <c r="G204" s="1018"/>
      <c r="H204" s="1018"/>
      <c r="I204" s="1018"/>
      <c r="J204" s="1018"/>
      <c r="K204" s="1018"/>
      <c r="L204" s="1018"/>
      <c r="M204" s="1018"/>
    </row>
    <row r="205" spans="2:13" ht="13" outlineLevel="1" x14ac:dyDescent="0.3">
      <c r="B205" s="355" t="s">
        <v>1483</v>
      </c>
      <c r="C205" s="130"/>
      <c r="G205" s="1018">
        <f t="shared" ref="G205:M205" ca="1" si="73">G50*G$178</f>
        <v>0</v>
      </c>
      <c r="H205" s="1018">
        <f t="shared" ca="1" si="73"/>
        <v>0</v>
      </c>
      <c r="I205" s="1018">
        <f t="shared" ca="1" si="73"/>
        <v>0</v>
      </c>
      <c r="J205" s="1018">
        <f t="shared" ca="1" si="73"/>
        <v>0</v>
      </c>
      <c r="K205" s="1018">
        <f t="shared" ca="1" si="73"/>
        <v>0</v>
      </c>
      <c r="L205" s="1018">
        <f t="shared" ca="1" si="73"/>
        <v>0</v>
      </c>
      <c r="M205" s="1018">
        <f t="shared" ca="1" si="73"/>
        <v>0</v>
      </c>
    </row>
    <row r="206" spans="2:13" ht="13" outlineLevel="1" x14ac:dyDescent="0.3">
      <c r="B206" s="61" t="s">
        <v>1484</v>
      </c>
      <c r="C206" s="130"/>
      <c r="G206" s="1018">
        <f t="shared" ref="G206:M206" ca="1" si="74">G51*G$178</f>
        <v>90.082857551668653</v>
      </c>
      <c r="H206" s="1018">
        <f t="shared" ca="1" si="74"/>
        <v>90.082857551668653</v>
      </c>
      <c r="I206" s="1018">
        <f t="shared" ca="1" si="74"/>
        <v>90.29993086515789</v>
      </c>
      <c r="J206" s="1018">
        <f t="shared" ca="1" si="74"/>
        <v>90.518795154702786</v>
      </c>
      <c r="K206" s="1018">
        <f t="shared" ca="1" si="74"/>
        <v>91.132266516497566</v>
      </c>
      <c r="L206" s="1018">
        <f t="shared" ca="1" si="74"/>
        <v>92.047335964019496</v>
      </c>
      <c r="M206" s="1018">
        <f t="shared" ca="1" si="74"/>
        <v>95.443738842327605</v>
      </c>
    </row>
    <row r="207" spans="2:13" ht="13" outlineLevel="1" x14ac:dyDescent="0.3">
      <c r="B207" s="90" t="s">
        <v>1485</v>
      </c>
      <c r="C207" s="130"/>
      <c r="G207" s="1018">
        <f t="shared" ref="G207:M207" ca="1" si="75">G52*G$178</f>
        <v>513.88453062700967</v>
      </c>
      <c r="H207" s="1018">
        <f t="shared" ca="1" si="75"/>
        <v>513.88453062700967</v>
      </c>
      <c r="I207" s="1018">
        <f t="shared" ca="1" si="75"/>
        <v>513.7804416905409</v>
      </c>
      <c r="J207" s="1018">
        <f t="shared" ca="1" si="75"/>
        <v>513.65236166873376</v>
      </c>
      <c r="K207" s="1018">
        <f t="shared" ca="1" si="75"/>
        <v>513.50436438459326</v>
      </c>
      <c r="L207" s="1018">
        <f t="shared" ca="1" si="75"/>
        <v>513.32716465465012</v>
      </c>
      <c r="M207" s="1018">
        <f t="shared" ca="1" si="75"/>
        <v>513.09349204732996</v>
      </c>
    </row>
    <row r="208" spans="2:13" ht="13" outlineLevel="1" x14ac:dyDescent="0.3">
      <c r="B208" s="353" t="s">
        <v>1486</v>
      </c>
      <c r="C208" s="130"/>
      <c r="G208" s="1018">
        <f t="shared" ref="G208:M208" ca="1" si="76">G53*G$178</f>
        <v>87.597335347670253</v>
      </c>
      <c r="H208" s="1018">
        <f t="shared" ca="1" si="76"/>
        <v>87.597335347670253</v>
      </c>
      <c r="I208" s="1018">
        <f t="shared" ca="1" si="76"/>
        <v>87.473537924693261</v>
      </c>
      <c r="J208" s="1018">
        <f t="shared" ca="1" si="76"/>
        <v>87.701341519579955</v>
      </c>
      <c r="K208" s="1018">
        <f t="shared" ca="1" si="76"/>
        <v>87.295698925605834</v>
      </c>
      <c r="L208" s="1018">
        <f t="shared" ca="1" si="76"/>
        <v>87.492564175879295</v>
      </c>
      <c r="M208" s="1018">
        <f t="shared" ca="1" si="76"/>
        <v>87.352057346364148</v>
      </c>
    </row>
    <row r="209" spans="2:13" ht="13" outlineLevel="1" x14ac:dyDescent="0.3">
      <c r="B209" s="1051" t="s">
        <v>1487</v>
      </c>
      <c r="C209" s="130"/>
      <c r="G209" s="1018">
        <f t="shared" ref="G209:M209" ca="1" si="77">G54*G$178</f>
        <v>18.973577544567963</v>
      </c>
      <c r="H209" s="1018">
        <f t="shared" ca="1" si="77"/>
        <v>18.973577544567963</v>
      </c>
      <c r="I209" s="1018">
        <f t="shared" ca="1" si="77"/>
        <v>18.99960964372347</v>
      </c>
      <c r="J209" s="1018">
        <f t="shared" ca="1" si="77"/>
        <v>19.099262402058905</v>
      </c>
      <c r="K209" s="1018">
        <f t="shared" ca="1" si="77"/>
        <v>19.157964681159118</v>
      </c>
      <c r="L209" s="1018">
        <f t="shared" ca="1" si="77"/>
        <v>19.412679837610849</v>
      </c>
      <c r="M209" s="1018">
        <f t="shared" ca="1" si="77"/>
        <v>20.141273879107779</v>
      </c>
    </row>
    <row r="210" spans="2:13" ht="13" outlineLevel="1" x14ac:dyDescent="0.3">
      <c r="B210" s="353" t="s">
        <v>1488</v>
      </c>
      <c r="C210" s="130"/>
      <c r="G210" s="1018">
        <f t="shared" ref="G210:M210" ca="1" si="78">G55*G$178</f>
        <v>16.797997796954785</v>
      </c>
      <c r="H210" s="1018">
        <f t="shared" ca="1" si="78"/>
        <v>16.797997796954785</v>
      </c>
      <c r="I210" s="1018">
        <f t="shared" ca="1" si="78"/>
        <v>16.797997796954785</v>
      </c>
      <c r="J210" s="1018">
        <f t="shared" ca="1" si="78"/>
        <v>16.797997796954785</v>
      </c>
      <c r="K210" s="1018">
        <f t="shared" ca="1" si="78"/>
        <v>16.797997796954785</v>
      </c>
      <c r="L210" s="1018">
        <f t="shared" ca="1" si="78"/>
        <v>16.797997796954785</v>
      </c>
      <c r="M210" s="1018">
        <f t="shared" ca="1" si="78"/>
        <v>16.797997796954785</v>
      </c>
    </row>
    <row r="211" spans="2:13" ht="13" outlineLevel="1" x14ac:dyDescent="0.3">
      <c r="B211" s="9" t="s">
        <v>1489</v>
      </c>
      <c r="C211" s="130"/>
      <c r="G211" s="1018">
        <f t="shared" ref="G211:M211" ca="1" si="79">G56*G$178</f>
        <v>50.251880896161936</v>
      </c>
      <c r="H211" s="1018">
        <f t="shared" ca="1" si="79"/>
        <v>50.251880896161936</v>
      </c>
      <c r="I211" s="1018">
        <f t="shared" ca="1" si="79"/>
        <v>50.328533086669111</v>
      </c>
      <c r="J211" s="1018">
        <f t="shared" ca="1" si="79"/>
        <v>50.697575704752886</v>
      </c>
      <c r="K211" s="1018">
        <f t="shared" ca="1" si="79"/>
        <v>50.859799388765566</v>
      </c>
      <c r="L211" s="1018">
        <f t="shared" ca="1" si="79"/>
        <v>51.765225821678833</v>
      </c>
      <c r="M211" s="1018">
        <f t="shared" ca="1" si="79"/>
        <v>54.314375703564082</v>
      </c>
    </row>
    <row r="212" spans="2:13" ht="13" outlineLevel="1" x14ac:dyDescent="0.3">
      <c r="B212" s="353" t="s">
        <v>1490</v>
      </c>
      <c r="C212" s="130"/>
      <c r="G212" s="1018">
        <f t="shared" ref="G212:M212" si="80">G57*G$178</f>
        <v>10.6656</v>
      </c>
      <c r="H212" s="1018">
        <f t="shared" si="80"/>
        <v>10.6656</v>
      </c>
      <c r="I212" s="1018">
        <f t="shared" si="80"/>
        <v>10.6656</v>
      </c>
      <c r="J212" s="1018">
        <f t="shared" si="80"/>
        <v>10.6656</v>
      </c>
      <c r="K212" s="1018">
        <f t="shared" si="80"/>
        <v>10.6656</v>
      </c>
      <c r="L212" s="1018">
        <f t="shared" si="80"/>
        <v>10.6656</v>
      </c>
      <c r="M212" s="1018">
        <f t="shared" si="80"/>
        <v>10.6656</v>
      </c>
    </row>
    <row r="213" spans="2:13" ht="13" outlineLevel="1" x14ac:dyDescent="0.3">
      <c r="B213" s="355" t="s">
        <v>1491</v>
      </c>
      <c r="C213" s="130"/>
      <c r="G213" s="1018">
        <f t="shared" ref="G213:M213" ca="1" si="81">G58*G$178</f>
        <v>788.25377976403331</v>
      </c>
      <c r="H213" s="1018">
        <f t="shared" ca="1" si="81"/>
        <v>788.25377976403331</v>
      </c>
      <c r="I213" s="1018">
        <f t="shared" ca="1" si="81"/>
        <v>788.34565100773955</v>
      </c>
      <c r="J213" s="1018">
        <f t="shared" ca="1" si="81"/>
        <v>789.13293424678318</v>
      </c>
      <c r="K213" s="1018">
        <f t="shared" ca="1" si="81"/>
        <v>789.4136916935762</v>
      </c>
      <c r="L213" s="1018">
        <f t="shared" ca="1" si="81"/>
        <v>791.50856825079336</v>
      </c>
      <c r="M213" s="1018">
        <f t="shared" ca="1" si="81"/>
        <v>797.80853561564857</v>
      </c>
    </row>
    <row r="214" spans="2:13" ht="13" outlineLevel="1" x14ac:dyDescent="0.3">
      <c r="B214" s="355"/>
      <c r="C214" s="130"/>
      <c r="G214" s="1018"/>
      <c r="H214" s="1018"/>
      <c r="I214" s="1018"/>
      <c r="J214" s="1018"/>
      <c r="K214" s="1018"/>
      <c r="L214" s="1018"/>
      <c r="M214" s="1018"/>
    </row>
    <row r="215" spans="2:13" ht="13" outlineLevel="1" x14ac:dyDescent="0.3">
      <c r="B215" s="1360" t="s">
        <v>1414</v>
      </c>
      <c r="C215" s="130"/>
      <c r="G215" s="1018"/>
      <c r="H215" s="1018"/>
      <c r="I215" s="1018"/>
      <c r="J215" s="1018"/>
      <c r="K215" s="1018"/>
      <c r="L215" s="1018"/>
      <c r="M215" s="1018"/>
    </row>
    <row r="216" spans="2:13" ht="13" outlineLevel="1" x14ac:dyDescent="0.3">
      <c r="B216" s="355" t="s">
        <v>1492</v>
      </c>
      <c r="C216" s="130"/>
      <c r="G216" s="1018">
        <f t="shared" ref="G216:M216" ca="1" si="82">G61*G$178</f>
        <v>0</v>
      </c>
      <c r="H216" s="1018">
        <f t="shared" ca="1" si="82"/>
        <v>0</v>
      </c>
      <c r="I216" s="1018">
        <f t="shared" ca="1" si="82"/>
        <v>0</v>
      </c>
      <c r="J216" s="1018">
        <f t="shared" ca="1" si="82"/>
        <v>0</v>
      </c>
      <c r="K216" s="1018">
        <f t="shared" ca="1" si="82"/>
        <v>0</v>
      </c>
      <c r="L216" s="1018">
        <f t="shared" ca="1" si="82"/>
        <v>0</v>
      </c>
      <c r="M216" s="1018">
        <f t="shared" ca="1" si="82"/>
        <v>0</v>
      </c>
    </row>
    <row r="217" spans="2:13" ht="13" outlineLevel="1" x14ac:dyDescent="0.3">
      <c r="B217" s="1051" t="s">
        <v>1493</v>
      </c>
      <c r="C217" s="130"/>
      <c r="G217" s="1018">
        <f t="shared" ref="G217:M217" ca="1" si="83">G62*G$178</f>
        <v>67.281421804684854</v>
      </c>
      <c r="H217" s="1018">
        <f t="shared" ca="1" si="83"/>
        <v>67.281421804684854</v>
      </c>
      <c r="I217" s="1018">
        <f t="shared" ca="1" si="83"/>
        <v>67.365975501886211</v>
      </c>
      <c r="J217" s="1018">
        <f t="shared" ca="1" si="83"/>
        <v>67.929294085069159</v>
      </c>
      <c r="K217" s="1018">
        <f t="shared" ca="1" si="83"/>
        <v>68.080959300038884</v>
      </c>
      <c r="L217" s="1018">
        <f t="shared" ca="1" si="83"/>
        <v>69.393706615663746</v>
      </c>
      <c r="M217" s="1018">
        <f t="shared" ca="1" si="83"/>
        <v>72.955167972824569</v>
      </c>
    </row>
    <row r="218" spans="2:13" ht="13" outlineLevel="1" x14ac:dyDescent="0.3">
      <c r="B218" s="90" t="s">
        <v>1258</v>
      </c>
      <c r="C218" s="130"/>
      <c r="G218" s="1018">
        <f t="shared" ref="G218:M218" si="84">G63*G$178</f>
        <v>3.412992</v>
      </c>
      <c r="H218" s="1018">
        <f t="shared" si="84"/>
        <v>3.412992</v>
      </c>
      <c r="I218" s="1018">
        <f t="shared" si="84"/>
        <v>3.412992</v>
      </c>
      <c r="J218" s="1018">
        <f t="shared" si="84"/>
        <v>3.412992</v>
      </c>
      <c r="K218" s="1018">
        <f t="shared" si="84"/>
        <v>3.412992</v>
      </c>
      <c r="L218" s="1018">
        <f t="shared" si="84"/>
        <v>3.412992</v>
      </c>
      <c r="M218" s="1018">
        <f t="shared" si="84"/>
        <v>3.412992</v>
      </c>
    </row>
    <row r="219" spans="2:13" ht="13" outlineLevel="1" x14ac:dyDescent="0.3">
      <c r="B219" s="353" t="s">
        <v>1259</v>
      </c>
      <c r="C219" s="130"/>
      <c r="G219" s="1018">
        <f t="shared" ref="G219:M219" ca="1" si="85">G64*G$178</f>
        <v>20.635092720099646</v>
      </c>
      <c r="H219" s="1018">
        <f t="shared" ca="1" si="85"/>
        <v>20.635092720099646</v>
      </c>
      <c r="I219" s="1018">
        <f t="shared" ca="1" si="85"/>
        <v>20.635092720099646</v>
      </c>
      <c r="J219" s="1018">
        <f t="shared" ca="1" si="85"/>
        <v>20.635092720099646</v>
      </c>
      <c r="K219" s="1018">
        <f t="shared" ca="1" si="85"/>
        <v>20.635092720099646</v>
      </c>
      <c r="L219" s="1018">
        <f t="shared" ca="1" si="85"/>
        <v>20.635092720099646</v>
      </c>
      <c r="M219" s="1018">
        <f t="shared" ca="1" si="85"/>
        <v>20.635092720099646</v>
      </c>
    </row>
    <row r="220" spans="2:13" ht="13" outlineLevel="1" x14ac:dyDescent="0.3">
      <c r="B220" s="353" t="s">
        <v>1260</v>
      </c>
      <c r="C220" s="130"/>
      <c r="G220" s="1018">
        <f t="shared" ref="G220:M220" ca="1" si="86">G65*G$178</f>
        <v>14.969710506733158</v>
      </c>
      <c r="H220" s="1018">
        <f t="shared" ca="1" si="86"/>
        <v>14.969710506733158</v>
      </c>
      <c r="I220" s="1018">
        <f t="shared" ca="1" si="86"/>
        <v>15.020177262502433</v>
      </c>
      <c r="J220" s="1018">
        <f t="shared" ca="1" si="86"/>
        <v>15.072673114304166</v>
      </c>
      <c r="K220" s="1018">
        <f t="shared" ca="1" si="86"/>
        <v>15.213469640845355</v>
      </c>
      <c r="L220" s="1018">
        <f t="shared" ca="1" si="86"/>
        <v>15.424642813415272</v>
      </c>
      <c r="M220" s="1018">
        <f t="shared" ca="1" si="86"/>
        <v>16.17719001326882</v>
      </c>
    </row>
    <row r="221" spans="2:13" ht="13" outlineLevel="1" x14ac:dyDescent="0.3">
      <c r="B221" s="1050" t="s">
        <v>1494</v>
      </c>
      <c r="C221" s="130"/>
      <c r="G221" s="1018">
        <f t="shared" ref="G221:M221" ca="1" si="87">G66*G$178</f>
        <v>54.212521126347951</v>
      </c>
      <c r="H221" s="1018">
        <f t="shared" ca="1" si="87"/>
        <v>54.212521126347951</v>
      </c>
      <c r="I221" s="1018">
        <f t="shared" ca="1" si="87"/>
        <v>54.343901396633868</v>
      </c>
      <c r="J221" s="1018">
        <f t="shared" ca="1" si="87"/>
        <v>54.81137601052481</v>
      </c>
      <c r="K221" s="1018">
        <f t="shared" ca="1" si="87"/>
        <v>55.114309443748176</v>
      </c>
      <c r="L221" s="1018">
        <f t="shared" ca="1" si="87"/>
        <v>56.328614053341795</v>
      </c>
      <c r="M221" s="1018">
        <f t="shared" ca="1" si="87"/>
        <v>59.838871249862599</v>
      </c>
    </row>
    <row r="222" spans="2:13" ht="13" outlineLevel="1" x14ac:dyDescent="0.3">
      <c r="B222" s="1050" t="s">
        <v>1262</v>
      </c>
      <c r="C222" s="130"/>
      <c r="G222" s="1018">
        <f t="shared" ref="G222:M222" ca="1" si="88">G67*G$178</f>
        <v>9.1827012548690057</v>
      </c>
      <c r="H222" s="1018">
        <f t="shared" ca="1" si="88"/>
        <v>9.1827012548690057</v>
      </c>
      <c r="I222" s="1018">
        <f t="shared" ca="1" si="88"/>
        <v>9.2080550042593696</v>
      </c>
      <c r="J222" s="1018">
        <f t="shared" ca="1" si="88"/>
        <v>9.2332039797303143</v>
      </c>
      <c r="K222" s="1018">
        <f t="shared" ca="1" si="88"/>
        <v>9.304144949365714</v>
      </c>
      <c r="L222" s="1018">
        <f t="shared" ca="1" si="88"/>
        <v>9.4077809681675468</v>
      </c>
      <c r="M222" s="1018">
        <f t="shared" ca="1" si="88"/>
        <v>9.7799943056522878</v>
      </c>
    </row>
    <row r="223" spans="2:13" ht="13" outlineLevel="1" x14ac:dyDescent="0.3">
      <c r="B223" s="1050" t="s">
        <v>1263</v>
      </c>
      <c r="C223" s="130"/>
      <c r="G223" s="1018">
        <f t="shared" ref="G223:M223" ca="1" si="89">G68*G$178</f>
        <v>8.5853646957126397</v>
      </c>
      <c r="H223" s="1018">
        <f t="shared" ca="1" si="89"/>
        <v>8.5853646957126397</v>
      </c>
      <c r="I223" s="1018">
        <f t="shared" ca="1" si="89"/>
        <v>8.5853646957126397</v>
      </c>
      <c r="J223" s="1018">
        <f t="shared" ca="1" si="89"/>
        <v>8.5853646957126397</v>
      </c>
      <c r="K223" s="1018">
        <f t="shared" ca="1" si="89"/>
        <v>8.5853646957126397</v>
      </c>
      <c r="L223" s="1018">
        <f t="shared" ca="1" si="89"/>
        <v>8.5853646957126397</v>
      </c>
      <c r="M223" s="1018">
        <f t="shared" ca="1" si="89"/>
        <v>8.5853646957126397</v>
      </c>
    </row>
    <row r="224" spans="2:13" ht="13" outlineLevel="1" x14ac:dyDescent="0.3">
      <c r="B224" s="353" t="s">
        <v>1264</v>
      </c>
      <c r="C224" s="130"/>
      <c r="G224" s="1018">
        <f t="shared" ref="G224:M224" ca="1" si="90">G69*G$178</f>
        <v>26.979442050472301</v>
      </c>
      <c r="H224" s="1018">
        <f t="shared" ca="1" si="90"/>
        <v>26.979442050472301</v>
      </c>
      <c r="I224" s="1018">
        <f t="shared" ca="1" si="90"/>
        <v>26.96340634865351</v>
      </c>
      <c r="J224" s="1018">
        <f t="shared" ca="1" si="90"/>
        <v>27.077333635408493</v>
      </c>
      <c r="K224" s="1018">
        <f t="shared" ca="1" si="90"/>
        <v>27.010523118875835</v>
      </c>
      <c r="L224" s="1018">
        <f t="shared" ca="1" si="90"/>
        <v>27.205271109358137</v>
      </c>
      <c r="M224" s="1018">
        <f t="shared" ca="1" si="90"/>
        <v>27.590852546115276</v>
      </c>
    </row>
    <row r="225" spans="2:14" ht="13" outlineLevel="1" x14ac:dyDescent="0.3">
      <c r="B225" s="353" t="s">
        <v>1265</v>
      </c>
      <c r="C225" s="130"/>
      <c r="G225" s="1018">
        <f t="shared" ref="G225:M225" ca="1" si="91">G70*G$178</f>
        <v>103.0512508211624</v>
      </c>
      <c r="H225" s="1018">
        <f t="shared" ca="1" si="91"/>
        <v>103.0512508211624</v>
      </c>
      <c r="I225" s="1018">
        <f t="shared" ca="1" si="91"/>
        <v>103.14190094978434</v>
      </c>
      <c r="J225" s="1018">
        <f t="shared" ca="1" si="91"/>
        <v>104.02302596189443</v>
      </c>
      <c r="K225" s="1018">
        <f t="shared" ca="1" si="91"/>
        <v>104.13449120221794</v>
      </c>
      <c r="L225" s="1018">
        <f t="shared" ca="1" si="91"/>
        <v>106.09556871141781</v>
      </c>
      <c r="M225" s="1018">
        <f t="shared" ca="1" si="91"/>
        <v>111.2022814776702</v>
      </c>
    </row>
    <row r="226" spans="2:14" ht="13" outlineLevel="1" x14ac:dyDescent="0.3">
      <c r="B226" s="353" t="s">
        <v>1266</v>
      </c>
      <c r="C226" s="130"/>
      <c r="G226" s="1018">
        <f t="shared" ref="G226:M226" ca="1" si="92">G71*G$178</f>
        <v>18.188110004408337</v>
      </c>
      <c r="H226" s="1018">
        <f t="shared" ca="1" si="92"/>
        <v>18.188110004408337</v>
      </c>
      <c r="I226" s="1018">
        <f t="shared" ca="1" si="92"/>
        <v>18.20288246998085</v>
      </c>
      <c r="J226" s="1018">
        <f t="shared" ca="1" si="92"/>
        <v>18.366906946695142</v>
      </c>
      <c r="K226" s="1018">
        <f t="shared" ca="1" si="92"/>
        <v>18.381310995660197</v>
      </c>
      <c r="L226" s="1018">
        <f t="shared" ca="1" si="92"/>
        <v>18.741772465014211</v>
      </c>
      <c r="M226" s="1018">
        <f t="shared" ca="1" si="92"/>
        <v>19.669552623727895</v>
      </c>
    </row>
    <row r="227" spans="2:14" ht="13" outlineLevel="1" x14ac:dyDescent="0.3">
      <c r="B227" s="353" t="s">
        <v>1267</v>
      </c>
      <c r="C227" s="130"/>
      <c r="G227" s="1018">
        <f t="shared" ref="G227:M227" ca="1" si="93">G72*G$178</f>
        <v>213.31199999999998</v>
      </c>
      <c r="H227" s="1018">
        <f t="shared" ca="1" si="93"/>
        <v>213.31199999999998</v>
      </c>
      <c r="I227" s="1018">
        <f t="shared" ca="1" si="93"/>
        <v>213.31199999999998</v>
      </c>
      <c r="J227" s="1018">
        <f t="shared" ca="1" si="93"/>
        <v>213.31199999999998</v>
      </c>
      <c r="K227" s="1018">
        <f t="shared" ca="1" si="93"/>
        <v>213.31199999999998</v>
      </c>
      <c r="L227" s="1018">
        <f t="shared" ca="1" si="93"/>
        <v>213.31199999999998</v>
      </c>
      <c r="M227" s="1018">
        <f t="shared" ca="1" si="93"/>
        <v>213.31199999999998</v>
      </c>
    </row>
    <row r="228" spans="2:14" ht="13" outlineLevel="1" x14ac:dyDescent="0.3">
      <c r="B228" s="353" t="s">
        <v>1268</v>
      </c>
      <c r="C228" s="130"/>
      <c r="G228" s="1018">
        <f t="shared" ref="G228:M228" si="94">G73*G$178</f>
        <v>21.331199999999999</v>
      </c>
      <c r="H228" s="1018">
        <f t="shared" si="94"/>
        <v>21.331199999999999</v>
      </c>
      <c r="I228" s="1018">
        <f t="shared" si="94"/>
        <v>21.331199999999999</v>
      </c>
      <c r="J228" s="1018">
        <f t="shared" si="94"/>
        <v>21.331199999999999</v>
      </c>
      <c r="K228" s="1018">
        <f t="shared" si="94"/>
        <v>21.331199999999999</v>
      </c>
      <c r="L228" s="1018">
        <f t="shared" si="94"/>
        <v>21.331199999999999</v>
      </c>
      <c r="M228" s="1018">
        <f t="shared" si="94"/>
        <v>21.331199999999999</v>
      </c>
    </row>
    <row r="229" spans="2:14" ht="13" outlineLevel="1" x14ac:dyDescent="0.3">
      <c r="B229" s="353" t="s">
        <v>1495</v>
      </c>
      <c r="C229" s="130"/>
      <c r="G229" s="1018">
        <f t="shared" ref="G229:M229" ca="1" si="95">G74*G$178</f>
        <v>561.14180698449036</v>
      </c>
      <c r="H229" s="1018">
        <f t="shared" ca="1" si="95"/>
        <v>561.14180698449036</v>
      </c>
      <c r="I229" s="1018">
        <f t="shared" ca="1" si="95"/>
        <v>561.52294834951283</v>
      </c>
      <c r="J229" s="1018">
        <f t="shared" ca="1" si="95"/>
        <v>563.79046314943878</v>
      </c>
      <c r="K229" s="1018">
        <f t="shared" ca="1" si="95"/>
        <v>564.51585806656442</v>
      </c>
      <c r="L229" s="1018">
        <f t="shared" ca="1" si="95"/>
        <v>569.87400615219076</v>
      </c>
      <c r="M229" s="1018">
        <f t="shared" ca="1" si="95"/>
        <v>584.49055960493388</v>
      </c>
    </row>
    <row r="230" spans="2:14" ht="13" outlineLevel="1" x14ac:dyDescent="0.3">
      <c r="B230" s="353"/>
      <c r="C230" s="130"/>
      <c r="G230" s="1018"/>
      <c r="H230" s="1018"/>
      <c r="I230" s="1018"/>
      <c r="J230" s="1018"/>
      <c r="K230" s="1018"/>
      <c r="L230" s="1018"/>
      <c r="M230" s="1018"/>
    </row>
    <row r="231" spans="2:14" ht="13" outlineLevel="1" x14ac:dyDescent="0.3">
      <c r="B231" s="1360" t="s">
        <v>1567</v>
      </c>
      <c r="C231" s="130"/>
      <c r="G231" s="1018"/>
      <c r="H231" s="1018"/>
      <c r="I231" s="1018"/>
      <c r="J231" s="1018"/>
      <c r="K231" s="1018"/>
      <c r="L231" s="1018"/>
      <c r="M231" s="1018"/>
    </row>
    <row r="232" spans="2:14" ht="13" outlineLevel="1" x14ac:dyDescent="0.3">
      <c r="B232" s="353" t="s">
        <v>1497</v>
      </c>
      <c r="C232" s="130"/>
      <c r="G232" s="1018">
        <f t="shared" ref="G232:M232" ca="1" si="96">G77*G$178</f>
        <v>1588.7715416083001</v>
      </c>
      <c r="H232" s="1018">
        <f t="shared" ca="1" si="96"/>
        <v>1588.7715416083001</v>
      </c>
      <c r="I232" s="1018">
        <f t="shared" ca="1" si="96"/>
        <v>1589.5209543252715</v>
      </c>
      <c r="J232" s="1018">
        <f t="shared" ca="1" si="96"/>
        <v>1593.1785381979691</v>
      </c>
      <c r="K232" s="1018">
        <f t="shared" ca="1" si="96"/>
        <v>1594.8998301757313</v>
      </c>
      <c r="L232" s="1018">
        <f t="shared" ca="1" si="96"/>
        <v>1604.1585927281997</v>
      </c>
      <c r="M232" s="1018">
        <f t="shared" ca="1" si="96"/>
        <v>1630.8202708057784</v>
      </c>
    </row>
    <row r="233" spans="2:14" outlineLevel="1" x14ac:dyDescent="0.25">
      <c r="G233" s="1018"/>
      <c r="H233" s="1018"/>
      <c r="I233" s="1018"/>
      <c r="J233" s="1018"/>
      <c r="K233" s="1018"/>
      <c r="L233" s="1018"/>
      <c r="M233" s="1018"/>
    </row>
    <row r="234" spans="2:14" ht="14" outlineLevel="1" x14ac:dyDescent="0.3">
      <c r="B234" s="665" t="s">
        <v>1568</v>
      </c>
      <c r="G234" s="1018"/>
      <c r="H234" s="1018"/>
      <c r="I234" s="1018"/>
      <c r="J234" s="1018"/>
      <c r="K234" s="1018"/>
      <c r="L234" s="1018"/>
      <c r="M234" s="1018"/>
    </row>
    <row r="235" spans="2:14" outlineLevel="1" x14ac:dyDescent="0.25">
      <c r="B235" s="353" t="s">
        <v>1569</v>
      </c>
      <c r="G235" s="1018">
        <f ca="1">SUM(G232,G195)</f>
        <v>7963.0391640537055</v>
      </c>
      <c r="H235" s="1018">
        <f t="shared" ref="H235:M235" ca="1" si="97">SUM(H232,H195)</f>
        <v>7963.0391640537055</v>
      </c>
      <c r="I235" s="1018">
        <f t="shared" ca="1" si="97"/>
        <v>8036.8045546474223</v>
      </c>
      <c r="J235" s="1018">
        <f t="shared" ca="1" si="97"/>
        <v>8158.6954214187053</v>
      </c>
      <c r="K235" s="1018">
        <f t="shared" ca="1" si="97"/>
        <v>8354.7359710431392</v>
      </c>
      <c r="L235" s="1018">
        <f t="shared" ca="1" si="97"/>
        <v>8757.4987203522196</v>
      </c>
      <c r="M235" s="1018">
        <f t="shared" ca="1" si="97"/>
        <v>10122.294136858174</v>
      </c>
    </row>
    <row r="236" spans="2:14" outlineLevel="1" x14ac:dyDescent="0.25">
      <c r="B236" s="353"/>
      <c r="G236" s="1018"/>
      <c r="H236" s="1018"/>
      <c r="I236" s="1018"/>
      <c r="J236" s="1018"/>
      <c r="K236" s="1018"/>
      <c r="L236" s="1018"/>
      <c r="M236" s="1018"/>
    </row>
    <row r="237" spans="2:14" ht="14" outlineLevel="1" x14ac:dyDescent="0.3">
      <c r="B237" s="665" t="s">
        <v>22</v>
      </c>
      <c r="G237" s="1018"/>
      <c r="H237" s="1018"/>
      <c r="I237" s="1018"/>
      <c r="J237" s="1018"/>
      <c r="K237" s="1018"/>
      <c r="L237" s="1018"/>
      <c r="M237" s="1018"/>
    </row>
    <row r="238" spans="2:14" outlineLevel="1" x14ac:dyDescent="0.25">
      <c r="B238" s="353" t="s">
        <v>1415</v>
      </c>
      <c r="G238" s="1018">
        <f t="shared" ref="G238:M238" ca="1" si="98">G88*G$178</f>
        <v>379.26995152642348</v>
      </c>
      <c r="H238" s="1018">
        <f t="shared" ca="1" si="98"/>
        <v>379.26995152642348</v>
      </c>
      <c r="I238" s="1018">
        <f t="shared" ca="1" si="98"/>
        <v>379.26995152642348</v>
      </c>
      <c r="J238" s="1018">
        <f t="shared" ca="1" si="98"/>
        <v>379.26995152642348</v>
      </c>
      <c r="K238" s="1018">
        <f t="shared" ca="1" si="98"/>
        <v>379.26995152642348</v>
      </c>
      <c r="L238" s="1018">
        <f t="shared" ca="1" si="98"/>
        <v>379.26995152642348</v>
      </c>
      <c r="M238" s="1018">
        <f t="shared" ca="1" si="98"/>
        <v>379.26995152642348</v>
      </c>
    </row>
    <row r="239" spans="2:14" outlineLevel="1" x14ac:dyDescent="0.25">
      <c r="B239" s="353"/>
      <c r="G239" s="578"/>
      <c r="H239" s="578"/>
      <c r="I239" s="578"/>
      <c r="J239" s="578"/>
      <c r="K239" s="578"/>
      <c r="L239" s="578"/>
      <c r="M239" s="578"/>
    </row>
    <row r="240" spans="2:14" ht="15.5" outlineLevel="1" x14ac:dyDescent="0.35">
      <c r="B240" s="27" t="s">
        <v>1570</v>
      </c>
      <c r="C240" s="130"/>
      <c r="D240" s="130"/>
      <c r="E240" s="130"/>
      <c r="F240" s="130"/>
      <c r="G240" s="502"/>
      <c r="H240" s="502"/>
      <c r="I240" s="502"/>
      <c r="J240" s="502"/>
      <c r="K240" s="502"/>
      <c r="L240" s="502"/>
      <c r="M240" s="502"/>
      <c r="N240" s="737"/>
    </row>
    <row r="241" spans="2:14" ht="14" outlineLevel="1" x14ac:dyDescent="0.3">
      <c r="B241" s="665" t="s">
        <v>1279</v>
      </c>
      <c r="C241" s="353"/>
      <c r="D241" s="130"/>
      <c r="E241" s="130"/>
      <c r="F241" s="130"/>
      <c r="G241" s="502"/>
      <c r="H241" s="502"/>
      <c r="I241" s="502"/>
      <c r="J241" s="502"/>
      <c r="K241" s="502"/>
      <c r="L241" s="502"/>
      <c r="M241" s="502"/>
      <c r="N241" s="737"/>
    </row>
    <row r="242" spans="2:14" ht="13" outlineLevel="1" x14ac:dyDescent="0.3">
      <c r="B242" s="327" t="s">
        <v>1280</v>
      </c>
      <c r="D242" s="130"/>
      <c r="E242" s="130"/>
      <c r="F242" s="130"/>
      <c r="G242" s="502"/>
      <c r="H242" s="502"/>
      <c r="I242" s="502"/>
      <c r="J242" s="502"/>
      <c r="K242" s="502"/>
      <c r="L242" s="502"/>
      <c r="M242" s="502"/>
      <c r="N242" s="737"/>
    </row>
    <row r="243" spans="2:14" ht="13" outlineLevel="1" x14ac:dyDescent="0.3">
      <c r="C243" s="353" t="s">
        <v>1571</v>
      </c>
      <c r="D243" s="130"/>
      <c r="E243" s="130"/>
      <c r="F243" s="130"/>
      <c r="G243" s="1018">
        <f ca="1">'Manufacturing Costs'!G186*'Cost Input'!$F$91*G$179/Dashboard!D$105*(1-Lists!$C$154)*(1-Lists!$D$154)</f>
        <v>18.753490552684092</v>
      </c>
      <c r="H243" s="1018">
        <f ca="1">'Manufacturing Costs'!H186*'Cost Input'!$F$91*H$179/Dashboard!E$105*(1-Lists!$C$154)*(1-Lists!$D$154)</f>
        <v>18.753490552684092</v>
      </c>
      <c r="I243" s="1018">
        <f ca="1">'Manufacturing Costs'!I186*'Cost Input'!$F$91*I$179/Dashboard!F$105*(1-Lists!$C$154)*(1-Lists!$D$154)</f>
        <v>18.733356219176319</v>
      </c>
      <c r="J243" s="1018">
        <f ca="1">'Manufacturing Costs'!J186*'Cost Input'!$F$91*J$179/Dashboard!G$105*(1-Lists!$C$154)*(1-Lists!$D$154)</f>
        <v>18.708577895070967</v>
      </c>
      <c r="K243" s="1018">
        <f ca="1">'Manufacturing Costs'!K186*'Cost Input'!$F$91*K$179/Dashboard!H$105*(1-Lists!$C$154)*(1-Lists!$D$154)</f>
        <v>18.679941841075738</v>
      </c>
      <c r="L243" s="1018">
        <f ca="1">'Manufacturing Costs'!L186*'Cost Input'!$F$91*L$179/Dashboard!I$105*(1-Lists!$C$154)*(1-Lists!$D$154)</f>
        <v>18.645648975979043</v>
      </c>
      <c r="M243" s="1018">
        <f ca="1">'Manufacturing Costs'!M186*'Cost Input'!$F$91*M$179/Dashboard!J$105*(1-Lists!$C$154)*(1-Lists!$D$154)</f>
        <v>18.600416387083822</v>
      </c>
      <c r="N243" s="737"/>
    </row>
    <row r="244" spans="2:14" ht="13" outlineLevel="1" x14ac:dyDescent="0.3">
      <c r="C244" s="353" t="s">
        <v>1572</v>
      </c>
      <c r="D244" s="130"/>
      <c r="E244" s="130"/>
      <c r="F244" s="130"/>
      <c r="G244" s="1018">
        <f ca="1">'Manufacturing Costs'!G187*1000000*G$180/Dashboard!D$105*(1-Lists!$C$154)*(1-Lists!$D$154)</f>
        <v>101.96381567824275</v>
      </c>
      <c r="H244" s="1018">
        <f ca="1">'Manufacturing Costs'!H187*1000000*H$180/Dashboard!E$105*(1-Lists!$C$154)*(1-Lists!$D$154)</f>
        <v>101.96381567824275</v>
      </c>
      <c r="I244" s="1018">
        <f ca="1">'Manufacturing Costs'!I187*1000000*I$180/Dashboard!F$105*(1-Lists!$C$154)*(1-Lists!$D$154)</f>
        <v>101.85434413934054</v>
      </c>
      <c r="J244" s="1018">
        <f ca="1">'Manufacturing Costs'!J187*1000000*J$180/Dashboard!G$105*(1-Lists!$C$154)*(1-Lists!$D$154)</f>
        <v>101.71962295424723</v>
      </c>
      <c r="K244" s="1018">
        <f ca="1">'Manufacturing Costs'!K187*1000000*K$180/Dashboard!H$105*(1-Lists!$C$154)*(1-Lists!$D$154)</f>
        <v>101.56392706802706</v>
      </c>
      <c r="L244" s="1018">
        <f ca="1">'Manufacturing Costs'!L187*1000000*L$180/Dashboard!I$105*(1-Lists!$C$154)*(1-Lists!$D$154)</f>
        <v>101.37747477180116</v>
      </c>
      <c r="M244" s="1018">
        <f ca="1">'Manufacturing Costs'!M187*1000000*M$180/Dashboard!J$105*(1-Lists!$C$154)*(1-Lists!$D$154)</f>
        <v>101.13154256287157</v>
      </c>
      <c r="N244" s="737"/>
    </row>
    <row r="245" spans="2:14" ht="13" outlineLevel="1" x14ac:dyDescent="0.3">
      <c r="C245" s="353" t="s">
        <v>1573</v>
      </c>
      <c r="D245" s="130"/>
      <c r="E245" s="130"/>
      <c r="F245" s="130"/>
      <c r="G245" s="1018">
        <f ca="1">'Manufacturing Costs'!G188*'Cost Input'!$F$83*G$181/Dashboard!D$105*(1-Lists!$C$154)*(1-Lists!$D$154)</f>
        <v>7.3929971362755218</v>
      </c>
      <c r="H245" s="1018">
        <f ca="1">'Manufacturing Costs'!H188*'Cost Input'!$F$83*H$181/Dashboard!E$105*(1-Lists!$C$154)*(1-Lists!$D$154)</f>
        <v>7.3929971362755218</v>
      </c>
      <c r="I245" s="1018">
        <f ca="1">'Manufacturing Costs'!I188*'Cost Input'!$F$83*I$181/Dashboard!F$105*(1-Lists!$C$154)*(1-Lists!$D$154)</f>
        <v>7.3846190694270222</v>
      </c>
      <c r="J245" s="1018">
        <f ca="1">'Manufacturing Costs'!J188*'Cost Input'!$F$83*J$181/Dashboard!G$105*(1-Lists!$C$154)*(1-Lists!$D$154)</f>
        <v>7.3743092853977474</v>
      </c>
      <c r="K245" s="1018">
        <f ca="1">'Manufacturing Costs'!K188*'Cost Input'!$F$83*K$181/Dashboard!H$105*(1-Lists!$C$154)*(1-Lists!$D$154)</f>
        <v>7.3623953191379341</v>
      </c>
      <c r="L245" s="1018">
        <f ca="1">'Manufacturing Costs'!L188*'Cost Input'!$F$83*L$181/Dashboard!I$105*(1-Lists!$C$154)*(1-Lists!$D$154)</f>
        <v>7.3481291844506904</v>
      </c>
      <c r="M245" s="1018">
        <f ca="1">'Manufacturing Costs'!M188*'Cost Input'!$F$83*M$181/Dashboard!J$105*(1-Lists!$C$154)*(1-Lists!$D$154)</f>
        <v>7.3293142577244552</v>
      </c>
      <c r="N245" s="737"/>
    </row>
    <row r="246" spans="2:14" ht="13" outlineLevel="1" x14ac:dyDescent="0.3">
      <c r="C246" s="353" t="s">
        <v>1574</v>
      </c>
      <c r="D246" s="130"/>
      <c r="E246" s="130"/>
      <c r="F246" s="130"/>
      <c r="G246" s="1018">
        <f ca="1">SUM(G243:G245)</f>
        <v>128.11030336720236</v>
      </c>
      <c r="H246" s="1018">
        <f t="shared" ref="H246:M246" ca="1" si="99">SUM(H243:H245)</f>
        <v>128.11030336720236</v>
      </c>
      <c r="I246" s="1018">
        <f t="shared" ca="1" si="99"/>
        <v>127.97231942794387</v>
      </c>
      <c r="J246" s="1018">
        <f t="shared" ca="1" si="99"/>
        <v>127.80251013471593</v>
      </c>
      <c r="K246" s="1018">
        <f t="shared" ca="1" si="99"/>
        <v>127.60626422824072</v>
      </c>
      <c r="L246" s="1018">
        <f t="shared" ca="1" si="99"/>
        <v>127.37125293223089</v>
      </c>
      <c r="M246" s="1018">
        <f t="shared" ca="1" si="99"/>
        <v>127.06127320767985</v>
      </c>
      <c r="N246" s="737"/>
    </row>
    <row r="247" spans="2:14" ht="13" outlineLevel="1" x14ac:dyDescent="0.3">
      <c r="C247" s="353"/>
      <c r="D247" s="130"/>
      <c r="E247" s="130"/>
      <c r="F247" s="130"/>
      <c r="G247" s="502"/>
      <c r="H247" s="502"/>
      <c r="I247" s="502"/>
      <c r="J247" s="502"/>
      <c r="K247" s="502"/>
      <c r="L247" s="502"/>
      <c r="M247" s="502"/>
      <c r="N247" s="737"/>
    </row>
    <row r="248" spans="2:14" ht="13" outlineLevel="1" x14ac:dyDescent="0.3">
      <c r="B248" s="327" t="s">
        <v>1282</v>
      </c>
      <c r="D248" s="130"/>
      <c r="E248" s="130"/>
      <c r="F248" s="130"/>
      <c r="G248" s="502"/>
      <c r="H248" s="502"/>
      <c r="I248" s="502"/>
      <c r="J248" s="502"/>
      <c r="K248" s="502"/>
      <c r="L248" s="502"/>
      <c r="M248" s="502"/>
      <c r="N248" s="737"/>
    </row>
    <row r="249" spans="2:14" ht="13" outlineLevel="1" x14ac:dyDescent="0.3">
      <c r="C249" s="353" t="s">
        <v>1571</v>
      </c>
      <c r="D249" s="130"/>
      <c r="E249" s="130"/>
      <c r="F249" s="130"/>
      <c r="G249" s="1018">
        <f ca="1">'Manufacturing Costs'!G192*'Cost Input'!$F$91*G$179/Dashboard!D$105*(1-Lists!$C$154)*(1-Lists!$D$154)</f>
        <v>25.354278516136425</v>
      </c>
      <c r="H249" s="1018">
        <f ca="1">'Manufacturing Costs'!H192*'Cost Input'!$F$91*H$179/Dashboard!E$105*(1-Lists!$C$154)*(1-Lists!$D$154)</f>
        <v>25.354278516136425</v>
      </c>
      <c r="I249" s="1018">
        <f ca="1">'Manufacturing Costs'!I192*'Cost Input'!$F$91*I$179/Dashboard!F$105*(1-Lists!$C$154)*(1-Lists!$D$154)</f>
        <v>25.321752684421803</v>
      </c>
      <c r="J249" s="1018">
        <f ca="1">'Manufacturing Costs'!J192*'Cost Input'!$F$91*J$179/Dashboard!G$105*(1-Lists!$C$154)*(1-Lists!$D$154)</f>
        <v>25.284757649573233</v>
      </c>
      <c r="K249" s="1018">
        <f ca="1">'Manufacturing Costs'!K192*'Cost Input'!$F$91*K$179/Dashboard!H$105*(1-Lists!$C$154)*(1-Lists!$D$154)</f>
        <v>25.23142261586883</v>
      </c>
      <c r="L249" s="1018">
        <f ca="1">'Manufacturing Costs'!L192*'Cost Input'!$F$91*L$179/Dashboard!I$105*(1-Lists!$C$154)*(1-Lists!$D$154)</f>
        <v>25.16813627627667</v>
      </c>
      <c r="M249" s="1018">
        <f ca="1">'Manufacturing Costs'!M192*'Cost Input'!$F$91*M$179/Dashboard!J$105*(1-Lists!$C$154)*(1-Lists!$D$154)</f>
        <v>25.048142433272748</v>
      </c>
      <c r="N249" s="737"/>
    </row>
    <row r="250" spans="2:14" ht="13" outlineLevel="1" x14ac:dyDescent="0.3">
      <c r="C250" s="353" t="s">
        <v>1572</v>
      </c>
      <c r="D250" s="130"/>
      <c r="E250" s="130"/>
      <c r="F250" s="130"/>
      <c r="G250" s="1018">
        <f ca="1">'Manufacturing Costs'!G193*1000000*G$180/Dashboard!D$105*(1-Lists!$C$154)*(1-Lists!$D$154)</f>
        <v>142.95833753726205</v>
      </c>
      <c r="H250" s="1018">
        <f ca="1">'Manufacturing Costs'!H193*1000000*H$180/Dashboard!E$105*(1-Lists!$C$154)*(1-Lists!$D$154)</f>
        <v>142.95833753726205</v>
      </c>
      <c r="I250" s="1018">
        <f ca="1">'Manufacturing Costs'!I193*1000000*I$180/Dashboard!F$105*(1-Lists!$C$154)*(1-Lists!$D$154)</f>
        <v>142.77494289536844</v>
      </c>
      <c r="J250" s="1018">
        <f ca="1">'Manufacturing Costs'!J193*1000000*J$180/Dashboard!G$105*(1-Lists!$C$154)*(1-Lists!$D$154)</f>
        <v>142.56634896217017</v>
      </c>
      <c r="K250" s="1018">
        <f ca="1">'Manufacturing Costs'!K193*1000000*K$180/Dashboard!H$105*(1-Lists!$C$154)*(1-Lists!$D$154)</f>
        <v>142.26562308089441</v>
      </c>
      <c r="L250" s="1018">
        <f ca="1">'Manufacturing Costs'!L193*1000000*L$180/Dashboard!I$105*(1-Lists!$C$154)*(1-Lists!$D$154)</f>
        <v>141.90878745288961</v>
      </c>
      <c r="M250" s="1018">
        <f ca="1">'Manufacturing Costs'!M193*1000000*M$180/Dashboard!J$105*(1-Lists!$C$154)*(1-Lists!$D$154)</f>
        <v>141.23221050751806</v>
      </c>
      <c r="N250" s="737"/>
    </row>
    <row r="251" spans="2:14" ht="13" outlineLevel="1" x14ac:dyDescent="0.3">
      <c r="C251" s="353" t="s">
        <v>1573</v>
      </c>
      <c r="D251" s="130"/>
      <c r="E251" s="130"/>
      <c r="F251" s="130"/>
      <c r="G251" s="1018">
        <f ca="1">'Manufacturing Costs'!G194*'Cost Input'!$F$83*G$181/Dashboard!D$105*(1-Lists!$C$154)*(1-Lists!$D$154)</f>
        <v>8.1448651046609317</v>
      </c>
      <c r="H251" s="1018">
        <f ca="1">'Manufacturing Costs'!H194*'Cost Input'!$F$83*H$181/Dashboard!E$105*(1-Lists!$C$154)*(1-Lists!$D$154)</f>
        <v>8.1448651046609317</v>
      </c>
      <c r="I251" s="1018">
        <f ca="1">'Manufacturing Costs'!I194*'Cost Input'!$F$83*I$181/Dashboard!F$105*(1-Lists!$C$154)*(1-Lists!$D$154)</f>
        <v>8.1338363452412494</v>
      </c>
      <c r="J251" s="1018">
        <f ca="1">'Manufacturing Costs'!J194*'Cost Input'!$F$83*J$181/Dashboard!G$105*(1-Lists!$C$154)*(1-Lists!$D$154)</f>
        <v>8.1212931387940657</v>
      </c>
      <c r="K251" s="1018">
        <f ca="1">'Manufacturing Costs'!K194*'Cost Input'!$F$83*K$181/Dashboard!H$105*(1-Lists!$C$154)*(1-Lists!$D$154)</f>
        <v>8.1032116329347659</v>
      </c>
      <c r="L251" s="1018">
        <f ca="1">'Manufacturing Costs'!L194*'Cost Input'!$F$83*L$181/Dashboard!I$105*(1-Lists!$C$154)*(1-Lists!$D$154)</f>
        <v>8.0817592157942695</v>
      </c>
      <c r="M251" s="1018">
        <f ca="1">'Manufacturing Costs'!M194*'Cost Input'!$F$83*M$181/Dashboard!J$105*(1-Lists!$C$154)*(1-Lists!$D$154)</f>
        <v>8.041092668397587</v>
      </c>
      <c r="N251" s="737"/>
    </row>
    <row r="252" spans="2:14" ht="13" outlineLevel="1" x14ac:dyDescent="0.3">
      <c r="C252" s="353" t="s">
        <v>1574</v>
      </c>
      <c r="D252" s="130"/>
      <c r="E252" s="130"/>
      <c r="F252" s="130"/>
      <c r="G252" s="1018">
        <f ca="1">SUM(G249:G251)</f>
        <v>176.45748115805941</v>
      </c>
      <c r="H252" s="1018">
        <f t="shared" ref="H252:M252" ca="1" si="100">SUM(H249:H251)</f>
        <v>176.45748115805941</v>
      </c>
      <c r="I252" s="1018">
        <f t="shared" ca="1" si="100"/>
        <v>176.23053192503147</v>
      </c>
      <c r="J252" s="1018">
        <f t="shared" ca="1" si="100"/>
        <v>175.97239975053748</v>
      </c>
      <c r="K252" s="1018">
        <f t="shared" ca="1" si="100"/>
        <v>175.60025732969802</v>
      </c>
      <c r="L252" s="1018">
        <f t="shared" ca="1" si="100"/>
        <v>175.15868294496056</v>
      </c>
      <c r="M252" s="1018">
        <f t="shared" ca="1" si="100"/>
        <v>174.3214456091884</v>
      </c>
      <c r="N252" s="737"/>
    </row>
    <row r="253" spans="2:14" ht="13" outlineLevel="1" x14ac:dyDescent="0.3">
      <c r="C253" s="353"/>
      <c r="D253" s="130"/>
      <c r="E253" s="130"/>
      <c r="F253" s="130"/>
      <c r="G253" s="1018"/>
      <c r="H253" s="1018"/>
      <c r="I253" s="1018"/>
      <c r="J253" s="1018"/>
      <c r="K253" s="1018"/>
      <c r="L253" s="1018"/>
      <c r="M253" s="1018"/>
      <c r="N253" s="737"/>
    </row>
    <row r="254" spans="2:14" ht="13" outlineLevel="1" x14ac:dyDescent="0.3">
      <c r="B254" s="327" t="s">
        <v>1575</v>
      </c>
      <c r="D254" s="130"/>
      <c r="E254" s="130"/>
      <c r="F254" s="130"/>
      <c r="G254" s="1018"/>
      <c r="H254" s="1018"/>
      <c r="I254" s="1018"/>
      <c r="J254" s="1018"/>
      <c r="K254" s="1018"/>
      <c r="L254" s="1018"/>
      <c r="M254" s="1018"/>
      <c r="N254" s="737"/>
    </row>
    <row r="255" spans="2:14" ht="13" outlineLevel="1" x14ac:dyDescent="0.3">
      <c r="C255" s="353" t="s">
        <v>1571</v>
      </c>
      <c r="D255" s="130"/>
      <c r="E255" s="130"/>
      <c r="F255" s="130"/>
      <c r="G255" s="1018">
        <f ca="1">G243+G249</f>
        <v>44.107769068820517</v>
      </c>
      <c r="H255" s="1018">
        <f t="shared" ref="H255:M255" ca="1" si="101">H243+H249</f>
        <v>44.107769068820517</v>
      </c>
      <c r="I255" s="1018">
        <f t="shared" ca="1" si="101"/>
        <v>44.055108903598125</v>
      </c>
      <c r="J255" s="1018">
        <f t="shared" ca="1" si="101"/>
        <v>43.993335544644196</v>
      </c>
      <c r="K255" s="1018">
        <f t="shared" ca="1" si="101"/>
        <v>43.911364456944568</v>
      </c>
      <c r="L255" s="1018">
        <f t="shared" ca="1" si="101"/>
        <v>43.813785252255713</v>
      </c>
      <c r="M255" s="1018">
        <f t="shared" ca="1" si="101"/>
        <v>43.64855882035657</v>
      </c>
      <c r="N255" s="737"/>
    </row>
    <row r="256" spans="2:14" ht="13" outlineLevel="1" x14ac:dyDescent="0.3">
      <c r="C256" s="353" t="s">
        <v>1572</v>
      </c>
      <c r="D256" s="130"/>
      <c r="E256" s="130"/>
      <c r="F256" s="130"/>
      <c r="G256" s="1018">
        <f t="shared" ref="G256:M258" ca="1" si="102">G244+G250</f>
        <v>244.92215321550481</v>
      </c>
      <c r="H256" s="1018">
        <f t="shared" ca="1" si="102"/>
        <v>244.92215321550481</v>
      </c>
      <c r="I256" s="1018">
        <f t="shared" ca="1" si="102"/>
        <v>244.62928703470897</v>
      </c>
      <c r="J256" s="1018">
        <f t="shared" ca="1" si="102"/>
        <v>244.2859719164174</v>
      </c>
      <c r="K256" s="1018">
        <f t="shared" ca="1" si="102"/>
        <v>243.82955014892147</v>
      </c>
      <c r="L256" s="1018">
        <f t="shared" ca="1" si="102"/>
        <v>243.28626222469077</v>
      </c>
      <c r="M256" s="1018">
        <f t="shared" ca="1" si="102"/>
        <v>242.36375307038963</v>
      </c>
      <c r="N256" s="737"/>
    </row>
    <row r="257" spans="2:14" ht="13" outlineLevel="1" x14ac:dyDescent="0.3">
      <c r="C257" s="353" t="s">
        <v>1573</v>
      </c>
      <c r="D257" s="130"/>
      <c r="E257" s="130"/>
      <c r="F257" s="130"/>
      <c r="G257" s="1018">
        <f t="shared" ca="1" si="102"/>
        <v>15.537862240936454</v>
      </c>
      <c r="H257" s="1018">
        <f t="shared" ca="1" si="102"/>
        <v>15.537862240936454</v>
      </c>
      <c r="I257" s="1018">
        <f t="shared" ca="1" si="102"/>
        <v>15.518455414668271</v>
      </c>
      <c r="J257" s="1018">
        <f t="shared" ca="1" si="102"/>
        <v>15.495602424191812</v>
      </c>
      <c r="K257" s="1018">
        <f t="shared" ca="1" si="102"/>
        <v>15.465606952072701</v>
      </c>
      <c r="L257" s="1018">
        <f t="shared" ca="1" si="102"/>
        <v>15.429888400244959</v>
      </c>
      <c r="M257" s="1018">
        <f t="shared" ca="1" si="102"/>
        <v>15.370406926122042</v>
      </c>
      <c r="N257" s="737"/>
    </row>
    <row r="258" spans="2:14" ht="13" outlineLevel="1" x14ac:dyDescent="0.3">
      <c r="C258" s="353" t="s">
        <v>1574</v>
      </c>
      <c r="D258" s="130"/>
      <c r="E258" s="130"/>
      <c r="F258" s="130"/>
      <c r="G258" s="1018">
        <f t="shared" ca="1" si="102"/>
        <v>304.5677845252618</v>
      </c>
      <c r="H258" s="1018">
        <f t="shared" ca="1" si="102"/>
        <v>304.5677845252618</v>
      </c>
      <c r="I258" s="1018">
        <f t="shared" ca="1" si="102"/>
        <v>304.20285135297536</v>
      </c>
      <c r="J258" s="1018">
        <f t="shared" ca="1" si="102"/>
        <v>303.77490988525341</v>
      </c>
      <c r="K258" s="1018">
        <f t="shared" ca="1" si="102"/>
        <v>303.20652155793874</v>
      </c>
      <c r="L258" s="1018">
        <f t="shared" ca="1" si="102"/>
        <v>302.52993587719146</v>
      </c>
      <c r="M258" s="1018">
        <f t="shared" ca="1" si="102"/>
        <v>301.38271881686825</v>
      </c>
      <c r="N258" s="737"/>
    </row>
    <row r="259" spans="2:14" ht="13" outlineLevel="1" x14ac:dyDescent="0.3">
      <c r="C259" s="353"/>
      <c r="D259" s="130"/>
      <c r="E259" s="130"/>
      <c r="F259" s="130"/>
      <c r="G259" s="502"/>
      <c r="H259" s="502"/>
      <c r="I259" s="502"/>
      <c r="J259" s="502"/>
      <c r="K259" s="502"/>
      <c r="L259" s="502"/>
      <c r="M259" s="502"/>
      <c r="N259" s="737"/>
    </row>
    <row r="260" spans="2:14" ht="14" outlineLevel="1" x14ac:dyDescent="0.3">
      <c r="B260" s="665" t="s">
        <v>1283</v>
      </c>
      <c r="D260" s="130"/>
      <c r="E260" s="130"/>
      <c r="F260" s="130"/>
      <c r="G260" s="502"/>
      <c r="H260" s="502"/>
      <c r="I260" s="502"/>
      <c r="J260" s="502"/>
      <c r="K260" s="502"/>
      <c r="L260" s="502"/>
      <c r="M260" s="502"/>
      <c r="N260" s="737"/>
    </row>
    <row r="261" spans="2:14" ht="13" outlineLevel="1" x14ac:dyDescent="0.3">
      <c r="B261" s="327" t="s">
        <v>1284</v>
      </c>
      <c r="D261" s="130"/>
      <c r="E261" s="130"/>
      <c r="F261" s="130"/>
      <c r="G261" s="502"/>
      <c r="H261" s="502"/>
      <c r="I261" s="502"/>
      <c r="J261" s="502"/>
      <c r="K261" s="502"/>
      <c r="L261" s="502"/>
      <c r="M261" s="502"/>
      <c r="N261" s="737"/>
    </row>
    <row r="262" spans="2:14" ht="13" outlineLevel="1" x14ac:dyDescent="0.3">
      <c r="C262" s="353" t="s">
        <v>1571</v>
      </c>
      <c r="D262" s="130"/>
      <c r="E262" s="130"/>
      <c r="F262" s="130"/>
      <c r="G262" s="1018">
        <f ca="1">'Manufacturing Costs'!G200*'Cost Input'!$F$91*G$179/Dashboard!D$105*(1-Lists!$C$154)*(1-Lists!$D$154)</f>
        <v>3.7924944895674768</v>
      </c>
      <c r="H262" s="1018">
        <f ca="1">'Manufacturing Costs'!H200*'Cost Input'!$F$91*H$179/Dashboard!E$105*(1-Lists!$C$154)*(1-Lists!$D$154)</f>
        <v>3.7924944895674768</v>
      </c>
      <c r="I262" s="1018">
        <f ca="1">'Manufacturing Costs'!I200*'Cost Input'!$F$91*I$179/Dashboard!F$105*(1-Lists!$C$154)*(1-Lists!$D$154)</f>
        <v>4.0717962843749804</v>
      </c>
      <c r="J262" s="1018">
        <f ca="1">'Manufacturing Costs'!J200*'Cost Input'!$F$91*J$179/Dashboard!G$105*(1-Lists!$C$154)*(1-Lists!$D$154)</f>
        <v>4.4958140521868204</v>
      </c>
      <c r="K262" s="1018">
        <f ca="1">'Manufacturing Costs'!K200*'Cost Input'!$F$91*K$179/Dashboard!H$105*(1-Lists!$C$154)*(1-Lists!$D$154)</f>
        <v>5.1534602506828362</v>
      </c>
      <c r="L262" s="1018">
        <f ca="1">'Manufacturing Costs'!L200*'Cost Input'!$F$91*L$179/Dashboard!I$105*(1-Lists!$C$154)*(1-Lists!$D$154)</f>
        <v>6.35919099708088</v>
      </c>
      <c r="M262" s="1018">
        <f ca="1">'Manufacturing Costs'!M200*'Cost Input'!$F$91*M$179/Dashboard!J$105*(1-Lists!$C$154)*(1-Lists!$D$154)</f>
        <v>9.8735848888563229</v>
      </c>
      <c r="N262" s="737"/>
    </row>
    <row r="263" spans="2:14" ht="13" outlineLevel="1" x14ac:dyDescent="0.3">
      <c r="C263" s="353" t="s">
        <v>1572</v>
      </c>
      <c r="D263" s="130"/>
      <c r="E263" s="130"/>
      <c r="F263" s="130"/>
      <c r="G263" s="1018">
        <f ca="1">'Manufacturing Costs'!G201*1000000*G$180/Dashboard!D$105*(1-Lists!$C$154)*(1-Lists!$D$154)</f>
        <v>29.041218870794719</v>
      </c>
      <c r="H263" s="1018">
        <f ca="1">'Manufacturing Costs'!H201*1000000*H$180/Dashboard!E$105*(1-Lists!$C$154)*(1-Lists!$D$154)</f>
        <v>29.041218870794719</v>
      </c>
      <c r="I263" s="1018">
        <f ca="1">'Manufacturing Costs'!I201*1000000*I$180/Dashboard!F$105*(1-Lists!$C$154)*(1-Lists!$D$154)</f>
        <v>31.172544351505245</v>
      </c>
      <c r="J263" s="1018">
        <f ca="1">'Manufacturing Costs'!J201*1000000*J$180/Dashboard!G$105*(1-Lists!$C$154)*(1-Lists!$D$154)</f>
        <v>34.408585020775782</v>
      </c>
      <c r="K263" s="1018">
        <f ca="1">'Manufacturing Costs'!K201*1000000*K$180/Dashboard!H$105*(1-Lists!$C$154)*(1-Lists!$D$154)</f>
        <v>39.428437687429515</v>
      </c>
      <c r="L263" s="1018">
        <f ca="1">'Manufacturing Costs'!L201*1000000*L$180/Dashboard!I$105*(1-Lists!$C$154)*(1-Lists!$D$154)</f>
        <v>48.633460255258321</v>
      </c>
      <c r="M263" s="1018">
        <f ca="1">'Manufacturing Costs'!M201*1000000*M$180/Dashboard!J$105*(1-Lists!$C$154)*(1-Lists!$D$154)</f>
        <v>75.469897041897227</v>
      </c>
      <c r="N263" s="737"/>
    </row>
    <row r="264" spans="2:14" ht="13" outlineLevel="1" x14ac:dyDescent="0.3">
      <c r="C264" s="353" t="s">
        <v>1573</v>
      </c>
      <c r="D264" s="130"/>
      <c r="E264" s="130"/>
      <c r="F264" s="130"/>
      <c r="G264" s="1018">
        <f ca="1">'Manufacturing Costs'!G202*'Cost Input'!$F$83*G$181/Dashboard!D$105*(1-Lists!$C$154)*(1-Lists!$D$154)</f>
        <v>8.8700950187152898</v>
      </c>
      <c r="H264" s="1018">
        <f ca="1">'Manufacturing Costs'!H202*'Cost Input'!$F$83*H$181/Dashboard!E$105*(1-Lists!$C$154)*(1-Lists!$D$154)</f>
        <v>8.8700950187152898</v>
      </c>
      <c r="I264" s="1018">
        <f ca="1">'Manufacturing Costs'!I202*'Cost Input'!$F$83*I$181/Dashboard!F$105*(1-Lists!$C$154)*(1-Lists!$D$154)</f>
        <v>9.7681241535197127</v>
      </c>
      <c r="J264" s="1018">
        <f ca="1">'Manufacturing Costs'!J202*'Cost Input'!$F$83*J$181/Dashboard!G$105*(1-Lists!$C$154)*(1-Lists!$D$154)</f>
        <v>11.173740376679866</v>
      </c>
      <c r="K264" s="1018">
        <f ca="1">'Manufacturing Costs'!K202*'Cost Input'!$F$83*K$181/Dashboard!H$105*(1-Lists!$C$154)*(1-Lists!$D$154)</f>
        <v>13.448206750124818</v>
      </c>
      <c r="L264" s="1018">
        <f ca="1">'Manufacturing Costs'!L202*'Cost Input'!$F$83*L$181/Dashboard!I$105*(1-Lists!$C$154)*(1-Lists!$D$154)</f>
        <v>17.8885651939494</v>
      </c>
      <c r="M264" s="1018">
        <f ca="1">'Manufacturing Costs'!M202*'Cost Input'!$F$83*M$181/Dashboard!J$105*(1-Lists!$C$154)*(1-Lists!$D$154)</f>
        <v>32.500411426197317</v>
      </c>
      <c r="N264" s="737"/>
    </row>
    <row r="265" spans="2:14" ht="13" outlineLevel="1" x14ac:dyDescent="0.3">
      <c r="C265" s="353" t="s">
        <v>1574</v>
      </c>
      <c r="D265" s="130"/>
      <c r="E265" s="130"/>
      <c r="F265" s="130"/>
      <c r="G265" s="1018">
        <f ca="1">SUM(G262:G264)</f>
        <v>41.703808379077486</v>
      </c>
      <c r="H265" s="1018">
        <f t="shared" ref="H265:M265" ca="1" si="103">SUM(H262:H264)</f>
        <v>41.703808379077486</v>
      </c>
      <c r="I265" s="1018">
        <f t="shared" ca="1" si="103"/>
        <v>45.012464789399942</v>
      </c>
      <c r="J265" s="1018">
        <f t="shared" ca="1" si="103"/>
        <v>50.078139449642471</v>
      </c>
      <c r="K265" s="1018">
        <f t="shared" ca="1" si="103"/>
        <v>58.030104688237166</v>
      </c>
      <c r="L265" s="1018">
        <f t="shared" ca="1" si="103"/>
        <v>72.881216446288605</v>
      </c>
      <c r="M265" s="1018">
        <f t="shared" ca="1" si="103"/>
        <v>117.84389335695087</v>
      </c>
      <c r="N265" s="737"/>
    </row>
    <row r="266" spans="2:14" ht="13" outlineLevel="1" x14ac:dyDescent="0.3">
      <c r="C266" s="353"/>
      <c r="D266" s="130"/>
      <c r="E266" s="130"/>
      <c r="F266" s="130"/>
      <c r="G266" s="502"/>
      <c r="H266" s="502"/>
      <c r="I266" s="502"/>
      <c r="J266" s="502"/>
      <c r="K266" s="502"/>
      <c r="L266" s="502"/>
      <c r="M266" s="502"/>
      <c r="N266" s="737"/>
    </row>
    <row r="267" spans="2:14" ht="13" outlineLevel="1" x14ac:dyDescent="0.3">
      <c r="B267" s="327" t="s">
        <v>1287</v>
      </c>
      <c r="D267" s="130"/>
      <c r="E267" s="130"/>
      <c r="F267" s="130"/>
      <c r="G267" s="502"/>
      <c r="H267" s="502"/>
      <c r="I267" s="502"/>
      <c r="J267" s="502"/>
      <c r="K267" s="502"/>
      <c r="L267" s="502"/>
      <c r="M267" s="502"/>
      <c r="N267" s="737"/>
    </row>
    <row r="268" spans="2:14" ht="13" outlineLevel="1" x14ac:dyDescent="0.3">
      <c r="C268" s="353" t="s">
        <v>1571</v>
      </c>
      <c r="D268" s="130"/>
      <c r="E268" s="130"/>
      <c r="F268" s="130"/>
      <c r="G268" s="1018">
        <f ca="1">'Manufacturing Costs'!G207*'Cost Input'!$F$91*G$179/Dashboard!D$105*(1-Lists!$C$154)*(1-Lists!$D$154)</f>
        <v>3.7947714519335292</v>
      </c>
      <c r="H268" s="1018">
        <f ca="1">'Manufacturing Costs'!H207*'Cost Input'!$F$91*H$179/Dashboard!E$105*(1-Lists!$C$154)*(1-Lists!$D$154)</f>
        <v>3.7947714519335292</v>
      </c>
      <c r="I268" s="1018">
        <f ca="1">'Manufacturing Costs'!I207*'Cost Input'!$F$91*I$179/Dashboard!F$105*(1-Lists!$C$154)*(1-Lists!$D$154)</f>
        <v>4.0735772121104059</v>
      </c>
      <c r="J268" s="1018">
        <f ca="1">'Manufacturing Costs'!J207*'Cost Input'!$F$91*J$179/Dashboard!G$105*(1-Lists!$C$154)*(1-Lists!$D$154)</f>
        <v>4.4972959307308908</v>
      </c>
      <c r="K268" s="1018">
        <f ca="1">'Manufacturing Costs'!K207*'Cost Input'!$F$91*K$179/Dashboard!H$105*(1-Lists!$C$154)*(1-Lists!$D$154)</f>
        <v>5.1528347045495808</v>
      </c>
      <c r="L268" s="1018">
        <f ca="1">'Manufacturing Costs'!L207*'Cost Input'!$F$91*L$179/Dashboard!I$105*(1-Lists!$C$154)*(1-Lists!$D$154)</f>
        <v>6.3550873042517626</v>
      </c>
      <c r="M268" s="1018">
        <f ca="1">'Manufacturing Costs'!M207*'Cost Input'!$F$91*M$179/Dashboard!J$105*(1-Lists!$C$154)*(1-Lists!$D$154)</f>
        <v>9.8491928786542573</v>
      </c>
      <c r="N268" s="737"/>
    </row>
    <row r="269" spans="2:14" ht="13" outlineLevel="1" x14ac:dyDescent="0.3">
      <c r="C269" s="353" t="s">
        <v>1572</v>
      </c>
      <c r="D269" s="130"/>
      <c r="E269" s="130"/>
      <c r="F269" s="130"/>
      <c r="G269" s="1018">
        <f ca="1">'Manufacturing Costs'!G208*1000000*G$180/Dashboard!D$105*(1-Lists!$C$154)*(1-Lists!$D$154)</f>
        <v>30.023057171880357</v>
      </c>
      <c r="H269" s="1018">
        <f ca="1">'Manufacturing Costs'!H208*1000000*H$180/Dashboard!E$105*(1-Lists!$C$154)*(1-Lists!$D$154)</f>
        <v>30.023057171880357</v>
      </c>
      <c r="I269" s="1018">
        <f ca="1">'Manufacturing Costs'!I208*1000000*I$180/Dashboard!F$105*(1-Lists!$C$154)*(1-Lists!$D$154)</f>
        <v>32.219689698369372</v>
      </c>
      <c r="J269" s="1018">
        <f ca="1">'Manufacturing Costs'!J208*1000000*J$180/Dashboard!G$105*(1-Lists!$C$154)*(1-Lists!$D$154)</f>
        <v>35.559509603721175</v>
      </c>
      <c r="K269" s="1018">
        <f ca="1">'Manufacturing Costs'!K208*1000000*K$180/Dashboard!H$105*(1-Lists!$C$154)*(1-Lists!$D$154)</f>
        <v>40.723652015110041</v>
      </c>
      <c r="L269" s="1018">
        <f ca="1">'Manufacturing Costs'!L208*1000000*L$180/Dashboard!I$105*(1-Lists!$C$154)*(1-Lists!$D$154)</f>
        <v>50.197218640421781</v>
      </c>
      <c r="M269" s="1018">
        <f ca="1">'Manufacturing Costs'!M208*1000000*M$180/Dashboard!J$105*(1-Lists!$C$154)*(1-Lists!$D$154)</f>
        <v>77.713692742101756</v>
      </c>
      <c r="N269" s="737"/>
    </row>
    <row r="270" spans="2:14" ht="13" outlineLevel="1" x14ac:dyDescent="0.3">
      <c r="C270" s="353" t="s">
        <v>1573</v>
      </c>
      <c r="D270" s="130"/>
      <c r="E270" s="130"/>
      <c r="F270" s="130"/>
      <c r="G270" s="1018">
        <f ca="1">'Manufacturing Costs'!G209*'Cost Input'!$F$83*G$181/Dashboard!D$105*(1-Lists!$C$154)*(1-Lists!$D$154)</f>
        <v>8.8773232374206135</v>
      </c>
      <c r="H270" s="1018">
        <f ca="1">'Manufacturing Costs'!H209*'Cost Input'!$F$83*H$181/Dashboard!E$105*(1-Lists!$C$154)*(1-Lists!$D$154)</f>
        <v>8.8773232374206135</v>
      </c>
      <c r="I270" s="1018">
        <f ca="1">'Manufacturing Costs'!I209*'Cost Input'!$F$83*I$181/Dashboard!F$105*(1-Lists!$C$154)*(1-Lists!$D$154)</f>
        <v>9.7739228570804357</v>
      </c>
      <c r="J270" s="1018">
        <f ca="1">'Manufacturing Costs'!J209*'Cost Input'!$F$83*J$181/Dashboard!G$105*(1-Lists!$C$154)*(1-Lists!$D$154)</f>
        <v>11.17873904097366</v>
      </c>
      <c r="K270" s="1018">
        <f ca="1">'Manufacturing Costs'!K209*'Cost Input'!$F$83*K$181/Dashboard!H$105*(1-Lists!$C$154)*(1-Lists!$D$154)</f>
        <v>13.445991407305687</v>
      </c>
      <c r="L270" s="1018">
        <f ca="1">'Manufacturing Costs'!L209*'Cost Input'!$F$83*L$181/Dashboard!I$105*(1-Lists!$C$154)*(1-Lists!$D$154)</f>
        <v>17.872900424991169</v>
      </c>
      <c r="M270" s="1018">
        <f ca="1">'Manufacturing Costs'!M209*'Cost Input'!$F$83*M$181/Dashboard!J$105*(1-Lists!$C$154)*(1-Lists!$D$154)</f>
        <v>32.391494488932075</v>
      </c>
      <c r="N270" s="737"/>
    </row>
    <row r="271" spans="2:14" ht="13" outlineLevel="1" x14ac:dyDescent="0.3">
      <c r="C271" s="353" t="s">
        <v>1574</v>
      </c>
      <c r="D271" s="130"/>
      <c r="E271" s="130"/>
      <c r="F271" s="130"/>
      <c r="G271" s="1018">
        <f ca="1">SUM(G268:G270)</f>
        <v>42.6951518612345</v>
      </c>
      <c r="H271" s="1018">
        <f t="shared" ref="H271:M271" ca="1" si="104">SUM(H268:H270)</f>
        <v>42.6951518612345</v>
      </c>
      <c r="I271" s="1018">
        <f t="shared" ca="1" si="104"/>
        <v>46.067189767560215</v>
      </c>
      <c r="J271" s="1018">
        <f t="shared" ca="1" si="104"/>
        <v>51.235544575425727</v>
      </c>
      <c r="K271" s="1018">
        <f t="shared" ca="1" si="104"/>
        <v>59.322478126965308</v>
      </c>
      <c r="L271" s="1018">
        <f t="shared" ca="1" si="104"/>
        <v>74.425206369664707</v>
      </c>
      <c r="M271" s="1018">
        <f t="shared" ca="1" si="104"/>
        <v>119.95438010968809</v>
      </c>
      <c r="N271" s="737"/>
    </row>
    <row r="272" spans="2:14" ht="13" outlineLevel="1" x14ac:dyDescent="0.3">
      <c r="C272" s="353"/>
      <c r="D272" s="130"/>
      <c r="E272" s="130"/>
      <c r="F272" s="130"/>
      <c r="G272" s="1018"/>
      <c r="H272" s="1018"/>
      <c r="I272" s="1018"/>
      <c r="J272" s="1018"/>
      <c r="K272" s="1018"/>
      <c r="L272" s="1018"/>
      <c r="M272" s="1018"/>
      <c r="N272" s="737"/>
    </row>
    <row r="273" spans="2:14" ht="13" outlineLevel="1" x14ac:dyDescent="0.3">
      <c r="B273" s="327" t="s">
        <v>1576</v>
      </c>
      <c r="D273" s="130"/>
      <c r="E273" s="130"/>
      <c r="F273" s="130"/>
      <c r="G273" s="1018"/>
      <c r="H273" s="1018"/>
      <c r="I273" s="1018"/>
      <c r="J273" s="1018"/>
      <c r="K273" s="1018"/>
      <c r="L273" s="1018"/>
      <c r="M273" s="1018"/>
      <c r="N273" s="737"/>
    </row>
    <row r="274" spans="2:14" ht="13" outlineLevel="1" x14ac:dyDescent="0.3">
      <c r="C274" s="353" t="s">
        <v>1571</v>
      </c>
      <c r="D274" s="130"/>
      <c r="E274" s="130"/>
      <c r="F274" s="130"/>
      <c r="G274" s="1018">
        <f ca="1">G262+G268</f>
        <v>7.5872659415010055</v>
      </c>
      <c r="H274" s="1018">
        <f t="shared" ref="H274:M274" ca="1" si="105">H262+H268</f>
        <v>7.5872659415010055</v>
      </c>
      <c r="I274" s="1018">
        <f t="shared" ca="1" si="105"/>
        <v>8.1453734964853872</v>
      </c>
      <c r="J274" s="1018">
        <f t="shared" ca="1" si="105"/>
        <v>8.9931099829177121</v>
      </c>
      <c r="K274" s="1018">
        <f t="shared" ca="1" si="105"/>
        <v>10.306294955232417</v>
      </c>
      <c r="L274" s="1018">
        <f t="shared" ca="1" si="105"/>
        <v>12.714278301332643</v>
      </c>
      <c r="M274" s="1018">
        <f t="shared" ca="1" si="105"/>
        <v>19.722777767510578</v>
      </c>
      <c r="N274" s="737"/>
    </row>
    <row r="275" spans="2:14" ht="13" outlineLevel="1" x14ac:dyDescent="0.3">
      <c r="C275" s="353" t="s">
        <v>1572</v>
      </c>
      <c r="D275" s="130"/>
      <c r="E275" s="130"/>
      <c r="F275" s="130"/>
      <c r="G275" s="1018">
        <f t="shared" ref="G275:M277" ca="1" si="106">G263+G269</f>
        <v>59.064276042675075</v>
      </c>
      <c r="H275" s="1018">
        <f t="shared" ca="1" si="106"/>
        <v>59.064276042675075</v>
      </c>
      <c r="I275" s="1018">
        <f t="shared" ca="1" si="106"/>
        <v>63.392234049874617</v>
      </c>
      <c r="J275" s="1018">
        <f t="shared" ca="1" si="106"/>
        <v>69.968094624496956</v>
      </c>
      <c r="K275" s="1018">
        <f t="shared" ca="1" si="106"/>
        <v>80.152089702539556</v>
      </c>
      <c r="L275" s="1018">
        <f t="shared" ca="1" si="106"/>
        <v>98.830678895680109</v>
      </c>
      <c r="M275" s="1018">
        <f t="shared" ca="1" si="106"/>
        <v>153.18358978399897</v>
      </c>
      <c r="N275" s="737"/>
    </row>
    <row r="276" spans="2:14" ht="13" outlineLevel="1" x14ac:dyDescent="0.3">
      <c r="C276" s="353" t="s">
        <v>1573</v>
      </c>
      <c r="D276" s="130"/>
      <c r="E276" s="130"/>
      <c r="F276" s="130"/>
      <c r="G276" s="1018">
        <f t="shared" ca="1" si="106"/>
        <v>17.747418256135902</v>
      </c>
      <c r="H276" s="1018">
        <f t="shared" ca="1" si="106"/>
        <v>17.747418256135902</v>
      </c>
      <c r="I276" s="1018">
        <f t="shared" ca="1" si="106"/>
        <v>19.54204701060015</v>
      </c>
      <c r="J276" s="1018">
        <f t="shared" ca="1" si="106"/>
        <v>22.352479417653527</v>
      </c>
      <c r="K276" s="1018">
        <f t="shared" ca="1" si="106"/>
        <v>26.894198157430505</v>
      </c>
      <c r="L276" s="1018">
        <f t="shared" ca="1" si="106"/>
        <v>35.761465618940569</v>
      </c>
      <c r="M276" s="1018">
        <f t="shared" ca="1" si="106"/>
        <v>64.891905915129399</v>
      </c>
      <c r="N276" s="737"/>
    </row>
    <row r="277" spans="2:14" ht="13" outlineLevel="1" x14ac:dyDescent="0.3">
      <c r="C277" s="353" t="s">
        <v>1574</v>
      </c>
      <c r="D277" s="130"/>
      <c r="E277" s="130"/>
      <c r="F277" s="130"/>
      <c r="G277" s="1018">
        <f t="shared" ca="1" si="106"/>
        <v>84.398960240311993</v>
      </c>
      <c r="H277" s="1018">
        <f t="shared" ca="1" si="106"/>
        <v>84.398960240311993</v>
      </c>
      <c r="I277" s="1018">
        <f t="shared" ca="1" si="106"/>
        <v>91.079654556960151</v>
      </c>
      <c r="J277" s="1018">
        <f t="shared" ca="1" si="106"/>
        <v>101.3136840250682</v>
      </c>
      <c r="K277" s="1018">
        <f t="shared" ca="1" si="106"/>
        <v>117.35258281520248</v>
      </c>
      <c r="L277" s="1018">
        <f t="shared" ca="1" si="106"/>
        <v>147.30642281595331</v>
      </c>
      <c r="M277" s="1018">
        <f t="shared" ca="1" si="106"/>
        <v>237.79827346663896</v>
      </c>
      <c r="N277" s="737"/>
    </row>
    <row r="278" spans="2:14" ht="13" outlineLevel="1" x14ac:dyDescent="0.3">
      <c r="C278" s="353"/>
      <c r="D278" s="130"/>
      <c r="E278" s="130"/>
      <c r="F278" s="130"/>
      <c r="G278" s="502"/>
      <c r="H278" s="502"/>
      <c r="I278" s="502"/>
      <c r="J278" s="502"/>
      <c r="K278" s="502"/>
      <c r="L278" s="502"/>
      <c r="M278" s="502"/>
      <c r="N278" s="737"/>
    </row>
    <row r="279" spans="2:14" ht="14" outlineLevel="1" x14ac:dyDescent="0.3">
      <c r="B279" s="665" t="s">
        <v>1122</v>
      </c>
      <c r="D279" s="130"/>
      <c r="E279" s="130"/>
      <c r="F279" s="130"/>
      <c r="G279" s="502"/>
      <c r="H279" s="502"/>
      <c r="I279" s="502"/>
      <c r="J279" s="502"/>
      <c r="K279" s="502"/>
      <c r="L279" s="502"/>
      <c r="M279" s="502"/>
      <c r="N279" s="737"/>
    </row>
    <row r="280" spans="2:14" ht="13" outlineLevel="1" x14ac:dyDescent="0.3">
      <c r="B280" s="327" t="s">
        <v>1284</v>
      </c>
      <c r="D280" s="130"/>
      <c r="E280" s="130"/>
      <c r="F280" s="130"/>
      <c r="G280" s="502"/>
      <c r="H280" s="502"/>
      <c r="I280" s="502"/>
      <c r="J280" s="502"/>
      <c r="K280" s="502"/>
      <c r="L280" s="502"/>
      <c r="M280" s="502"/>
      <c r="N280" s="737"/>
    </row>
    <row r="281" spans="2:14" ht="13" outlineLevel="1" x14ac:dyDescent="0.3">
      <c r="C281" s="353" t="s">
        <v>1571</v>
      </c>
      <c r="D281" s="130"/>
      <c r="E281" s="130"/>
      <c r="F281" s="130"/>
      <c r="G281" s="1018">
        <f ca="1">'Manufacturing Costs'!G214*'Cost Input'!$F$91*G$179/Dashboard!D$105*(1-Lists!$C$154)*(1-Lists!$D$154)</f>
        <v>3.9210536248070516</v>
      </c>
      <c r="H281" s="1018">
        <f ca="1">'Manufacturing Costs'!H214*'Cost Input'!$F$91*H$179/Dashboard!E$105*(1-Lists!$C$154)*(1-Lists!$D$154)</f>
        <v>3.9210536248070516</v>
      </c>
      <c r="I281" s="1018">
        <f ca="1">'Manufacturing Costs'!I214*'Cost Input'!$F$91*I$179/Dashboard!F$105*(1-Lists!$C$154)*(1-Lists!$D$154)</f>
        <v>4.2098232770656576</v>
      </c>
      <c r="J281" s="1018">
        <f ca="1">'Manufacturing Costs'!J214*'Cost Input'!$F$91*J$179/Dashboard!G$105*(1-Lists!$C$154)*(1-Lists!$D$154)</f>
        <v>4.6482145285321366</v>
      </c>
      <c r="K281" s="1018">
        <f ca="1">'Manufacturing Costs'!K214*'Cost Input'!$F$91*K$179/Dashboard!H$105*(1-Lists!$C$154)*(1-Lists!$D$154)</f>
        <v>5.3281538185025932</v>
      </c>
      <c r="L281" s="1018">
        <f ca="1">'Manufacturing Costs'!L214*'Cost Input'!$F$91*L$179/Dashboard!I$105*(1-Lists!$C$154)*(1-Lists!$D$154)</f>
        <v>6.5747567935920967</v>
      </c>
      <c r="M281" s="1018">
        <f ca="1">'Manufacturing Costs'!M214*'Cost Input'!$F$91*M$179/Dashboard!J$105*(1-Lists!$C$154)*(1-Lists!$D$154)</f>
        <v>10.208282681698911</v>
      </c>
      <c r="N281" s="737"/>
    </row>
    <row r="282" spans="2:14" ht="13" outlineLevel="1" x14ac:dyDescent="0.3">
      <c r="C282" s="353" t="s">
        <v>1572</v>
      </c>
      <c r="D282" s="130"/>
      <c r="E282" s="130"/>
      <c r="F282" s="130"/>
      <c r="G282" s="1018">
        <f ca="1">'Manufacturing Costs'!G215*1000000*G$180/Dashboard!D$105*(1-Lists!$C$154)*(1-Lists!$D$154)</f>
        <v>7.8544169097714684</v>
      </c>
      <c r="H282" s="1018">
        <f ca="1">'Manufacturing Costs'!H215*1000000*H$180/Dashboard!E$105*(1-Lists!$C$154)*(1-Lists!$D$154)</f>
        <v>7.8544169097714684</v>
      </c>
      <c r="I282" s="1018">
        <f ca="1">'Manufacturing Costs'!I215*1000000*I$180/Dashboard!F$105*(1-Lists!$C$154)*(1-Lists!$D$154)</f>
        <v>8.6058245042338442</v>
      </c>
      <c r="J282" s="1018">
        <f ca="1">'Manufacturing Costs'!J215*1000000*J$180/Dashboard!G$105*(1-Lists!$C$154)*(1-Lists!$D$154)</f>
        <v>9.7747772516176408</v>
      </c>
      <c r="K282" s="1018">
        <f ca="1">'Manufacturing Costs'!K215*1000000*K$180/Dashboard!H$105*(1-Lists!$C$154)*(1-Lists!$D$154)</f>
        <v>11.65031393627636</v>
      </c>
      <c r="L282" s="1018">
        <f ca="1">'Manufacturing Costs'!L215*1000000*L$180/Dashboard!I$105*(1-Lists!$C$154)*(1-Lists!$D$154)</f>
        <v>15.266065472763145</v>
      </c>
      <c r="M282" s="1018">
        <f ca="1">'Manufacturing Costs'!M215*1000000*M$180/Dashboard!J$105*(1-Lists!$C$154)*(1-Lists!$D$154)</f>
        <v>26.877718448614544</v>
      </c>
      <c r="N282" s="737"/>
    </row>
    <row r="283" spans="2:14" ht="13" outlineLevel="1" x14ac:dyDescent="0.3">
      <c r="C283" s="353" t="s">
        <v>1573</v>
      </c>
      <c r="D283" s="130"/>
      <c r="E283" s="130"/>
      <c r="F283" s="130"/>
      <c r="G283" s="1018">
        <f ca="1">'Manufacturing Costs'!G216*'Cost Input'!$F$83*G$181/Dashboard!D$105*(1-Lists!$C$154)*(1-Lists!$D$154)</f>
        <v>1.164199971206382</v>
      </c>
      <c r="H283" s="1018">
        <f ca="1">'Manufacturing Costs'!H216*'Cost Input'!$F$83*H$181/Dashboard!E$105*(1-Lists!$C$154)*(1-Lists!$D$154)</f>
        <v>1.164199971206382</v>
      </c>
      <c r="I283" s="1018">
        <f ca="1">'Manufacturing Costs'!I216*'Cost Input'!$F$83*I$181/Dashboard!F$105*(1-Lists!$C$154)*(1-Lists!$D$154)</f>
        <v>1.2820662951494621</v>
      </c>
      <c r="J283" s="1018">
        <f ca="1">'Manufacturing Costs'!J216*'Cost Input'!$F$83*J$181/Dashboard!G$105*(1-Lists!$C$154)*(1-Lists!$D$154)</f>
        <v>1.4665534244392326</v>
      </c>
      <c r="K283" s="1018">
        <f ca="1">'Manufacturing Costs'!K216*'Cost Input'!$F$83*K$181/Dashboard!H$105*(1-Lists!$C$154)*(1-Lists!$D$154)</f>
        <v>1.7650771359538822</v>
      </c>
      <c r="L283" s="1018">
        <f ca="1">'Manufacturing Costs'!L216*'Cost Input'!$F$83*L$181/Dashboard!I$105*(1-Lists!$C$154)*(1-Lists!$D$154)</f>
        <v>2.3478741817058588</v>
      </c>
      <c r="M283" s="1018">
        <f ca="1">'Manufacturing Costs'!M216*'Cost Input'!$F$83*M$181/Dashboard!J$105*(1-Lists!$C$154)*(1-Lists!$D$154)</f>
        <v>4.265678999688399</v>
      </c>
      <c r="N283" s="737"/>
    </row>
    <row r="284" spans="2:14" ht="13" outlineLevel="1" x14ac:dyDescent="0.3">
      <c r="C284" s="353" t="s">
        <v>1574</v>
      </c>
      <c r="D284" s="130"/>
      <c r="E284" s="130"/>
      <c r="F284" s="130"/>
      <c r="G284" s="1018">
        <f ca="1">SUM(G281:G283)</f>
        <v>12.939670505784903</v>
      </c>
      <c r="H284" s="1018">
        <f t="shared" ref="H284:M284" ca="1" si="107">SUM(H281:H283)</f>
        <v>12.939670505784903</v>
      </c>
      <c r="I284" s="1018">
        <f t="shared" ca="1" si="107"/>
        <v>14.097714076448964</v>
      </c>
      <c r="J284" s="1018">
        <f t="shared" ca="1" si="107"/>
        <v>15.889545204589011</v>
      </c>
      <c r="K284" s="1018">
        <f t="shared" ca="1" si="107"/>
        <v>18.743544890732835</v>
      </c>
      <c r="L284" s="1018">
        <f t="shared" ca="1" si="107"/>
        <v>24.188696448061101</v>
      </c>
      <c r="M284" s="1018">
        <f t="shared" ca="1" si="107"/>
        <v>41.351680130001853</v>
      </c>
      <c r="N284" s="737"/>
    </row>
    <row r="285" spans="2:14" ht="13" outlineLevel="1" x14ac:dyDescent="0.3">
      <c r="C285" s="353"/>
      <c r="D285" s="130"/>
      <c r="E285" s="130"/>
      <c r="F285" s="130"/>
      <c r="G285" s="502"/>
      <c r="H285" s="502"/>
      <c r="I285" s="502"/>
      <c r="J285" s="502"/>
      <c r="K285" s="502"/>
      <c r="L285" s="502"/>
      <c r="M285" s="502"/>
      <c r="N285" s="737"/>
    </row>
    <row r="286" spans="2:14" ht="13" outlineLevel="1" x14ac:dyDescent="0.3">
      <c r="B286" s="327" t="s">
        <v>1287</v>
      </c>
      <c r="D286" s="130"/>
      <c r="E286" s="130"/>
      <c r="F286" s="130"/>
      <c r="G286" s="502"/>
      <c r="H286" s="502"/>
      <c r="I286" s="502"/>
      <c r="J286" s="502"/>
      <c r="K286" s="502"/>
      <c r="L286" s="502"/>
      <c r="M286" s="502"/>
      <c r="N286" s="737"/>
    </row>
    <row r="287" spans="2:14" ht="13" outlineLevel="1" x14ac:dyDescent="0.3">
      <c r="C287" s="353" t="s">
        <v>1571</v>
      </c>
      <c r="D287" s="130"/>
      <c r="E287" s="130"/>
      <c r="F287" s="130"/>
      <c r="G287" s="1018">
        <f ca="1">'Manufacturing Costs'!G220*'Cost Input'!$F$91*G$179/Dashboard!D$105*(1-Lists!$C$154)*(1-Lists!$D$154)</f>
        <v>4.4379530539561616</v>
      </c>
      <c r="H287" s="1018">
        <f ca="1">'Manufacturing Costs'!H220*'Cost Input'!$F$91*H$179/Dashboard!E$105*(1-Lists!$C$154)*(1-Lists!$D$154)</f>
        <v>4.4379530539561616</v>
      </c>
      <c r="I287" s="1018">
        <f ca="1">'Manufacturing Costs'!I220*'Cost Input'!$F$91*I$179/Dashboard!F$105*(1-Lists!$C$154)*(1-Lists!$D$154)</f>
        <v>4.7640140277223404</v>
      </c>
      <c r="J287" s="1018">
        <f ca="1">'Manufacturing Costs'!J220*'Cost Input'!$F$91*J$179/Dashboard!G$105*(1-Lists!$C$154)*(1-Lists!$D$154)</f>
        <v>5.2595494783123975</v>
      </c>
      <c r="K287" s="1018">
        <f ca="1">'Manufacturing Costs'!K220*'Cost Input'!$F$91*K$179/Dashboard!H$105*(1-Lists!$C$154)*(1-Lists!$D$154)</f>
        <v>6.0261965188800186</v>
      </c>
      <c r="L287" s="1018">
        <f ca="1">'Manufacturing Costs'!L220*'Cost Input'!$F$91*L$179/Dashboard!I$105*(1-Lists!$C$154)*(1-Lists!$D$154)</f>
        <v>7.4322207456503673</v>
      </c>
      <c r="M287" s="1018">
        <f ca="1">'Manufacturing Costs'!M220*'Cost Input'!$F$91*M$179/Dashboard!J$105*(1-Lists!$C$154)*(1-Lists!$D$154)</f>
        <v>11.518547603849893</v>
      </c>
      <c r="N287" s="737"/>
    </row>
    <row r="288" spans="2:14" ht="13" outlineLevel="1" x14ac:dyDescent="0.3">
      <c r="C288" s="353" t="s">
        <v>1572</v>
      </c>
      <c r="D288" s="130"/>
      <c r="E288" s="130"/>
      <c r="F288" s="130"/>
      <c r="G288" s="1018">
        <f ca="1">'Manufacturing Costs'!G221*1000000*G$180/Dashboard!D$105*(1-Lists!$C$154)*(1-Lists!$D$154)</f>
        <v>7.860480454082313</v>
      </c>
      <c r="H288" s="1018">
        <f ca="1">'Manufacturing Costs'!H221*1000000*H$180/Dashboard!E$105*(1-Lists!$C$154)*(1-Lists!$D$154)</f>
        <v>7.860480454082313</v>
      </c>
      <c r="I288" s="1018">
        <f ca="1">'Manufacturing Costs'!I221*1000000*I$180/Dashboard!F$105*(1-Lists!$C$154)*(1-Lists!$D$154)</f>
        <v>8.6106642699965725</v>
      </c>
      <c r="J288" s="1018">
        <f ca="1">'Manufacturing Costs'!J221*1000000*J$180/Dashboard!G$105*(1-Lists!$C$154)*(1-Lists!$D$154)</f>
        <v>9.7789198807620394</v>
      </c>
      <c r="K288" s="1018">
        <f ca="1">'Manufacturing Costs'!K221*1000000*K$180/Dashboard!H$105*(1-Lists!$C$154)*(1-Lists!$D$154)</f>
        <v>11.648495764215737</v>
      </c>
      <c r="L288" s="1018">
        <f ca="1">'Manufacturing Costs'!L221*1000000*L$180/Dashboard!I$105*(1-Lists!$C$154)*(1-Lists!$D$154)</f>
        <v>15.253400492377759</v>
      </c>
      <c r="M288" s="1018">
        <f ca="1">'Manufacturing Costs'!M221*1000000*M$180/Dashboard!J$105*(1-Lists!$C$154)*(1-Lists!$D$154)</f>
        <v>26.792377746744624</v>
      </c>
      <c r="N288" s="737"/>
    </row>
    <row r="289" spans="2:14" ht="13" outlineLevel="1" x14ac:dyDescent="0.3">
      <c r="C289" s="353" t="s">
        <v>1573</v>
      </c>
      <c r="D289" s="130"/>
      <c r="E289" s="130"/>
      <c r="F289" s="130"/>
      <c r="G289" s="1018">
        <f ca="1">'Manufacturing Costs'!G222*'Cost Input'!$F$83*G$181/Dashboard!D$105*(1-Lists!$C$154)*(1-Lists!$D$154)</f>
        <v>1.1651486749114555</v>
      </c>
      <c r="H289" s="1018">
        <f ca="1">'Manufacturing Costs'!H222*'Cost Input'!$F$83*H$181/Dashboard!E$105*(1-Lists!$C$154)*(1-Lists!$D$154)</f>
        <v>1.1651486749114555</v>
      </c>
      <c r="I289" s="1018">
        <f ca="1">'Manufacturing Costs'!I222*'Cost Input'!$F$83*I$181/Dashboard!F$105*(1-Lists!$C$154)*(1-Lists!$D$154)</f>
        <v>1.2828273749918069</v>
      </c>
      <c r="J289" s="1018">
        <f ca="1">'Manufacturing Costs'!J222*'Cost Input'!$F$83*J$181/Dashboard!G$105*(1-Lists!$C$154)*(1-Lists!$D$154)</f>
        <v>1.4672094991277929</v>
      </c>
      <c r="K289" s="1018">
        <f ca="1">'Manufacturing Costs'!K222*'Cost Input'!$F$83*K$181/Dashboard!H$105*(1-Lists!$C$154)*(1-Lists!$D$154)</f>
        <v>1.7647863722088717</v>
      </c>
      <c r="L289" s="1018">
        <f ca="1">'Manufacturing Costs'!L222*'Cost Input'!$F$83*L$181/Dashboard!I$105*(1-Lists!$C$154)*(1-Lists!$D$154)</f>
        <v>2.3458181807800909</v>
      </c>
      <c r="M289" s="1018">
        <f ca="1">'Manufacturing Costs'!M222*'Cost Input'!$F$83*M$181/Dashboard!J$105*(1-Lists!$C$154)*(1-Lists!$D$154)</f>
        <v>4.2513836516723345</v>
      </c>
      <c r="N289" s="737"/>
    </row>
    <row r="290" spans="2:14" ht="13" outlineLevel="1" x14ac:dyDescent="0.3">
      <c r="C290" s="353" t="s">
        <v>1574</v>
      </c>
      <c r="D290" s="130"/>
      <c r="E290" s="130"/>
      <c r="F290" s="130"/>
      <c r="G290" s="1018">
        <f ca="1">SUM(G287:G289)</f>
        <v>13.46358218294993</v>
      </c>
      <c r="H290" s="1018">
        <f t="shared" ref="H290:M290" ca="1" si="108">SUM(H287:H289)</f>
        <v>13.46358218294993</v>
      </c>
      <c r="I290" s="1018">
        <f t="shared" ca="1" si="108"/>
        <v>14.65750567271072</v>
      </c>
      <c r="J290" s="1018">
        <f t="shared" ca="1" si="108"/>
        <v>16.505678858202231</v>
      </c>
      <c r="K290" s="1018">
        <f t="shared" ca="1" si="108"/>
        <v>19.439478655304626</v>
      </c>
      <c r="L290" s="1018">
        <f t="shared" ca="1" si="108"/>
        <v>25.031439418808219</v>
      </c>
      <c r="M290" s="1018">
        <f t="shared" ca="1" si="108"/>
        <v>42.562309002266851</v>
      </c>
      <c r="N290" s="737"/>
    </row>
    <row r="291" spans="2:14" ht="13" outlineLevel="1" x14ac:dyDescent="0.3">
      <c r="C291" s="353"/>
      <c r="D291" s="130"/>
      <c r="E291" s="130"/>
      <c r="F291" s="130"/>
      <c r="G291" s="1018"/>
      <c r="H291" s="1018"/>
      <c r="I291" s="1018"/>
      <c r="J291" s="1018"/>
      <c r="K291" s="1018"/>
      <c r="L291" s="1018"/>
      <c r="M291" s="1018"/>
      <c r="N291" s="737"/>
    </row>
    <row r="292" spans="2:14" ht="13" outlineLevel="1" x14ac:dyDescent="0.3">
      <c r="B292" s="327" t="s">
        <v>1577</v>
      </c>
      <c r="D292" s="130"/>
      <c r="E292" s="130"/>
      <c r="F292" s="130"/>
      <c r="G292" s="1018"/>
      <c r="H292" s="1018"/>
      <c r="I292" s="1018"/>
      <c r="J292" s="1018"/>
      <c r="K292" s="1018"/>
      <c r="L292" s="1018"/>
      <c r="M292" s="1018"/>
      <c r="N292" s="737"/>
    </row>
    <row r="293" spans="2:14" ht="13" outlineLevel="1" x14ac:dyDescent="0.3">
      <c r="C293" s="353" t="s">
        <v>1571</v>
      </c>
      <c r="D293" s="130"/>
      <c r="E293" s="130"/>
      <c r="F293" s="130"/>
      <c r="G293" s="1018">
        <f ca="1">G281+G287</f>
        <v>8.3590066787632136</v>
      </c>
      <c r="H293" s="1018">
        <f t="shared" ref="H293:M293" ca="1" si="109">H281+H287</f>
        <v>8.3590066787632136</v>
      </c>
      <c r="I293" s="1018">
        <f t="shared" ca="1" si="109"/>
        <v>8.9738373047879989</v>
      </c>
      <c r="J293" s="1018">
        <f t="shared" ca="1" si="109"/>
        <v>9.9077640068445341</v>
      </c>
      <c r="K293" s="1018">
        <f t="shared" ca="1" si="109"/>
        <v>11.354350337382613</v>
      </c>
      <c r="L293" s="1018">
        <f t="shared" ca="1" si="109"/>
        <v>14.006977539242463</v>
      </c>
      <c r="M293" s="1018">
        <f t="shared" ca="1" si="109"/>
        <v>21.726830285548804</v>
      </c>
      <c r="N293" s="737"/>
    </row>
    <row r="294" spans="2:14" ht="13" outlineLevel="1" x14ac:dyDescent="0.3">
      <c r="C294" s="353" t="s">
        <v>1572</v>
      </c>
      <c r="D294" s="130"/>
      <c r="E294" s="130"/>
      <c r="F294" s="130"/>
      <c r="G294" s="1018">
        <f t="shared" ref="G294:M296" ca="1" si="110">G282+G288</f>
        <v>15.714897363853781</v>
      </c>
      <c r="H294" s="1018">
        <f t="shared" ca="1" si="110"/>
        <v>15.714897363853781</v>
      </c>
      <c r="I294" s="1018">
        <f t="shared" ca="1" si="110"/>
        <v>17.216488774230417</v>
      </c>
      <c r="J294" s="1018">
        <f t="shared" ca="1" si="110"/>
        <v>19.553697132379682</v>
      </c>
      <c r="K294" s="1018">
        <f t="shared" ca="1" si="110"/>
        <v>23.298809700492097</v>
      </c>
      <c r="L294" s="1018">
        <f t="shared" ca="1" si="110"/>
        <v>30.519465965140903</v>
      </c>
      <c r="M294" s="1018">
        <f t="shared" ca="1" si="110"/>
        <v>53.670096195359164</v>
      </c>
      <c r="N294" s="737"/>
    </row>
    <row r="295" spans="2:14" ht="13" outlineLevel="1" x14ac:dyDescent="0.3">
      <c r="C295" s="353" t="s">
        <v>1573</v>
      </c>
      <c r="D295" s="130"/>
      <c r="E295" s="130"/>
      <c r="F295" s="130"/>
      <c r="G295" s="1018">
        <f t="shared" ca="1" si="110"/>
        <v>2.3293486461178374</v>
      </c>
      <c r="H295" s="1018">
        <f t="shared" ca="1" si="110"/>
        <v>2.3293486461178374</v>
      </c>
      <c r="I295" s="1018">
        <f t="shared" ca="1" si="110"/>
        <v>2.5648936701412692</v>
      </c>
      <c r="J295" s="1018">
        <f t="shared" ca="1" si="110"/>
        <v>2.9337629235670253</v>
      </c>
      <c r="K295" s="1018">
        <f t="shared" ca="1" si="110"/>
        <v>3.5298635081627538</v>
      </c>
      <c r="L295" s="1018">
        <f t="shared" ca="1" si="110"/>
        <v>4.6936923624859492</v>
      </c>
      <c r="M295" s="1018">
        <f t="shared" ca="1" si="110"/>
        <v>8.5170626513607335</v>
      </c>
      <c r="N295" s="737"/>
    </row>
    <row r="296" spans="2:14" ht="13" outlineLevel="1" x14ac:dyDescent="0.3">
      <c r="C296" s="353" t="s">
        <v>1574</v>
      </c>
      <c r="D296" s="130"/>
      <c r="E296" s="130"/>
      <c r="F296" s="130"/>
      <c r="G296" s="1018">
        <f t="shared" ca="1" si="110"/>
        <v>26.403252688734831</v>
      </c>
      <c r="H296" s="1018">
        <f t="shared" ca="1" si="110"/>
        <v>26.403252688734831</v>
      </c>
      <c r="I296" s="1018">
        <f t="shared" ca="1" si="110"/>
        <v>28.755219749159686</v>
      </c>
      <c r="J296" s="1018">
        <f t="shared" ca="1" si="110"/>
        <v>32.395224062791243</v>
      </c>
      <c r="K296" s="1018">
        <f t="shared" ca="1" si="110"/>
        <v>38.183023546037461</v>
      </c>
      <c r="L296" s="1018">
        <f t="shared" ca="1" si="110"/>
        <v>49.22013586686932</v>
      </c>
      <c r="M296" s="1018">
        <f t="shared" ca="1" si="110"/>
        <v>83.913989132268711</v>
      </c>
      <c r="N296" s="737"/>
    </row>
    <row r="297" spans="2:14" ht="13" outlineLevel="1" x14ac:dyDescent="0.3">
      <c r="C297" s="353"/>
      <c r="D297" s="130"/>
      <c r="E297" s="130"/>
      <c r="F297" s="130"/>
      <c r="G297" s="502"/>
      <c r="H297" s="502"/>
      <c r="I297" s="502"/>
      <c r="J297" s="502"/>
      <c r="K297" s="502"/>
      <c r="L297" s="502"/>
      <c r="M297" s="502"/>
      <c r="N297" s="737"/>
    </row>
    <row r="298" spans="2:14" ht="14" outlineLevel="1" x14ac:dyDescent="0.3">
      <c r="B298" s="665" t="s">
        <v>1123</v>
      </c>
      <c r="D298" s="130"/>
      <c r="E298" s="130"/>
      <c r="F298" s="130"/>
      <c r="G298" s="502"/>
      <c r="H298" s="502"/>
      <c r="I298" s="502"/>
      <c r="J298" s="502"/>
      <c r="K298" s="502"/>
      <c r="L298" s="502"/>
      <c r="M298" s="502"/>
      <c r="N298" s="737"/>
    </row>
    <row r="299" spans="2:14" ht="13" outlineLevel="1" x14ac:dyDescent="0.3">
      <c r="B299" s="327" t="s">
        <v>1284</v>
      </c>
      <c r="D299" s="130"/>
      <c r="E299" s="130"/>
      <c r="F299" s="130"/>
      <c r="G299" s="502"/>
      <c r="H299" s="502"/>
      <c r="I299" s="502"/>
      <c r="J299" s="502"/>
      <c r="K299" s="502"/>
      <c r="L299" s="502"/>
      <c r="M299" s="502"/>
      <c r="N299" s="737"/>
    </row>
    <row r="300" spans="2:14" ht="13" outlineLevel="1" x14ac:dyDescent="0.3">
      <c r="C300" s="353" t="s">
        <v>1571</v>
      </c>
      <c r="D300" s="130"/>
      <c r="E300" s="130"/>
      <c r="F300" s="130"/>
      <c r="G300" s="1018">
        <f ca="1">'Manufacturing Costs'!G227*'Cost Input'!$F$91*G$179/Dashboard!D$105*(1-Lists!$C$154)*(1-Lists!$D$154)</f>
        <v>16.069891904946935</v>
      </c>
      <c r="H300" s="1018">
        <f ca="1">'Manufacturing Costs'!H227*'Cost Input'!$F$91*H$179/Dashboard!E$105*(1-Lists!$C$154)*(1-Lists!$D$154)</f>
        <v>16.069891904946935</v>
      </c>
      <c r="I300" s="1018">
        <f ca="1">'Manufacturing Costs'!I227*'Cost Input'!$F$91*I$179/Dashboard!F$105*(1-Lists!$C$154)*(1-Lists!$D$154)</f>
        <v>17.253374086334659</v>
      </c>
      <c r="J300" s="1018">
        <f ca="1">'Manufacturing Costs'!J227*'Cost Input'!$F$91*J$179/Dashboard!G$105*(1-Lists!$C$154)*(1-Lists!$D$154)</f>
        <v>19.050059543164494</v>
      </c>
      <c r="K300" s="1018">
        <f ca="1">'Manufacturing Costs'!K227*'Cost Input'!$F$91*K$179/Dashboard!H$105*(1-Lists!$C$154)*(1-Lists!$D$154)</f>
        <v>21.836695977469645</v>
      </c>
      <c r="L300" s="1018">
        <f ca="1">'Manufacturing Costs'!L227*'Cost Input'!$F$91*L$179/Dashboard!I$105*(1-Lists!$C$154)*(1-Lists!$D$154)</f>
        <v>26.945724563902036</v>
      </c>
      <c r="M300" s="1018">
        <f ca="1">'Manufacturing Costs'!M227*'Cost Input'!$F$91*M$179/Dashboard!J$105*(1-Lists!$C$154)*(1-Lists!$D$154)</f>
        <v>41.837224105323401</v>
      </c>
      <c r="N300" s="737"/>
    </row>
    <row r="301" spans="2:14" ht="13" outlineLevel="1" x14ac:dyDescent="0.3">
      <c r="C301" s="353" t="s">
        <v>1572</v>
      </c>
      <c r="D301" s="130"/>
      <c r="E301" s="130"/>
      <c r="F301" s="130"/>
      <c r="G301" s="1018">
        <f ca="1">'Manufacturing Costs'!G228*1000000*G$180/Dashboard!D$105*(1-Lists!$C$154)*(1-Lists!$D$154)</f>
        <v>9.111123615334904</v>
      </c>
      <c r="H301" s="1018">
        <f ca="1">'Manufacturing Costs'!H228*1000000*H$180/Dashboard!E$105*(1-Lists!$C$154)*(1-Lists!$D$154)</f>
        <v>9.111123615334904</v>
      </c>
      <c r="I301" s="1018">
        <f ca="1">'Manufacturing Costs'!I228*1000000*I$180/Dashboard!F$105*(1-Lists!$C$154)*(1-Lists!$D$154)</f>
        <v>9.9827564249112584</v>
      </c>
      <c r="J301" s="1018">
        <f ca="1">'Manufacturing Costs'!J228*1000000*J$180/Dashboard!G$105*(1-Lists!$C$154)*(1-Lists!$D$154)</f>
        <v>11.338741611876463</v>
      </c>
      <c r="K301" s="1018">
        <f ca="1">'Manufacturing Costs'!K228*1000000*K$180/Dashboard!H$105*(1-Lists!$C$154)*(1-Lists!$D$154)</f>
        <v>13.514364166080577</v>
      </c>
      <c r="L301" s="1018">
        <f ca="1">'Manufacturing Costs'!L228*1000000*L$180/Dashboard!I$105*(1-Lists!$C$154)*(1-Lists!$D$154)</f>
        <v>17.708635948405249</v>
      </c>
      <c r="M301" s="1018">
        <f ca="1">'Manufacturing Costs'!M228*1000000*M$180/Dashboard!J$105*(1-Lists!$C$154)*(1-Lists!$D$154)</f>
        <v>31.178153400392873</v>
      </c>
      <c r="N301" s="737"/>
    </row>
    <row r="302" spans="2:14" ht="13" outlineLevel="1" x14ac:dyDescent="0.3">
      <c r="C302" s="353" t="s">
        <v>1573</v>
      </c>
      <c r="D302" s="130"/>
      <c r="E302" s="130"/>
      <c r="F302" s="130"/>
      <c r="G302" s="1018">
        <f ca="1">'Manufacturing Costs'!G229*'Cost Input'!$F$83*G$181/Dashboard!D$105*(1-Lists!$C$154)*(1-Lists!$D$154)</f>
        <v>1.7740190037430583</v>
      </c>
      <c r="H302" s="1018">
        <f ca="1">'Manufacturing Costs'!H229*'Cost Input'!$F$83*H$181/Dashboard!E$105*(1-Lists!$C$154)*(1-Lists!$D$154)</f>
        <v>1.7740190037430583</v>
      </c>
      <c r="I302" s="1018">
        <f ca="1">'Manufacturing Costs'!I229*'Cost Input'!$F$83*I$181/Dashboard!F$105*(1-Lists!$C$154)*(1-Lists!$D$154)</f>
        <v>1.9536248307039425</v>
      </c>
      <c r="J302" s="1018">
        <f ca="1">'Manufacturing Costs'!J229*'Cost Input'!$F$83*J$181/Dashboard!G$105*(1-Lists!$C$154)*(1-Lists!$D$154)</f>
        <v>2.2347480753359728</v>
      </c>
      <c r="K302" s="1018">
        <f ca="1">'Manufacturing Costs'!K229*'Cost Input'!$F$83*K$181/Dashboard!H$105*(1-Lists!$C$154)*(1-Lists!$D$154)</f>
        <v>2.6896413500249632</v>
      </c>
      <c r="L302" s="1018">
        <f ca="1">'Manufacturing Costs'!L229*'Cost Input'!$F$83*L$181/Dashboard!I$105*(1-Lists!$C$154)*(1-Lists!$D$154)</f>
        <v>3.5777130387898803</v>
      </c>
      <c r="M302" s="1018">
        <f ca="1">'Manufacturing Costs'!M229*'Cost Input'!$F$83*M$181/Dashboard!J$105*(1-Lists!$C$154)*(1-Lists!$D$154)</f>
        <v>6.500082285239464</v>
      </c>
      <c r="N302" s="737"/>
    </row>
    <row r="303" spans="2:14" ht="13" outlineLevel="1" x14ac:dyDescent="0.3">
      <c r="C303" s="353" t="s">
        <v>1574</v>
      </c>
      <c r="D303" s="130"/>
      <c r="E303" s="130"/>
      <c r="F303" s="130"/>
      <c r="G303" s="1018">
        <f ca="1">SUM(G300:G302)</f>
        <v>26.955034524024896</v>
      </c>
      <c r="H303" s="1018">
        <f t="shared" ref="H303:M303" ca="1" si="111">SUM(H300:H302)</f>
        <v>26.955034524024896</v>
      </c>
      <c r="I303" s="1018">
        <f t="shared" ca="1" si="111"/>
        <v>29.189755341949862</v>
      </c>
      <c r="J303" s="1018">
        <f t="shared" ca="1" si="111"/>
        <v>32.623549230376931</v>
      </c>
      <c r="K303" s="1018">
        <f t="shared" ca="1" si="111"/>
        <v>38.040701493575185</v>
      </c>
      <c r="L303" s="1018">
        <f t="shared" ca="1" si="111"/>
        <v>48.232073551097166</v>
      </c>
      <c r="M303" s="1018">
        <f t="shared" ca="1" si="111"/>
        <v>79.515459790955731</v>
      </c>
      <c r="N303" s="737"/>
    </row>
    <row r="304" spans="2:14" ht="13" outlineLevel="1" x14ac:dyDescent="0.3">
      <c r="C304" s="353"/>
      <c r="D304" s="130"/>
      <c r="E304" s="130"/>
      <c r="F304" s="130"/>
      <c r="G304" s="502"/>
      <c r="H304" s="502"/>
      <c r="I304" s="502"/>
      <c r="J304" s="502"/>
      <c r="K304" s="502"/>
      <c r="L304" s="502"/>
      <c r="M304" s="502"/>
      <c r="N304" s="737"/>
    </row>
    <row r="305" spans="2:14" ht="13" outlineLevel="1" x14ac:dyDescent="0.3">
      <c r="B305" s="327" t="s">
        <v>1287</v>
      </c>
      <c r="D305" s="130"/>
      <c r="E305" s="130"/>
      <c r="F305" s="130"/>
      <c r="G305" s="502"/>
      <c r="H305" s="502"/>
      <c r="I305" s="502"/>
      <c r="J305" s="502"/>
      <c r="K305" s="502"/>
      <c r="L305" s="502"/>
      <c r="M305" s="502"/>
      <c r="N305" s="737"/>
    </row>
    <row r="306" spans="2:14" ht="13" outlineLevel="1" x14ac:dyDescent="0.3">
      <c r="C306" s="353" t="s">
        <v>1571</v>
      </c>
      <c r="D306" s="130"/>
      <c r="E306" s="130"/>
      <c r="F306" s="130"/>
      <c r="G306" s="1018">
        <f ca="1">'Manufacturing Costs'!G233*'Cost Input'!$F$91*G$179/Dashboard!D$105*(1-Lists!$C$154)*(1-Lists!$D$154)</f>
        <v>16.0795400505658</v>
      </c>
      <c r="H306" s="1018">
        <f ca="1">'Manufacturing Costs'!H233*'Cost Input'!$F$91*H$179/Dashboard!E$105*(1-Lists!$C$154)*(1-Lists!$D$154)</f>
        <v>16.0795400505658</v>
      </c>
      <c r="I306" s="1018">
        <f ca="1">'Manufacturing Costs'!I233*'Cost Input'!$F$91*I$179/Dashboard!F$105*(1-Lists!$C$154)*(1-Lists!$D$154)</f>
        <v>17.260920390298335</v>
      </c>
      <c r="J306" s="1018">
        <f ca="1">'Manufacturing Costs'!J233*'Cost Input'!$F$91*J$179/Dashboard!G$105*(1-Lists!$C$154)*(1-Lists!$D$154)</f>
        <v>19.056338689537672</v>
      </c>
      <c r="K306" s="1018">
        <f ca="1">'Manufacturing Costs'!K233*'Cost Input'!$F$91*K$179/Dashboard!H$105*(1-Lists!$C$154)*(1-Lists!$D$154)</f>
        <v>21.834045358260937</v>
      </c>
      <c r="L306" s="1018">
        <f ca="1">'Manufacturing Costs'!L233*'Cost Input'!$F$91*L$179/Dashboard!I$105*(1-Lists!$C$154)*(1-Lists!$D$154)</f>
        <v>26.928336034965099</v>
      </c>
      <c r="M306" s="1018">
        <f ca="1">'Manufacturing Costs'!M233*'Cost Input'!$F$91*M$179/Dashboard!J$105*(1-Lists!$C$154)*(1-Lists!$D$154)</f>
        <v>41.733868129890908</v>
      </c>
      <c r="N306" s="737"/>
    </row>
    <row r="307" spans="2:14" ht="13" outlineLevel="1" x14ac:dyDescent="0.3">
      <c r="C307" s="353" t="s">
        <v>1572</v>
      </c>
      <c r="D307" s="130"/>
      <c r="E307" s="130"/>
      <c r="F307" s="130"/>
      <c r="G307" s="1018">
        <f ca="1">'Manufacturing Costs'!G234*1000000*G$180/Dashboard!D$105*(1-Lists!$C$154)*(1-Lists!$D$154)</f>
        <v>9.1181573267354832</v>
      </c>
      <c r="H307" s="1018">
        <f ca="1">'Manufacturing Costs'!H234*1000000*H$180/Dashboard!E$105*(1-Lists!$C$154)*(1-Lists!$D$154)</f>
        <v>9.1181573267354832</v>
      </c>
      <c r="I307" s="1018">
        <f ca="1">'Manufacturing Costs'!I234*1000000*I$180/Dashboard!F$105*(1-Lists!$C$154)*(1-Lists!$D$154)</f>
        <v>9.9883705531960238</v>
      </c>
      <c r="J307" s="1018">
        <f ca="1">'Manufacturing Costs'!J234*1000000*J$180/Dashboard!G$105*(1-Lists!$C$154)*(1-Lists!$D$154)</f>
        <v>11.343547061683966</v>
      </c>
      <c r="K307" s="1018">
        <f ca="1">'Manufacturing Costs'!K234*1000000*K$180/Dashboard!H$105*(1-Lists!$C$154)*(1-Lists!$D$154)</f>
        <v>13.512255086490253</v>
      </c>
      <c r="L307" s="1018">
        <f ca="1">'Manufacturing Costs'!L234*1000000*L$180/Dashboard!I$105*(1-Lists!$C$154)*(1-Lists!$D$154)</f>
        <v>17.693944571158202</v>
      </c>
      <c r="M307" s="1018">
        <f ca="1">'Manufacturing Costs'!M234*1000000*M$180/Dashboard!J$105*(1-Lists!$C$154)*(1-Lists!$D$154)</f>
        <v>31.079158186223768</v>
      </c>
      <c r="N307" s="737"/>
    </row>
    <row r="308" spans="2:14" ht="13" outlineLevel="1" x14ac:dyDescent="0.3">
      <c r="C308" s="353" t="s">
        <v>1573</v>
      </c>
      <c r="D308" s="130"/>
      <c r="E308" s="130"/>
      <c r="F308" s="130"/>
      <c r="G308" s="1018">
        <f ca="1">'Manufacturing Costs'!G235*'Cost Input'!$F$83*G$181/Dashboard!D$105*(1-Lists!$C$154)*(1-Lists!$D$154)</f>
        <v>1.7754646474841222</v>
      </c>
      <c r="H308" s="1018">
        <f ca="1">'Manufacturing Costs'!H235*'Cost Input'!$F$83*H$181/Dashboard!E$105*(1-Lists!$C$154)*(1-Lists!$D$154)</f>
        <v>1.7754646474841222</v>
      </c>
      <c r="I308" s="1018">
        <f ca="1">'Manufacturing Costs'!I235*'Cost Input'!$F$83*I$181/Dashboard!F$105*(1-Lists!$C$154)*(1-Lists!$D$154)</f>
        <v>1.954784571416087</v>
      </c>
      <c r="J308" s="1018">
        <f ca="1">'Manufacturing Costs'!J235*'Cost Input'!$F$83*J$181/Dashboard!G$105*(1-Lists!$C$154)*(1-Lists!$D$154)</f>
        <v>2.235747808194732</v>
      </c>
      <c r="K308" s="1018">
        <f ca="1">'Manufacturing Costs'!K235*'Cost Input'!$F$83*K$181/Dashboard!H$105*(1-Lists!$C$154)*(1-Lists!$D$154)</f>
        <v>2.6891982814611373</v>
      </c>
      <c r="L308" s="1018">
        <f ca="1">'Manufacturing Costs'!L235*'Cost Input'!$F$83*L$181/Dashboard!I$105*(1-Lists!$C$154)*(1-Lists!$D$154)</f>
        <v>3.5745800849982339</v>
      </c>
      <c r="M308" s="1018">
        <f ca="1">'Manufacturing Costs'!M235*'Cost Input'!$F$83*M$181/Dashboard!J$105*(1-Lists!$C$154)*(1-Lists!$D$154)</f>
        <v>6.4782988977864147</v>
      </c>
      <c r="N308" s="737"/>
    </row>
    <row r="309" spans="2:14" ht="13" outlineLevel="1" x14ac:dyDescent="0.3">
      <c r="C309" s="353" t="s">
        <v>1574</v>
      </c>
      <c r="D309" s="130"/>
      <c r="E309" s="130"/>
      <c r="F309" s="130"/>
      <c r="G309" s="1018">
        <f ca="1">SUM(G306:G308)</f>
        <v>26.973162024785402</v>
      </c>
      <c r="H309" s="1018">
        <f t="shared" ref="H309:M309" ca="1" si="112">SUM(H306:H308)</f>
        <v>26.973162024785402</v>
      </c>
      <c r="I309" s="1018">
        <f t="shared" ca="1" si="112"/>
        <v>29.204075514910446</v>
      </c>
      <c r="J309" s="1018">
        <f t="shared" ca="1" si="112"/>
        <v>32.63563355941637</v>
      </c>
      <c r="K309" s="1018">
        <f t="shared" ca="1" si="112"/>
        <v>38.035498726212332</v>
      </c>
      <c r="L309" s="1018">
        <f t="shared" ca="1" si="112"/>
        <v>48.196860691121529</v>
      </c>
      <c r="M309" s="1018">
        <f t="shared" ca="1" si="112"/>
        <v>79.291325213901089</v>
      </c>
      <c r="N309" s="737"/>
    </row>
    <row r="310" spans="2:14" ht="13" outlineLevel="1" x14ac:dyDescent="0.3">
      <c r="C310" s="353"/>
      <c r="D310" s="130"/>
      <c r="E310" s="130"/>
      <c r="F310" s="130"/>
      <c r="G310" s="502"/>
      <c r="H310" s="502"/>
      <c r="I310" s="502"/>
      <c r="J310" s="502"/>
      <c r="K310" s="502"/>
      <c r="L310" s="502"/>
      <c r="M310" s="502"/>
      <c r="N310" s="737"/>
    </row>
    <row r="311" spans="2:14" ht="13" outlineLevel="1" x14ac:dyDescent="0.3">
      <c r="B311" s="327" t="s">
        <v>1578</v>
      </c>
      <c r="D311" s="130"/>
      <c r="E311" s="130"/>
      <c r="F311" s="130"/>
      <c r="G311" s="502"/>
      <c r="H311" s="502"/>
      <c r="I311" s="502"/>
      <c r="J311" s="502"/>
      <c r="K311" s="502"/>
      <c r="L311" s="502"/>
      <c r="M311" s="502"/>
      <c r="N311" s="737"/>
    </row>
    <row r="312" spans="2:14" ht="13" outlineLevel="1" x14ac:dyDescent="0.3">
      <c r="C312" s="353" t="s">
        <v>1571</v>
      </c>
      <c r="D312" s="130"/>
      <c r="E312" s="130"/>
      <c r="F312" s="130"/>
      <c r="G312" s="1018">
        <f ca="1">G300+G306</f>
        <v>32.149431955512739</v>
      </c>
      <c r="H312" s="1018">
        <f t="shared" ref="H312:M312" ca="1" si="113">H300+H306</f>
        <v>32.149431955512739</v>
      </c>
      <c r="I312" s="1018">
        <f t="shared" ca="1" si="113"/>
        <v>34.514294476632998</v>
      </c>
      <c r="J312" s="1018">
        <f t="shared" ca="1" si="113"/>
        <v>38.106398232702162</v>
      </c>
      <c r="K312" s="1018">
        <f t="shared" ca="1" si="113"/>
        <v>43.670741335730582</v>
      </c>
      <c r="L312" s="1018">
        <f t="shared" ca="1" si="113"/>
        <v>53.874060598867132</v>
      </c>
      <c r="M312" s="1018">
        <f t="shared" ca="1" si="113"/>
        <v>83.571092235214309</v>
      </c>
      <c r="N312" s="737"/>
    </row>
    <row r="313" spans="2:14" ht="13" outlineLevel="1" x14ac:dyDescent="0.3">
      <c r="C313" s="353" t="s">
        <v>1572</v>
      </c>
      <c r="D313" s="130"/>
      <c r="E313" s="130"/>
      <c r="F313" s="130"/>
      <c r="G313" s="1018">
        <f t="shared" ref="G313:M315" ca="1" si="114">G301+G307</f>
        <v>18.229280942070389</v>
      </c>
      <c r="H313" s="1018">
        <f t="shared" ca="1" si="114"/>
        <v>18.229280942070389</v>
      </c>
      <c r="I313" s="1018">
        <f t="shared" ca="1" si="114"/>
        <v>19.971126978107282</v>
      </c>
      <c r="J313" s="1018">
        <f t="shared" ca="1" si="114"/>
        <v>22.682288673560429</v>
      </c>
      <c r="K313" s="1018">
        <f t="shared" ca="1" si="114"/>
        <v>27.026619252570832</v>
      </c>
      <c r="L313" s="1018">
        <f t="shared" ca="1" si="114"/>
        <v>35.40258051956345</v>
      </c>
      <c r="M313" s="1018">
        <f t="shared" ca="1" si="114"/>
        <v>62.257311586616638</v>
      </c>
      <c r="N313" s="737"/>
    </row>
    <row r="314" spans="2:14" ht="13" outlineLevel="1" x14ac:dyDescent="0.3">
      <c r="C314" s="353" t="s">
        <v>1573</v>
      </c>
      <c r="D314" s="130"/>
      <c r="E314" s="130"/>
      <c r="F314" s="130"/>
      <c r="G314" s="1018">
        <f t="shared" ca="1" si="114"/>
        <v>3.5494836512271806</v>
      </c>
      <c r="H314" s="1018">
        <f t="shared" ca="1" si="114"/>
        <v>3.5494836512271806</v>
      </c>
      <c r="I314" s="1018">
        <f t="shared" ca="1" si="114"/>
        <v>3.9084094021200295</v>
      </c>
      <c r="J314" s="1018">
        <f t="shared" ca="1" si="114"/>
        <v>4.4704958835307043</v>
      </c>
      <c r="K314" s="1018">
        <f t="shared" ca="1" si="114"/>
        <v>5.3788396314861</v>
      </c>
      <c r="L314" s="1018">
        <f t="shared" ca="1" si="114"/>
        <v>7.1522931237881142</v>
      </c>
      <c r="M314" s="1018">
        <f t="shared" ca="1" si="114"/>
        <v>12.978381183025878</v>
      </c>
      <c r="N314" s="737"/>
    </row>
    <row r="315" spans="2:14" ht="13" outlineLevel="1" x14ac:dyDescent="0.3">
      <c r="C315" s="353" t="s">
        <v>1574</v>
      </c>
      <c r="D315" s="130"/>
      <c r="E315" s="130"/>
      <c r="F315" s="130"/>
      <c r="G315" s="1018">
        <f t="shared" ca="1" si="114"/>
        <v>53.928196548810298</v>
      </c>
      <c r="H315" s="1018">
        <f t="shared" ca="1" si="114"/>
        <v>53.928196548810298</v>
      </c>
      <c r="I315" s="1018">
        <f t="shared" ca="1" si="114"/>
        <v>58.393830856860305</v>
      </c>
      <c r="J315" s="1018">
        <f t="shared" ca="1" si="114"/>
        <v>65.2591827897933</v>
      </c>
      <c r="K315" s="1018">
        <f t="shared" ca="1" si="114"/>
        <v>76.076200219787523</v>
      </c>
      <c r="L315" s="1018">
        <f t="shared" ca="1" si="114"/>
        <v>96.428934242218702</v>
      </c>
      <c r="M315" s="1018">
        <f t="shared" ca="1" si="114"/>
        <v>158.80678500485681</v>
      </c>
      <c r="N315" s="737"/>
    </row>
    <row r="316" spans="2:14" ht="13" outlineLevel="1" x14ac:dyDescent="0.3">
      <c r="C316" s="353"/>
      <c r="D316" s="130"/>
      <c r="E316" s="130"/>
      <c r="F316" s="130"/>
      <c r="G316" s="502"/>
      <c r="H316" s="502"/>
      <c r="I316" s="502"/>
      <c r="J316" s="502"/>
      <c r="K316" s="502"/>
      <c r="L316" s="502"/>
      <c r="M316" s="502"/>
      <c r="N316" s="737"/>
    </row>
    <row r="317" spans="2:14" ht="14" outlineLevel="1" x14ac:dyDescent="0.3">
      <c r="B317" s="665" t="s">
        <v>1124</v>
      </c>
      <c r="C317" s="353"/>
      <c r="D317" s="130"/>
      <c r="E317" s="130"/>
      <c r="F317" s="130"/>
      <c r="G317" s="502"/>
      <c r="H317" s="502"/>
      <c r="I317" s="502"/>
      <c r="J317" s="502"/>
      <c r="K317" s="502"/>
      <c r="L317" s="502"/>
      <c r="M317" s="502"/>
      <c r="N317" s="737"/>
    </row>
    <row r="318" spans="2:14" ht="13" outlineLevel="1" x14ac:dyDescent="0.3">
      <c r="B318" s="327" t="s">
        <v>1284</v>
      </c>
      <c r="D318" s="130"/>
      <c r="E318" s="130"/>
      <c r="F318" s="130"/>
      <c r="G318" s="502"/>
      <c r="H318" s="502"/>
      <c r="I318" s="502"/>
      <c r="J318" s="502"/>
      <c r="K318" s="502"/>
      <c r="L318" s="502"/>
      <c r="M318" s="502"/>
      <c r="N318" s="737"/>
    </row>
    <row r="319" spans="2:14" ht="13" outlineLevel="1" x14ac:dyDescent="0.3">
      <c r="C319" s="353" t="s">
        <v>1571</v>
      </c>
      <c r="D319" s="130"/>
      <c r="E319" s="130"/>
      <c r="F319" s="130"/>
      <c r="G319" s="1018">
        <f ca="1">'Manufacturing Costs'!G240*'Cost Input'!$F$91*G$179/Dashboard!D$105*(1-Lists!$C$154)*(1-Lists!$D$154)</f>
        <v>2.635462272411297</v>
      </c>
      <c r="H319" s="1018">
        <f ca="1">'Manufacturing Costs'!H240*'Cost Input'!$F$91*H$179/Dashboard!E$105*(1-Lists!$C$154)*(1-Lists!$D$154)</f>
        <v>2.635462272411297</v>
      </c>
      <c r="I319" s="1018">
        <f ca="1">'Manufacturing Costs'!I240*'Cost Input'!$F$91*I$179/Dashboard!F$105*(1-Lists!$C$154)*(1-Lists!$D$154)</f>
        <v>2.8295533501588848</v>
      </c>
      <c r="J319" s="1018">
        <f ca="1">'Manufacturing Costs'!J240*'Cost Input'!$F$91*J$179/Dashboard!G$105*(1-Lists!$C$154)*(1-Lists!$D$154)</f>
        <v>3.1242097650789766</v>
      </c>
      <c r="K319" s="1018">
        <f ca="1">'Manufacturing Costs'!K240*'Cost Input'!$F$91*K$179/Dashboard!H$105*(1-Lists!$C$154)*(1-Lists!$D$154)</f>
        <v>3.5812181403050216</v>
      </c>
      <c r="L319" s="1018">
        <f ca="1">'Manufacturing Costs'!L240*'Cost Input'!$F$91*L$179/Dashboard!I$105*(1-Lists!$C$154)*(1-Lists!$D$154)</f>
        <v>4.4190988284799344</v>
      </c>
      <c r="M319" s="1018">
        <f ca="1">'Manufacturing Costs'!M240*'Cost Input'!$F$91*M$179/Dashboard!J$105*(1-Lists!$C$154)*(1-Lists!$D$154)</f>
        <v>6.8613047532730382</v>
      </c>
      <c r="N319" s="737"/>
    </row>
    <row r="320" spans="2:14" ht="13" outlineLevel="1" x14ac:dyDescent="0.3">
      <c r="C320" s="353" t="s">
        <v>1572</v>
      </c>
      <c r="D320" s="130"/>
      <c r="E320" s="130"/>
      <c r="F320" s="130"/>
      <c r="G320" s="1018">
        <f ca="1">'Manufacturing Costs'!G241*1000000*G$180/Dashboard!D$105*(1-Lists!$C$154)*(1-Lists!$D$154)</f>
        <v>4.3984734694720222</v>
      </c>
      <c r="H320" s="1018">
        <f ca="1">'Manufacturing Costs'!H241*1000000*H$180/Dashboard!E$105*(1-Lists!$C$154)*(1-Lists!$D$154)</f>
        <v>4.3984734694720222</v>
      </c>
      <c r="I320" s="1018">
        <f ca="1">'Manufacturing Costs'!I241*1000000*I$180/Dashboard!F$105*(1-Lists!$C$154)*(1-Lists!$D$154)</f>
        <v>4.8192617223709524</v>
      </c>
      <c r="J320" s="1018">
        <f ca="1">'Manufacturing Costs'!J241*1000000*J$180/Dashboard!G$105*(1-Lists!$C$154)*(1-Lists!$D$154)</f>
        <v>5.4738752609058787</v>
      </c>
      <c r="K320" s="1018">
        <f ca="1">'Manufacturing Costs'!K241*1000000*K$180/Dashboard!H$105*(1-Lists!$C$154)*(1-Lists!$D$154)</f>
        <v>6.524175804314762</v>
      </c>
      <c r="L320" s="1018">
        <f ca="1">'Manufacturing Costs'!L241*1000000*L$180/Dashboard!I$105*(1-Lists!$C$154)*(1-Lists!$D$154)</f>
        <v>8.5489966647473619</v>
      </c>
      <c r="M320" s="1018">
        <f ca="1">'Manufacturing Costs'!M241*1000000*M$180/Dashboard!J$105*(1-Lists!$C$154)*(1-Lists!$D$154)</f>
        <v>15.051522331224144</v>
      </c>
      <c r="N320" s="737"/>
    </row>
    <row r="321" spans="2:14" ht="13" outlineLevel="1" x14ac:dyDescent="0.3">
      <c r="C321" s="353" t="s">
        <v>1573</v>
      </c>
      <c r="D321" s="130"/>
      <c r="E321" s="130"/>
      <c r="F321" s="130"/>
      <c r="G321" s="1018">
        <f ca="1">'Manufacturing Costs'!G242*'Cost Input'!$F$83*G$181/Dashboard!D$105*(1-Lists!$C$154)*(1-Lists!$D$154)</f>
        <v>1.1087618773394112</v>
      </c>
      <c r="H321" s="1018">
        <f ca="1">'Manufacturing Costs'!H242*'Cost Input'!$F$83*H$181/Dashboard!E$105*(1-Lists!$C$154)*(1-Lists!$D$154)</f>
        <v>1.1087618773394112</v>
      </c>
      <c r="I321" s="1018">
        <f ca="1">'Manufacturing Costs'!I242*'Cost Input'!$F$83*I$181/Dashboard!F$105*(1-Lists!$C$154)*(1-Lists!$D$154)</f>
        <v>1.2210155191899641</v>
      </c>
      <c r="J321" s="1018">
        <f ca="1">'Manufacturing Costs'!J242*'Cost Input'!$F$83*J$181/Dashboard!G$105*(1-Lists!$C$154)*(1-Lists!$D$154)</f>
        <v>1.3967175470849833</v>
      </c>
      <c r="K321" s="1018">
        <f ca="1">'Manufacturing Costs'!K242*'Cost Input'!$F$83*K$181/Dashboard!H$105*(1-Lists!$C$154)*(1-Lists!$D$154)</f>
        <v>1.6810258437656023</v>
      </c>
      <c r="L321" s="1018">
        <f ca="1">'Manufacturing Costs'!L242*'Cost Input'!$F$83*L$181/Dashboard!I$105*(1-Lists!$C$154)*(1-Lists!$D$154)</f>
        <v>2.236070649243675</v>
      </c>
      <c r="M321" s="1018">
        <f ca="1">'Manufacturing Costs'!M242*'Cost Input'!$F$83*M$181/Dashboard!J$105*(1-Lists!$C$154)*(1-Lists!$D$154)</f>
        <v>4.0625514282746646</v>
      </c>
      <c r="N321" s="737"/>
    </row>
    <row r="322" spans="2:14" ht="13" outlineLevel="1" x14ac:dyDescent="0.3">
      <c r="C322" s="353" t="s">
        <v>1574</v>
      </c>
      <c r="D322" s="130"/>
      <c r="E322" s="130"/>
      <c r="F322" s="130"/>
      <c r="G322" s="1018">
        <f ca="1">SUM(G319:G321)</f>
        <v>8.1426976192227301</v>
      </c>
      <c r="H322" s="1018">
        <f t="shared" ref="H322:M322" ca="1" si="115">SUM(H319:H321)</f>
        <v>8.1426976192227301</v>
      </c>
      <c r="I322" s="1018">
        <f t="shared" ca="1" si="115"/>
        <v>8.8698305917198006</v>
      </c>
      <c r="J322" s="1018">
        <f t="shared" ca="1" si="115"/>
        <v>9.9948025730698369</v>
      </c>
      <c r="K322" s="1018">
        <f t="shared" ca="1" si="115"/>
        <v>11.786419788385388</v>
      </c>
      <c r="L322" s="1018">
        <f t="shared" ca="1" si="115"/>
        <v>15.204166142470971</v>
      </c>
      <c r="M322" s="1018">
        <f t="shared" ca="1" si="115"/>
        <v>25.975378512771847</v>
      </c>
      <c r="N322" s="737"/>
    </row>
    <row r="323" spans="2:14" ht="13" outlineLevel="1" x14ac:dyDescent="0.3">
      <c r="C323" s="353"/>
      <c r="D323" s="130"/>
      <c r="E323" s="130"/>
      <c r="F323" s="130"/>
      <c r="G323" s="502"/>
      <c r="H323" s="502"/>
      <c r="I323" s="502"/>
      <c r="J323" s="502"/>
      <c r="K323" s="502"/>
      <c r="L323" s="502"/>
      <c r="M323" s="502"/>
      <c r="N323" s="737"/>
    </row>
    <row r="324" spans="2:14" ht="13" outlineLevel="1" x14ac:dyDescent="0.3">
      <c r="B324" s="327" t="s">
        <v>1287</v>
      </c>
      <c r="D324" s="130"/>
      <c r="E324" s="130"/>
      <c r="F324" s="130"/>
      <c r="G324" s="502"/>
      <c r="H324" s="502"/>
      <c r="I324" s="502"/>
      <c r="J324" s="502"/>
      <c r="K324" s="502"/>
      <c r="L324" s="502"/>
      <c r="M324" s="502"/>
      <c r="N324" s="737"/>
    </row>
    <row r="325" spans="2:14" ht="13" outlineLevel="1" x14ac:dyDescent="0.3">
      <c r="C325" s="353" t="s">
        <v>1571</v>
      </c>
      <c r="D325" s="130"/>
      <c r="E325" s="130"/>
      <c r="F325" s="130"/>
      <c r="G325" s="1018">
        <f ca="1">'Manufacturing Costs'!G246*'Cost Input'!$F$91*G$179/Dashboard!D$105*(1-Lists!$C$154)*(1-Lists!$D$154)</f>
        <v>2.2511356070792119</v>
      </c>
      <c r="H325" s="1018">
        <f ca="1">'Manufacturing Costs'!H246*'Cost Input'!$F$91*H$179/Dashboard!E$105*(1-Lists!$C$154)*(1-Lists!$D$154)</f>
        <v>2.2511356070792119</v>
      </c>
      <c r="I325" s="1018">
        <f ca="1">'Manufacturing Costs'!I246*'Cost Input'!$F$91*I$179/Dashboard!F$105*(1-Lists!$C$154)*(1-Lists!$D$154)</f>
        <v>2.4165288546417667</v>
      </c>
      <c r="J325" s="1018">
        <f ca="1">'Manufacturing Costs'!J246*'Cost Input'!$F$91*J$179/Dashboard!G$105*(1-Lists!$C$154)*(1-Lists!$D$154)</f>
        <v>2.6678874165352742</v>
      </c>
      <c r="K325" s="1018">
        <f ca="1">'Manufacturing Costs'!K246*'Cost Input'!$F$91*K$179/Dashboard!H$105*(1-Lists!$C$154)*(1-Lists!$D$154)</f>
        <v>3.0567663501565314</v>
      </c>
      <c r="L325" s="1018">
        <f ca="1">'Manufacturing Costs'!L246*'Cost Input'!$F$91*L$179/Dashboard!I$105*(1-Lists!$C$154)*(1-Lists!$D$154)</f>
        <v>3.7699670448951137</v>
      </c>
      <c r="M325" s="1018">
        <f ca="1">'Manufacturing Costs'!M246*'Cost Input'!$F$91*M$179/Dashboard!J$105*(1-Lists!$C$154)*(1-Lists!$D$154)</f>
        <v>5.8427415381847272</v>
      </c>
      <c r="N325" s="737"/>
    </row>
    <row r="326" spans="2:14" ht="13" outlineLevel="1" x14ac:dyDescent="0.3">
      <c r="C326" s="353" t="s">
        <v>1572</v>
      </c>
      <c r="D326" s="130"/>
      <c r="E326" s="130"/>
      <c r="F326" s="130"/>
      <c r="G326" s="1018">
        <f ca="1">'Manufacturing Costs'!G247*1000000*G$180/Dashboard!D$105*(1-Lists!$C$154)*(1-Lists!$D$154)</f>
        <v>3.4586113997962178</v>
      </c>
      <c r="H326" s="1018">
        <f ca="1">'Manufacturing Costs'!H247*1000000*H$180/Dashboard!E$105*(1-Lists!$C$154)*(1-Lists!$D$154)</f>
        <v>3.4586113997962178</v>
      </c>
      <c r="I326" s="1018">
        <f ca="1">'Manufacturing Costs'!I247*1000000*I$180/Dashboard!F$105*(1-Lists!$C$154)*(1-Lists!$D$154)</f>
        <v>3.7886922787984911</v>
      </c>
      <c r="J326" s="1018">
        <f ca="1">'Manufacturing Costs'!J247*1000000*J$180/Dashboard!G$105*(1-Lists!$C$154)*(1-Lists!$D$154)</f>
        <v>4.3027247475352972</v>
      </c>
      <c r="K326" s="1018">
        <f ca="1">'Manufacturing Costs'!K247*1000000*K$180/Dashboard!H$105*(1-Lists!$C$154)*(1-Lists!$D$154)</f>
        <v>5.1253381362549231</v>
      </c>
      <c r="L326" s="1018">
        <f ca="1">'Manufacturing Costs'!L247*1000000*L$180/Dashboard!I$105*(1-Lists!$C$154)*(1-Lists!$D$154)</f>
        <v>6.7114962166462142</v>
      </c>
      <c r="M326" s="1018">
        <f ca="1">'Manufacturing Costs'!M247*1000000*M$180/Dashboard!J$105*(1-Lists!$C$154)*(1-Lists!$D$154)</f>
        <v>11.788646208567638</v>
      </c>
      <c r="N326" s="737"/>
    </row>
    <row r="327" spans="2:14" ht="13" outlineLevel="1" x14ac:dyDescent="0.3">
      <c r="C327" s="353" t="s">
        <v>1573</v>
      </c>
      <c r="D327" s="130"/>
      <c r="E327" s="130"/>
      <c r="F327" s="130"/>
      <c r="G327" s="1018">
        <f ca="1">'Manufacturing Costs'!G248*'Cost Input'!$F$83*G$181/Dashboard!D$105*(1-Lists!$C$154)*(1-Lists!$D$154)</f>
        <v>0.88773232374206112</v>
      </c>
      <c r="H327" s="1018">
        <f ca="1">'Manufacturing Costs'!H248*'Cost Input'!$F$83*H$181/Dashboard!E$105*(1-Lists!$C$154)*(1-Lists!$D$154)</f>
        <v>0.88773232374206112</v>
      </c>
      <c r="I327" s="1018">
        <f ca="1">'Manufacturing Costs'!I248*'Cost Input'!$F$83*I$181/Dashboard!F$105*(1-Lists!$C$154)*(1-Lists!$D$154)</f>
        <v>0.97739228570804348</v>
      </c>
      <c r="J327" s="1018">
        <f ca="1">'Manufacturing Costs'!J248*'Cost Input'!$F$83*J$181/Dashboard!G$105*(1-Lists!$C$154)*(1-Lists!$D$154)</f>
        <v>1.117873904097366</v>
      </c>
      <c r="K327" s="1018">
        <f ca="1">'Manufacturing Costs'!K248*'Cost Input'!$F$83*K$181/Dashboard!H$105*(1-Lists!$C$154)*(1-Lists!$D$154)</f>
        <v>1.3445991407305686</v>
      </c>
      <c r="L327" s="1018">
        <f ca="1">'Manufacturing Costs'!L248*'Cost Input'!$F$83*L$181/Dashboard!I$105*(1-Lists!$C$154)*(1-Lists!$D$154)</f>
        <v>1.7872900424991169</v>
      </c>
      <c r="M327" s="1018">
        <f ca="1">'Manufacturing Costs'!M248*'Cost Input'!$F$83*M$181/Dashboard!J$105*(1-Lists!$C$154)*(1-Lists!$D$154)</f>
        <v>3.2391494488932073</v>
      </c>
      <c r="N327" s="737"/>
    </row>
    <row r="328" spans="2:14" ht="13" outlineLevel="1" x14ac:dyDescent="0.3">
      <c r="C328" s="353" t="s">
        <v>1574</v>
      </c>
      <c r="D328" s="130"/>
      <c r="E328" s="130"/>
      <c r="F328" s="130"/>
      <c r="G328" s="1018">
        <f ca="1">SUM(G325:G327)</f>
        <v>6.5974793306174915</v>
      </c>
      <c r="H328" s="1018">
        <f t="shared" ref="H328:M328" ca="1" si="116">SUM(H325:H327)</f>
        <v>6.5974793306174915</v>
      </c>
      <c r="I328" s="1018">
        <f t="shared" ca="1" si="116"/>
        <v>7.1826134191483018</v>
      </c>
      <c r="J328" s="1018">
        <f t="shared" ca="1" si="116"/>
        <v>8.0884860681679367</v>
      </c>
      <c r="K328" s="1018">
        <f t="shared" ca="1" si="116"/>
        <v>9.5267036271420231</v>
      </c>
      <c r="L328" s="1018">
        <f t="shared" ca="1" si="116"/>
        <v>12.268753304040446</v>
      </c>
      <c r="M328" s="1018">
        <f t="shared" ca="1" si="116"/>
        <v>20.870537195645575</v>
      </c>
      <c r="N328" s="737"/>
    </row>
    <row r="329" spans="2:14" ht="13" outlineLevel="1" x14ac:dyDescent="0.3">
      <c r="C329" s="353"/>
      <c r="D329" s="130"/>
      <c r="E329" s="130"/>
      <c r="F329" s="130"/>
      <c r="G329" s="1018"/>
      <c r="H329" s="1018"/>
      <c r="I329" s="1018"/>
      <c r="J329" s="1018"/>
      <c r="K329" s="1018"/>
      <c r="L329" s="1018"/>
      <c r="M329" s="1018"/>
      <c r="N329" s="737"/>
    </row>
    <row r="330" spans="2:14" ht="13" outlineLevel="1" x14ac:dyDescent="0.3">
      <c r="B330" s="327" t="s">
        <v>1579</v>
      </c>
      <c r="D330" s="130"/>
      <c r="E330" s="130"/>
      <c r="F330" s="130"/>
      <c r="G330" s="1018"/>
      <c r="H330" s="1018"/>
      <c r="I330" s="1018"/>
      <c r="J330" s="1018"/>
      <c r="K330" s="1018"/>
      <c r="L330" s="1018"/>
      <c r="M330" s="1018"/>
      <c r="N330" s="737"/>
    </row>
    <row r="331" spans="2:14" ht="13" outlineLevel="1" x14ac:dyDescent="0.3">
      <c r="C331" s="353" t="s">
        <v>1571</v>
      </c>
      <c r="D331" s="130"/>
      <c r="E331" s="130"/>
      <c r="F331" s="130"/>
      <c r="G331" s="1018">
        <f ca="1">G319+G325</f>
        <v>4.8865978794905089</v>
      </c>
      <c r="H331" s="1018">
        <f t="shared" ref="H331:M331" ca="1" si="117">H319+H325</f>
        <v>4.8865978794905089</v>
      </c>
      <c r="I331" s="1018">
        <f t="shared" ca="1" si="117"/>
        <v>5.2460822048006515</v>
      </c>
      <c r="J331" s="1018">
        <f t="shared" ca="1" si="117"/>
        <v>5.7920971816142508</v>
      </c>
      <c r="K331" s="1018">
        <f t="shared" ca="1" si="117"/>
        <v>6.6379844904615535</v>
      </c>
      <c r="L331" s="1018">
        <f t="shared" ca="1" si="117"/>
        <v>8.1890658733750481</v>
      </c>
      <c r="M331" s="1018">
        <f t="shared" ca="1" si="117"/>
        <v>12.704046291457765</v>
      </c>
      <c r="N331" s="737"/>
    </row>
    <row r="332" spans="2:14" ht="13" outlineLevel="1" x14ac:dyDescent="0.3">
      <c r="C332" s="353" t="s">
        <v>1572</v>
      </c>
      <c r="D332" s="130"/>
      <c r="E332" s="130"/>
      <c r="F332" s="130"/>
      <c r="G332" s="1018">
        <f t="shared" ref="G332:M334" ca="1" si="118">G320+G326</f>
        <v>7.85708486926824</v>
      </c>
      <c r="H332" s="1018">
        <f t="shared" ca="1" si="118"/>
        <v>7.85708486926824</v>
      </c>
      <c r="I332" s="1018">
        <f t="shared" ca="1" si="118"/>
        <v>8.6079540011694426</v>
      </c>
      <c r="J332" s="1018">
        <f t="shared" ca="1" si="118"/>
        <v>9.776600008441175</v>
      </c>
      <c r="K332" s="1018">
        <f t="shared" ca="1" si="118"/>
        <v>11.649513940569685</v>
      </c>
      <c r="L332" s="1018">
        <f t="shared" ca="1" si="118"/>
        <v>15.260492881393576</v>
      </c>
      <c r="M332" s="1018">
        <f t="shared" ca="1" si="118"/>
        <v>26.840168539791783</v>
      </c>
      <c r="N332" s="737"/>
    </row>
    <row r="333" spans="2:14" ht="13" outlineLevel="1" x14ac:dyDescent="0.3">
      <c r="C333" s="353" t="s">
        <v>1573</v>
      </c>
      <c r="D333" s="130"/>
      <c r="E333" s="130"/>
      <c r="F333" s="130"/>
      <c r="G333" s="1018">
        <f t="shared" ca="1" si="118"/>
        <v>1.9964942010814724</v>
      </c>
      <c r="H333" s="1018">
        <f t="shared" ca="1" si="118"/>
        <v>1.9964942010814724</v>
      </c>
      <c r="I333" s="1018">
        <f t="shared" ca="1" si="118"/>
        <v>2.1984078048980074</v>
      </c>
      <c r="J333" s="1018">
        <f t="shared" ca="1" si="118"/>
        <v>2.5145914511823495</v>
      </c>
      <c r="K333" s="1018">
        <f t="shared" ca="1" si="118"/>
        <v>3.0256249844961709</v>
      </c>
      <c r="L333" s="1018">
        <f t="shared" ca="1" si="118"/>
        <v>4.0233606917427922</v>
      </c>
      <c r="M333" s="1018">
        <f t="shared" ca="1" si="118"/>
        <v>7.301700877167872</v>
      </c>
      <c r="N333" s="737"/>
    </row>
    <row r="334" spans="2:14" ht="13" outlineLevel="1" x14ac:dyDescent="0.3">
      <c r="C334" s="353" t="s">
        <v>1574</v>
      </c>
      <c r="D334" s="130"/>
      <c r="E334" s="130"/>
      <c r="F334" s="130"/>
      <c r="G334" s="1018">
        <f t="shared" ca="1" si="118"/>
        <v>14.740176949840222</v>
      </c>
      <c r="H334" s="1018">
        <f t="shared" ca="1" si="118"/>
        <v>14.740176949840222</v>
      </c>
      <c r="I334" s="1018">
        <f t="shared" ca="1" si="118"/>
        <v>16.052444010868101</v>
      </c>
      <c r="J334" s="1018">
        <f t="shared" ca="1" si="118"/>
        <v>18.083288641237772</v>
      </c>
      <c r="K334" s="1018">
        <f t="shared" ca="1" si="118"/>
        <v>21.313123415527411</v>
      </c>
      <c r="L334" s="1018">
        <f t="shared" ca="1" si="118"/>
        <v>27.472919446511419</v>
      </c>
      <c r="M334" s="1018">
        <f t="shared" ca="1" si="118"/>
        <v>46.845915708417422</v>
      </c>
      <c r="N334" s="737"/>
    </row>
    <row r="335" spans="2:14" ht="13" outlineLevel="1" x14ac:dyDescent="0.3">
      <c r="C335" s="353"/>
      <c r="D335" s="130"/>
      <c r="E335" s="130"/>
      <c r="F335" s="130"/>
      <c r="G335" s="502"/>
      <c r="H335" s="502"/>
      <c r="I335" s="502"/>
      <c r="J335" s="502"/>
      <c r="K335" s="502"/>
      <c r="L335" s="502"/>
      <c r="M335" s="502"/>
      <c r="N335" s="737"/>
    </row>
    <row r="336" spans="2:14" ht="14" outlineLevel="1" x14ac:dyDescent="0.3">
      <c r="B336" s="665" t="s">
        <v>1580</v>
      </c>
      <c r="C336" s="353"/>
      <c r="D336" s="130"/>
      <c r="E336" s="130"/>
      <c r="F336" s="130"/>
      <c r="G336" s="502"/>
      <c r="H336" s="502"/>
      <c r="I336" s="502"/>
      <c r="J336" s="502"/>
      <c r="K336" s="502"/>
      <c r="L336" s="502"/>
      <c r="M336" s="502"/>
      <c r="N336" s="737"/>
    </row>
    <row r="337" spans="2:14" ht="13" outlineLevel="1" x14ac:dyDescent="0.3">
      <c r="C337" s="353" t="s">
        <v>1571</v>
      </c>
      <c r="D337" s="130"/>
      <c r="E337" s="130"/>
      <c r="F337" s="130"/>
      <c r="G337" s="1018">
        <f ca="1">G255+G274+G293+G312+G331</f>
        <v>97.090071524087975</v>
      </c>
      <c r="H337" s="1018">
        <f t="shared" ref="H337:M337" ca="1" si="119">H255+H274+H293+H312+H331</f>
        <v>97.090071524087975</v>
      </c>
      <c r="I337" s="1018">
        <f t="shared" ca="1" si="119"/>
        <v>100.93469638630516</v>
      </c>
      <c r="J337" s="1018">
        <f t="shared" ca="1" si="119"/>
        <v>106.79270494872286</v>
      </c>
      <c r="K337" s="1018">
        <f t="shared" ca="1" si="119"/>
        <v>115.88073557575173</v>
      </c>
      <c r="L337" s="1018">
        <f t="shared" ca="1" si="119"/>
        <v>132.598167565073</v>
      </c>
      <c r="M337" s="1018">
        <f t="shared" ca="1" si="119"/>
        <v>181.37330540008801</v>
      </c>
      <c r="N337" s="737"/>
    </row>
    <row r="338" spans="2:14" ht="13" outlineLevel="1" x14ac:dyDescent="0.3">
      <c r="C338" s="353" t="s">
        <v>1572</v>
      </c>
      <c r="D338" s="130"/>
      <c r="E338" s="130"/>
      <c r="F338" s="130"/>
      <c r="G338" s="1018">
        <f t="shared" ref="G338:M339" ca="1" si="120">G256+G275+G294+G313+G332</f>
        <v>345.78769243337229</v>
      </c>
      <c r="H338" s="1018">
        <f t="shared" ca="1" si="120"/>
        <v>345.78769243337229</v>
      </c>
      <c r="I338" s="1018">
        <f t="shared" ca="1" si="120"/>
        <v>353.81709083809073</v>
      </c>
      <c r="J338" s="1018">
        <f t="shared" ca="1" si="120"/>
        <v>366.26665235529561</v>
      </c>
      <c r="K338" s="1018">
        <f t="shared" ca="1" si="120"/>
        <v>385.95658274509361</v>
      </c>
      <c r="L338" s="1018">
        <f t="shared" ca="1" si="120"/>
        <v>423.29948048646884</v>
      </c>
      <c r="M338" s="1018">
        <f t="shared" ca="1" si="120"/>
        <v>538.3149191761562</v>
      </c>
      <c r="N338" s="737"/>
    </row>
    <row r="339" spans="2:14" ht="13" outlineLevel="1" x14ac:dyDescent="0.3">
      <c r="C339" s="353" t="s">
        <v>1573</v>
      </c>
      <c r="D339" s="130"/>
      <c r="E339" s="130"/>
      <c r="F339" s="130"/>
      <c r="G339" s="1018">
        <f t="shared" ca="1" si="120"/>
        <v>41.160606995498846</v>
      </c>
      <c r="H339" s="1018">
        <f t="shared" ca="1" si="120"/>
        <v>41.160606995498846</v>
      </c>
      <c r="I339" s="1018">
        <f t="shared" ca="1" si="120"/>
        <v>43.732213302427724</v>
      </c>
      <c r="J339" s="1018">
        <f t="shared" ca="1" si="120"/>
        <v>47.766932100125416</v>
      </c>
      <c r="K339" s="1018">
        <f t="shared" ca="1" si="120"/>
        <v>54.294133233648232</v>
      </c>
      <c r="L339" s="1018">
        <f t="shared" ca="1" si="120"/>
        <v>67.06070019720238</v>
      </c>
      <c r="M339" s="1018">
        <f t="shared" ca="1" si="120"/>
        <v>109.05945755280592</v>
      </c>
      <c r="N339" s="737"/>
    </row>
    <row r="340" spans="2:14" ht="13" outlineLevel="1" x14ac:dyDescent="0.3">
      <c r="C340" s="353" t="s">
        <v>1574</v>
      </c>
      <c r="D340" s="130"/>
      <c r="E340" s="130"/>
      <c r="F340" s="130"/>
      <c r="G340" s="1018">
        <f ca="1">G258+G277+G296+G315+G334</f>
        <v>484.03837095295921</v>
      </c>
      <c r="H340" s="1018">
        <f t="shared" ref="H340:M340" ca="1" si="121">H258+H277+H296+H315+H334</f>
        <v>484.03837095295921</v>
      </c>
      <c r="I340" s="1018">
        <f t="shared" ca="1" si="121"/>
        <v>498.48400052682354</v>
      </c>
      <c r="J340" s="1018">
        <f t="shared" ca="1" si="121"/>
        <v>520.82628940414395</v>
      </c>
      <c r="K340" s="1018">
        <f t="shared" ca="1" si="121"/>
        <v>556.13145155449365</v>
      </c>
      <c r="L340" s="1018">
        <f t="shared" ca="1" si="121"/>
        <v>622.9583482487443</v>
      </c>
      <c r="M340" s="1018">
        <f t="shared" ca="1" si="121"/>
        <v>828.74768212905019</v>
      </c>
      <c r="N340" s="737"/>
    </row>
    <row r="341" spans="2:14" ht="13" outlineLevel="1" x14ac:dyDescent="0.3">
      <c r="C341" s="353"/>
      <c r="D341" s="130"/>
      <c r="E341" s="130"/>
      <c r="F341" s="130"/>
      <c r="G341" s="502"/>
      <c r="H341" s="502"/>
      <c r="I341" s="502"/>
      <c r="J341" s="502"/>
      <c r="K341" s="502"/>
      <c r="L341" s="502"/>
      <c r="M341" s="502"/>
      <c r="N341" s="737"/>
    </row>
    <row r="342" spans="2:14" ht="15.5" outlineLevel="1" x14ac:dyDescent="0.35">
      <c r="B342" s="6" t="s">
        <v>1581</v>
      </c>
      <c r="C342" s="353"/>
      <c r="D342" s="130"/>
      <c r="E342" s="130"/>
      <c r="F342" s="130"/>
      <c r="G342" s="502"/>
      <c r="H342" s="502"/>
      <c r="I342" s="502"/>
      <c r="J342" s="502"/>
      <c r="K342" s="502"/>
      <c r="L342" s="502"/>
      <c r="M342" s="502"/>
      <c r="N342" s="737"/>
    </row>
    <row r="343" spans="2:14" ht="14" outlineLevel="1" x14ac:dyDescent="0.3">
      <c r="B343" s="665" t="s">
        <v>1289</v>
      </c>
      <c r="D343" s="130"/>
      <c r="E343" s="130"/>
      <c r="F343" s="130"/>
      <c r="G343" s="502"/>
      <c r="H343" s="502"/>
      <c r="I343" s="502"/>
      <c r="J343" s="502"/>
      <c r="K343" s="502"/>
      <c r="L343" s="502"/>
      <c r="M343" s="502"/>
      <c r="N343" s="737"/>
    </row>
    <row r="344" spans="2:14" ht="13" outlineLevel="1" x14ac:dyDescent="0.3">
      <c r="C344" s="353" t="s">
        <v>1571</v>
      </c>
      <c r="D344" s="130"/>
      <c r="E344" s="130"/>
      <c r="F344" s="130"/>
      <c r="G344" s="1018">
        <f ca="1">'Manufacturing Costs'!G253*'Cost Input'!$F$91*G$179/Dashboard!D$105*(1-Lists!$C$154)*(1-Lists!$D$154)</f>
        <v>16.717802357547779</v>
      </c>
      <c r="H344" s="1018">
        <f ca="1">'Manufacturing Costs'!H253*'Cost Input'!$F$91*H$179/Dashboard!E$105*(1-Lists!$C$154)*(1-Lists!$D$154)</f>
        <v>16.717802357547779</v>
      </c>
      <c r="I344" s="1018">
        <f ca="1">'Manufacturing Costs'!I253*'Cost Input'!$F$91*I$179/Dashboard!F$105*(1-Lists!$C$154)*(1-Lists!$D$154)</f>
        <v>17.947509507320927</v>
      </c>
      <c r="J344" s="1018">
        <f ca="1">'Manufacturing Costs'!J253*'Cost Input'!$F$91*J$179/Dashboard!G$105*(1-Lists!$C$154)*(1-Lists!$D$154)</f>
        <v>19.81539059734321</v>
      </c>
      <c r="K344" s="1018">
        <f ca="1">'Manufacturing Costs'!K253*'Cost Input'!$F$91*K$179/Dashboard!H$105*(1-Lists!$C$154)*(1-Lists!$D$154)</f>
        <v>22.708758748966115</v>
      </c>
      <c r="L344" s="1018">
        <f ca="1">'Manufacturing Costs'!L253*'Cost Input'!$F$91*L$179/Dashboard!I$105*(1-Lists!$C$154)*(1-Lists!$D$154)</f>
        <v>28.014336563059398</v>
      </c>
      <c r="M344" s="1018">
        <f ca="1">'Manufacturing Costs'!M253*'Cost Input'!$F$91*M$179/Dashboard!J$105*(1-Lists!$C$154)*(1-Lists!$D$154)</f>
        <v>43.455938606172609</v>
      </c>
      <c r="N344" s="737"/>
    </row>
    <row r="345" spans="2:14" ht="13" outlineLevel="1" x14ac:dyDescent="0.3">
      <c r="C345" s="353" t="s">
        <v>1572</v>
      </c>
      <c r="D345" s="130"/>
      <c r="E345" s="130"/>
      <c r="F345" s="130"/>
      <c r="G345" s="1018">
        <f ca="1">'Manufacturing Costs'!G254*1000000*G$180/Dashboard!D$105*(1-Lists!$C$154)*(1-Lists!$D$154)</f>
        <v>9.4290091395039752</v>
      </c>
      <c r="H345" s="1018">
        <f ca="1">'Manufacturing Costs'!H254*1000000*H$180/Dashboard!E$105*(1-Lists!$C$154)*(1-Lists!$D$154)</f>
        <v>9.4290091395039752</v>
      </c>
      <c r="I345" s="1018">
        <f ca="1">'Manufacturing Costs'!I254*1000000*I$180/Dashboard!F$105*(1-Lists!$C$154)*(1-Lists!$D$154)</f>
        <v>10.329949695492164</v>
      </c>
      <c r="J345" s="1018">
        <f ca="1">'Manufacturing Costs'!J254*1000000*J$180/Dashboard!G$105*(1-Lists!$C$154)*(1-Lists!$D$154)</f>
        <v>11.732266572312374</v>
      </c>
      <c r="K345" s="1018">
        <f ca="1">'Manufacturing Costs'!K254*1000000*K$180/Dashboard!H$105*(1-Lists!$C$154)*(1-Lists!$D$154)</f>
        <v>13.97926464243586</v>
      </c>
      <c r="L345" s="1018">
        <f ca="1">'Manufacturing Costs'!L254*1000000*L$180/Dashboard!I$105*(1-Lists!$C$154)*(1-Lists!$D$154)</f>
        <v>18.311532201040155</v>
      </c>
      <c r="M345" s="1018">
        <f ca="1">'Manufacturing Costs'!M254*1000000*M$180/Dashboard!J$105*(1-Lists!$C$154)*(1-Lists!$D$154)</f>
        <v>32.201067978299577</v>
      </c>
      <c r="N345" s="737"/>
    </row>
    <row r="346" spans="2:14" ht="13" outlineLevel="1" x14ac:dyDescent="0.3">
      <c r="C346" s="353" t="s">
        <v>1573</v>
      </c>
      <c r="D346" s="130"/>
      <c r="E346" s="130"/>
      <c r="F346" s="130"/>
      <c r="G346" s="1018">
        <f ca="1">'Manufacturing Costs'!G255*'Cost Input'!$F$83*G$181/Dashboard!D$105*(1-Lists!$C$154)*(1-Lists!$D$154)</f>
        <v>0</v>
      </c>
      <c r="H346" s="1018">
        <f ca="1">'Manufacturing Costs'!H255*'Cost Input'!$F$83*H$181/Dashboard!E$105*(1-Lists!$C$154)*(1-Lists!$D$154)</f>
        <v>0</v>
      </c>
      <c r="I346" s="1018">
        <f ca="1">'Manufacturing Costs'!I255*'Cost Input'!$F$83*I$181/Dashboard!F$105*(1-Lists!$C$154)*(1-Lists!$D$154)</f>
        <v>0</v>
      </c>
      <c r="J346" s="1018">
        <f ca="1">'Manufacturing Costs'!J255*'Cost Input'!$F$83*J$181/Dashboard!G$105*(1-Lists!$C$154)*(1-Lists!$D$154)</f>
        <v>0</v>
      </c>
      <c r="K346" s="1018">
        <f ca="1">'Manufacturing Costs'!K255*'Cost Input'!$F$83*K$181/Dashboard!H$105*(1-Lists!$C$154)*(1-Lists!$D$154)</f>
        <v>0</v>
      </c>
      <c r="L346" s="1018">
        <f ca="1">'Manufacturing Costs'!L255*'Cost Input'!$F$83*L$181/Dashboard!I$105*(1-Lists!$C$154)*(1-Lists!$D$154)</f>
        <v>0</v>
      </c>
      <c r="M346" s="1018">
        <f ca="1">'Manufacturing Costs'!M255*'Cost Input'!$F$83*M$181/Dashboard!J$105*(1-Lists!$C$154)*(1-Lists!$D$154)</f>
        <v>0</v>
      </c>
      <c r="N346" s="737"/>
    </row>
    <row r="347" spans="2:14" ht="13" outlineLevel="1" x14ac:dyDescent="0.3">
      <c r="C347" s="353" t="s">
        <v>1574</v>
      </c>
      <c r="D347" s="130"/>
      <c r="E347" s="130"/>
      <c r="F347" s="130"/>
      <c r="G347" s="1018">
        <f ca="1">SUM(G344:G346)</f>
        <v>26.146811497051754</v>
      </c>
      <c r="H347" s="1018">
        <f t="shared" ref="H347:M347" ca="1" si="122">SUM(H344:H346)</f>
        <v>26.146811497051754</v>
      </c>
      <c r="I347" s="1018">
        <f t="shared" ca="1" si="122"/>
        <v>28.277459202813091</v>
      </c>
      <c r="J347" s="1018">
        <f t="shared" ca="1" si="122"/>
        <v>31.547657169655587</v>
      </c>
      <c r="K347" s="1018">
        <f t="shared" ca="1" si="122"/>
        <v>36.688023391401977</v>
      </c>
      <c r="L347" s="1018">
        <f t="shared" ca="1" si="122"/>
        <v>46.325868764099553</v>
      </c>
      <c r="M347" s="1018">
        <f t="shared" ca="1" si="122"/>
        <v>75.657006584472185</v>
      </c>
      <c r="N347" s="737"/>
    </row>
    <row r="348" spans="2:14" ht="13" outlineLevel="1" x14ac:dyDescent="0.3">
      <c r="C348" s="353"/>
      <c r="D348" s="130"/>
      <c r="E348" s="130"/>
      <c r="F348" s="130"/>
      <c r="G348" s="502"/>
      <c r="H348" s="502"/>
      <c r="I348" s="502"/>
      <c r="J348" s="502"/>
      <c r="K348" s="502"/>
      <c r="L348" s="502"/>
      <c r="M348" s="502"/>
      <c r="N348" s="737"/>
    </row>
    <row r="349" spans="2:14" ht="14" outlineLevel="1" x14ac:dyDescent="0.3">
      <c r="B349" s="665" t="s">
        <v>1290</v>
      </c>
      <c r="C349" s="353"/>
      <c r="D349" s="130"/>
      <c r="E349" s="130"/>
      <c r="F349" s="130"/>
      <c r="G349" s="502"/>
      <c r="H349" s="502"/>
      <c r="I349" s="502"/>
      <c r="J349" s="502"/>
      <c r="K349" s="502"/>
      <c r="L349" s="502"/>
      <c r="M349" s="502"/>
      <c r="N349" s="737"/>
    </row>
    <row r="350" spans="2:14" ht="13" outlineLevel="1" x14ac:dyDescent="0.3">
      <c r="C350" s="353" t="s">
        <v>1571</v>
      </c>
      <c r="D350" s="130"/>
      <c r="E350" s="130"/>
      <c r="F350" s="130"/>
      <c r="G350" s="1018">
        <f ca="1">'Manufacturing Costs'!G260*'Cost Input'!$F$91*G$179/Dashboard!D$105*(1-Lists!$C$154)*(1-Lists!$D$154)</f>
        <v>65.357917451397242</v>
      </c>
      <c r="H350" s="1018">
        <f ca="1">'Manufacturing Costs'!H260*'Cost Input'!$F$91*H$179/Dashboard!E$105*(1-Lists!$C$154)*(1-Lists!$D$154)</f>
        <v>65.357917451397242</v>
      </c>
      <c r="I350" s="1018">
        <f ca="1">'Manufacturing Costs'!I260*'Cost Input'!$F$91*I$179/Dashboard!F$105*(1-Lists!$C$154)*(1-Lists!$D$154)</f>
        <v>65.283851008330515</v>
      </c>
      <c r="J350" s="1018">
        <f ca="1">'Manufacturing Costs'!J260*'Cost Input'!$F$91*J$179/Dashboard!G$105*(1-Lists!$C$154)*(1-Lists!$D$154)</f>
        <v>65.19270718653452</v>
      </c>
      <c r="K350" s="1018">
        <f ca="1">'Manufacturing Costs'!K260*'Cost Input'!$F$91*K$179/Dashboard!H$105*(1-Lists!$C$154)*(1-Lists!$D$154)</f>
        <v>65.087381564330926</v>
      </c>
      <c r="L350" s="1018">
        <f ca="1">'Manufacturing Costs'!L260*'Cost Input'!$F$91*L$179/Dashboard!I$105*(1-Lists!$C$154)*(1-Lists!$D$154)</f>
        <v>64.961261556970925</v>
      </c>
      <c r="M350" s="1018">
        <f ca="1">'Manufacturing Costs'!M260*'Cost Input'!$F$91*M$179/Dashboard!J$105*(1-Lists!$C$154)*(1-Lists!$D$154)</f>
        <v>64.794927875899489</v>
      </c>
      <c r="N350" s="737"/>
    </row>
    <row r="351" spans="2:14" ht="13" outlineLevel="1" x14ac:dyDescent="0.3">
      <c r="C351" s="353" t="s">
        <v>1572</v>
      </c>
      <c r="D351" s="130"/>
      <c r="E351" s="130"/>
      <c r="F351" s="130"/>
      <c r="G351" s="1018">
        <f ca="1">'Manufacturing Costs'!G261*1000000*G$180/Dashboard!D$105*(1-Lists!$C$154)*(1-Lists!$D$154)</f>
        <v>86.300448365607323</v>
      </c>
      <c r="H351" s="1018">
        <f ca="1">'Manufacturing Costs'!H261*1000000*H$180/Dashboard!E$105*(1-Lists!$C$154)*(1-Lists!$D$154)</f>
        <v>86.300448365607323</v>
      </c>
      <c r="I351" s="1018">
        <f ca="1">'Manufacturing Costs'!I261*1000000*I$180/Dashboard!F$105*(1-Lists!$C$154)*(1-Lists!$D$154)</f>
        <v>86.202648932963854</v>
      </c>
      <c r="J351" s="1018">
        <f ca="1">'Manufacturing Costs'!J261*1000000*J$180/Dashboard!G$105*(1-Lists!$C$154)*(1-Lists!$D$154)</f>
        <v>86.082300044971859</v>
      </c>
      <c r="K351" s="1018">
        <f ca="1">'Manufacturing Costs'!K261*1000000*K$180/Dashboard!H$105*(1-Lists!$C$154)*(1-Lists!$D$154)</f>
        <v>85.943225105392926</v>
      </c>
      <c r="L351" s="1018">
        <f ca="1">'Manufacturing Costs'!L261*1000000*L$180/Dashboard!I$105*(1-Lists!$C$154)*(1-Lists!$D$154)</f>
        <v>85.776692669729954</v>
      </c>
      <c r="M351" s="1018">
        <f ca="1">'Manufacturing Costs'!M261*1000000*M$180/Dashboard!J$105*(1-Lists!$C$154)*(1-Lists!$D$154)</f>
        <v>85.557060958461875</v>
      </c>
      <c r="N351" s="737"/>
    </row>
    <row r="352" spans="2:14" ht="13" outlineLevel="1" x14ac:dyDescent="0.3">
      <c r="C352" s="353" t="s">
        <v>1573</v>
      </c>
      <c r="D352" s="130"/>
      <c r="E352" s="130"/>
      <c r="F352" s="130"/>
      <c r="G352" s="1018">
        <f ca="1">'Manufacturing Costs'!G262*'Cost Input'!$F$83*G$181/Dashboard!D$105*(1-Lists!$C$154)*(1-Lists!$D$154)</f>
        <v>0</v>
      </c>
      <c r="H352" s="1018">
        <f ca="1">'Manufacturing Costs'!H262*'Cost Input'!$F$83*H$181/Dashboard!E$105*(1-Lists!$C$154)*(1-Lists!$D$154)</f>
        <v>0</v>
      </c>
      <c r="I352" s="1018">
        <f ca="1">'Manufacturing Costs'!I262*'Cost Input'!$F$83*I$181/Dashboard!F$105*(1-Lists!$C$154)*(1-Lists!$D$154)</f>
        <v>0</v>
      </c>
      <c r="J352" s="1018">
        <f ca="1">'Manufacturing Costs'!J262*'Cost Input'!$F$83*J$181/Dashboard!G$105*(1-Lists!$C$154)*(1-Lists!$D$154)</f>
        <v>0</v>
      </c>
      <c r="K352" s="1018">
        <f ca="1">'Manufacturing Costs'!K262*'Cost Input'!$F$83*K$181/Dashboard!H$105*(1-Lists!$C$154)*(1-Lists!$D$154)</f>
        <v>0</v>
      </c>
      <c r="L352" s="1018">
        <f ca="1">'Manufacturing Costs'!L262*'Cost Input'!$F$83*L$181/Dashboard!I$105*(1-Lists!$C$154)*(1-Lists!$D$154)</f>
        <v>0</v>
      </c>
      <c r="M352" s="1018">
        <f ca="1">'Manufacturing Costs'!M262*'Cost Input'!$F$83*M$181/Dashboard!J$105*(1-Lists!$C$154)*(1-Lists!$D$154)</f>
        <v>0</v>
      </c>
      <c r="N352" s="737"/>
    </row>
    <row r="353" spans="2:14" ht="13" outlineLevel="1" x14ac:dyDescent="0.3">
      <c r="C353" s="353" t="s">
        <v>1574</v>
      </c>
      <c r="D353" s="130"/>
      <c r="E353" s="130"/>
      <c r="F353" s="130"/>
      <c r="G353" s="1018">
        <f ca="1">SUM(G350:G352)</f>
        <v>151.65836581700455</v>
      </c>
      <c r="H353" s="1018">
        <f t="shared" ref="H353:M353" ca="1" si="123">SUM(H350:H352)</f>
        <v>151.65836581700455</v>
      </c>
      <c r="I353" s="1018">
        <f t="shared" ca="1" si="123"/>
        <v>151.48649994129437</v>
      </c>
      <c r="J353" s="1018">
        <f t="shared" ca="1" si="123"/>
        <v>151.27500723150638</v>
      </c>
      <c r="K353" s="1018">
        <f t="shared" ca="1" si="123"/>
        <v>151.03060666972385</v>
      </c>
      <c r="L353" s="1018">
        <f t="shared" ca="1" si="123"/>
        <v>150.73795422670088</v>
      </c>
      <c r="M353" s="1018">
        <f t="shared" ca="1" si="123"/>
        <v>150.35198883436135</v>
      </c>
      <c r="N353" s="737"/>
    </row>
    <row r="354" spans="2:14" ht="13" outlineLevel="1" x14ac:dyDescent="0.3">
      <c r="C354" s="353"/>
      <c r="D354" s="130"/>
      <c r="E354" s="130"/>
      <c r="F354" s="130"/>
      <c r="G354" s="502"/>
      <c r="H354" s="502"/>
      <c r="I354" s="502"/>
      <c r="J354" s="502"/>
      <c r="K354" s="502"/>
      <c r="L354" s="502"/>
      <c r="M354" s="502"/>
      <c r="N354" s="737"/>
    </row>
    <row r="355" spans="2:14" ht="14" outlineLevel="1" x14ac:dyDescent="0.3">
      <c r="B355" s="665" t="s">
        <v>1293</v>
      </c>
      <c r="C355" s="353"/>
      <c r="D355" s="130"/>
      <c r="E355" s="130"/>
      <c r="F355" s="130"/>
      <c r="G355" s="502"/>
      <c r="H355" s="502"/>
      <c r="I355" s="502"/>
      <c r="J355" s="502"/>
      <c r="K355" s="502"/>
      <c r="L355" s="502"/>
      <c r="M355" s="502"/>
      <c r="N355" s="737"/>
    </row>
    <row r="356" spans="2:14" ht="13" outlineLevel="1" x14ac:dyDescent="0.3">
      <c r="C356" s="353" t="s">
        <v>1571</v>
      </c>
      <c r="D356" s="130"/>
      <c r="E356" s="130"/>
      <c r="F356" s="130"/>
      <c r="G356" s="1018">
        <f>'Manufacturing Costs'!G266*'Cost Input'!$F$91*G$179/Dashboard!D$105*(1-Lists!$C$154)*(1-Lists!$D$154)</f>
        <v>17.695730174383495</v>
      </c>
      <c r="H356" s="1018">
        <f>'Manufacturing Costs'!H266*'Cost Input'!$F$91*H$179/Dashboard!E$105*(1-Lists!$C$154)*(1-Lists!$D$154)</f>
        <v>17.695730174383495</v>
      </c>
      <c r="I356" s="1018">
        <f>'Manufacturing Costs'!I266*'Cost Input'!$F$91*I$179/Dashboard!F$105*(1-Lists!$C$154)*(1-Lists!$D$154)</f>
        <v>17.695730174383495</v>
      </c>
      <c r="J356" s="1018">
        <f>'Manufacturing Costs'!J266*'Cost Input'!$F$91*J$179/Dashboard!G$105*(1-Lists!$C$154)*(1-Lists!$D$154)</f>
        <v>17.695730174383495</v>
      </c>
      <c r="K356" s="1018">
        <f>'Manufacturing Costs'!K266*'Cost Input'!$F$91*K$179/Dashboard!H$105*(1-Lists!$C$154)*(1-Lists!$D$154)</f>
        <v>17.695730174383495</v>
      </c>
      <c r="L356" s="1018">
        <f>'Manufacturing Costs'!L266*'Cost Input'!$F$91*L$179/Dashboard!I$105*(1-Lists!$C$154)*(1-Lists!$D$154)</f>
        <v>17.695730174383495</v>
      </c>
      <c r="M356" s="1018">
        <f>'Manufacturing Costs'!M266*'Cost Input'!$F$91*M$179/Dashboard!J$105*(1-Lists!$C$154)*(1-Lists!$D$154)</f>
        <v>17.695730174383495</v>
      </c>
      <c r="N356" s="737"/>
    </row>
    <row r="357" spans="2:14" ht="13" outlineLevel="1" x14ac:dyDescent="0.3">
      <c r="C357" s="353" t="s">
        <v>1572</v>
      </c>
      <c r="D357" s="130"/>
      <c r="E357" s="130"/>
      <c r="F357" s="130"/>
      <c r="G357" s="1018">
        <f>'Manufacturing Costs'!G267*1000000*G$180/Dashboard!D$105*(1-Lists!$C$154)*(1-Lists!$D$154)</f>
        <v>96.212711160297232</v>
      </c>
      <c r="H357" s="1018">
        <f>'Manufacturing Costs'!H267*1000000*H$180/Dashboard!E$105*(1-Lists!$C$154)*(1-Lists!$D$154)</f>
        <v>96.212711160297232</v>
      </c>
      <c r="I357" s="1018">
        <f>'Manufacturing Costs'!I267*1000000*I$180/Dashboard!F$105*(1-Lists!$C$154)*(1-Lists!$D$154)</f>
        <v>96.212711160297232</v>
      </c>
      <c r="J357" s="1018">
        <f>'Manufacturing Costs'!J267*1000000*J$180/Dashboard!G$105*(1-Lists!$C$154)*(1-Lists!$D$154)</f>
        <v>96.212711160297232</v>
      </c>
      <c r="K357" s="1018">
        <f>'Manufacturing Costs'!K267*1000000*K$180/Dashboard!H$105*(1-Lists!$C$154)*(1-Lists!$D$154)</f>
        <v>96.212711160297232</v>
      </c>
      <c r="L357" s="1018">
        <f>'Manufacturing Costs'!L267*1000000*L$180/Dashboard!I$105*(1-Lists!$C$154)*(1-Lists!$D$154)</f>
        <v>96.212711160297232</v>
      </c>
      <c r="M357" s="1018">
        <f>'Manufacturing Costs'!M267*1000000*M$180/Dashboard!J$105*(1-Lists!$C$154)*(1-Lists!$D$154)</f>
        <v>96.212711160297232</v>
      </c>
      <c r="N357" s="737"/>
    </row>
    <row r="358" spans="2:14" ht="13" outlineLevel="1" x14ac:dyDescent="0.3">
      <c r="C358" s="353" t="s">
        <v>1573</v>
      </c>
      <c r="D358" s="130"/>
      <c r="E358" s="130"/>
      <c r="F358" s="130"/>
      <c r="G358" s="1018">
        <f>'Manufacturing Costs'!G268*'Cost Input'!$F$83*G$181/Dashboard!D$105*(1-Lists!$C$154)*(1-Lists!$D$154)</f>
        <v>0</v>
      </c>
      <c r="H358" s="1018">
        <f>'Manufacturing Costs'!H268*'Cost Input'!$F$83*H$181/Dashboard!E$105*(1-Lists!$C$154)*(1-Lists!$D$154)</f>
        <v>0</v>
      </c>
      <c r="I358" s="1018">
        <f>'Manufacturing Costs'!I268*'Cost Input'!$F$83*I$181/Dashboard!F$105*(1-Lists!$C$154)*(1-Lists!$D$154)</f>
        <v>0</v>
      </c>
      <c r="J358" s="1018">
        <f>'Manufacturing Costs'!J268*'Cost Input'!$F$83*J$181/Dashboard!G$105*(1-Lists!$C$154)*(1-Lists!$D$154)</f>
        <v>0</v>
      </c>
      <c r="K358" s="1018">
        <f>'Manufacturing Costs'!K268*'Cost Input'!$F$83*K$181/Dashboard!H$105*(1-Lists!$C$154)*(1-Lists!$D$154)</f>
        <v>0</v>
      </c>
      <c r="L358" s="1018">
        <f>'Manufacturing Costs'!L268*'Cost Input'!$F$83*L$181/Dashboard!I$105*(1-Lists!$C$154)*(1-Lists!$D$154)</f>
        <v>0</v>
      </c>
      <c r="M358" s="1018">
        <f>'Manufacturing Costs'!M268*'Cost Input'!$F$83*M$181/Dashboard!J$105*(1-Lists!$C$154)*(1-Lists!$D$154)</f>
        <v>0</v>
      </c>
      <c r="N358" s="737"/>
    </row>
    <row r="359" spans="2:14" ht="13" outlineLevel="1" x14ac:dyDescent="0.3">
      <c r="C359" s="353" t="s">
        <v>1574</v>
      </c>
      <c r="D359" s="130"/>
      <c r="E359" s="130"/>
      <c r="F359" s="130"/>
      <c r="G359" s="1018">
        <f>SUM(G356:G358)</f>
        <v>113.90844133468073</v>
      </c>
      <c r="H359" s="1018">
        <f t="shared" ref="H359:M359" si="124">SUM(H356:H358)</f>
        <v>113.90844133468073</v>
      </c>
      <c r="I359" s="1018">
        <f t="shared" si="124"/>
        <v>113.90844133468073</v>
      </c>
      <c r="J359" s="1018">
        <f t="shared" si="124"/>
        <v>113.90844133468073</v>
      </c>
      <c r="K359" s="1018">
        <f t="shared" si="124"/>
        <v>113.90844133468073</v>
      </c>
      <c r="L359" s="1018">
        <f t="shared" si="124"/>
        <v>113.90844133468073</v>
      </c>
      <c r="M359" s="1018">
        <f t="shared" si="124"/>
        <v>113.90844133468073</v>
      </c>
      <c r="N359" s="737"/>
    </row>
    <row r="360" spans="2:14" ht="13" outlineLevel="1" x14ac:dyDescent="0.3">
      <c r="C360" s="353"/>
      <c r="D360" s="130"/>
      <c r="E360" s="130"/>
      <c r="F360" s="130"/>
      <c r="G360" s="502"/>
      <c r="H360" s="502"/>
      <c r="I360" s="502"/>
      <c r="J360" s="502"/>
      <c r="K360" s="502"/>
      <c r="L360" s="502"/>
      <c r="M360" s="502"/>
      <c r="N360" s="737"/>
    </row>
    <row r="361" spans="2:14" ht="14" outlineLevel="1" x14ac:dyDescent="0.3">
      <c r="B361" s="665" t="s">
        <v>1295</v>
      </c>
      <c r="D361" s="130"/>
      <c r="E361" s="130"/>
      <c r="F361" s="130"/>
      <c r="G361" s="502"/>
      <c r="H361" s="502"/>
      <c r="I361" s="502"/>
      <c r="J361" s="502"/>
      <c r="K361" s="502"/>
      <c r="L361" s="502"/>
      <c r="M361" s="502"/>
      <c r="N361" s="737"/>
    </row>
    <row r="362" spans="2:14" ht="13" outlineLevel="1" x14ac:dyDescent="0.3">
      <c r="C362" s="353" t="s">
        <v>1571</v>
      </c>
      <c r="D362" s="130"/>
      <c r="E362" s="130"/>
      <c r="F362" s="130"/>
      <c r="G362" s="1018">
        <f>'Manufacturing Costs'!G272*'Cost Input'!$F$91*G$179/Dashboard!D$105*(1-Lists!$C$154)*(1-Lists!$D$154)</f>
        <v>17.695730174383495</v>
      </c>
      <c r="H362" s="1018">
        <f>'Manufacturing Costs'!H272*'Cost Input'!$F$91*H$179/Dashboard!E$105*(1-Lists!$C$154)*(1-Lists!$D$154)</f>
        <v>17.695730174383495</v>
      </c>
      <c r="I362" s="1018">
        <f>'Manufacturing Costs'!I272*'Cost Input'!$F$91*I$179/Dashboard!F$105*(1-Lists!$C$154)*(1-Lists!$D$154)</f>
        <v>17.695730174383495</v>
      </c>
      <c r="J362" s="1018">
        <f>'Manufacturing Costs'!J272*'Cost Input'!$F$91*J$179/Dashboard!G$105*(1-Lists!$C$154)*(1-Lists!$D$154)</f>
        <v>17.695730174383495</v>
      </c>
      <c r="K362" s="1018">
        <f>'Manufacturing Costs'!K272*'Cost Input'!$F$91*K$179/Dashboard!H$105*(1-Lists!$C$154)*(1-Lists!$D$154)</f>
        <v>17.695730174383495</v>
      </c>
      <c r="L362" s="1018">
        <f>'Manufacturing Costs'!L272*'Cost Input'!$F$91*L$179/Dashboard!I$105*(1-Lists!$C$154)*(1-Lists!$D$154)</f>
        <v>17.695730174383495</v>
      </c>
      <c r="M362" s="1018">
        <f>'Manufacturing Costs'!M272*'Cost Input'!$F$91*M$179/Dashboard!J$105*(1-Lists!$C$154)*(1-Lists!$D$154)</f>
        <v>17.695730174383495</v>
      </c>
      <c r="N362" s="737"/>
    </row>
    <row r="363" spans="2:14" ht="13" outlineLevel="1" x14ac:dyDescent="0.3">
      <c r="C363" s="353" t="s">
        <v>1572</v>
      </c>
      <c r="D363" s="130"/>
      <c r="E363" s="130"/>
      <c r="F363" s="130"/>
      <c r="G363" s="1018">
        <f>'Manufacturing Costs'!G273*1000000*G$180/Dashboard!D$105*(1-Lists!$C$154)*(1-Lists!$D$154)</f>
        <v>7.0893576644429546</v>
      </c>
      <c r="H363" s="1018">
        <f>'Manufacturing Costs'!H273*1000000*H$180/Dashboard!E$105*(1-Lists!$C$154)*(1-Lists!$D$154)</f>
        <v>7.0893576644429546</v>
      </c>
      <c r="I363" s="1018">
        <f>'Manufacturing Costs'!I273*1000000*I$180/Dashboard!F$105*(1-Lists!$C$154)*(1-Lists!$D$154)</f>
        <v>7.0893576644429546</v>
      </c>
      <c r="J363" s="1018">
        <f>'Manufacturing Costs'!J273*1000000*J$180/Dashboard!G$105*(1-Lists!$C$154)*(1-Lists!$D$154)</f>
        <v>7.0893576644429546</v>
      </c>
      <c r="K363" s="1018">
        <f>'Manufacturing Costs'!K273*1000000*K$180/Dashboard!H$105*(1-Lists!$C$154)*(1-Lists!$D$154)</f>
        <v>7.0893576644429546</v>
      </c>
      <c r="L363" s="1018">
        <f>'Manufacturing Costs'!L273*1000000*L$180/Dashboard!I$105*(1-Lists!$C$154)*(1-Lists!$D$154)</f>
        <v>7.0893576644429546</v>
      </c>
      <c r="M363" s="1018">
        <f>'Manufacturing Costs'!M273*1000000*M$180/Dashboard!J$105*(1-Lists!$C$154)*(1-Lists!$D$154)</f>
        <v>7.0893576644429546</v>
      </c>
      <c r="N363" s="737"/>
    </row>
    <row r="364" spans="2:14" ht="13" outlineLevel="1" x14ac:dyDescent="0.3">
      <c r="C364" s="353" t="s">
        <v>1573</v>
      </c>
      <c r="D364" s="130"/>
      <c r="E364" s="130"/>
      <c r="F364" s="130"/>
      <c r="G364" s="1018">
        <f>'Manufacturing Costs'!G274*'Cost Input'!$F$83*G$181/Dashboard!D$105*(1-Lists!$C$154)*(1-Lists!$D$154)</f>
        <v>0</v>
      </c>
      <c r="H364" s="1018">
        <f>'Manufacturing Costs'!H274*'Cost Input'!$F$83*H$181/Dashboard!E$105*(1-Lists!$C$154)*(1-Lists!$D$154)</f>
        <v>0</v>
      </c>
      <c r="I364" s="1018">
        <f>'Manufacturing Costs'!I274*'Cost Input'!$F$83*I$181/Dashboard!F$105*(1-Lists!$C$154)*(1-Lists!$D$154)</f>
        <v>0</v>
      </c>
      <c r="J364" s="1018">
        <f>'Manufacturing Costs'!J274*'Cost Input'!$F$83*J$181/Dashboard!G$105*(1-Lists!$C$154)*(1-Lists!$D$154)</f>
        <v>0</v>
      </c>
      <c r="K364" s="1018">
        <f>'Manufacturing Costs'!K274*'Cost Input'!$F$83*K$181/Dashboard!H$105*(1-Lists!$C$154)*(1-Lists!$D$154)</f>
        <v>0</v>
      </c>
      <c r="L364" s="1018">
        <f>'Manufacturing Costs'!L274*'Cost Input'!$F$83*L$181/Dashboard!I$105*(1-Lists!$C$154)*(1-Lists!$D$154)</f>
        <v>0</v>
      </c>
      <c r="M364" s="1018">
        <f>'Manufacturing Costs'!M274*'Cost Input'!$F$83*M$181/Dashboard!J$105*(1-Lists!$C$154)*(1-Lists!$D$154)</f>
        <v>0</v>
      </c>
      <c r="N364" s="737"/>
    </row>
    <row r="365" spans="2:14" ht="13" outlineLevel="1" x14ac:dyDescent="0.3">
      <c r="C365" s="353" t="s">
        <v>1574</v>
      </c>
      <c r="D365" s="130"/>
      <c r="E365" s="130"/>
      <c r="F365" s="130"/>
      <c r="G365" s="1018">
        <f>SUM(G362:G364)</f>
        <v>24.785087838826449</v>
      </c>
      <c r="H365" s="1018">
        <f t="shared" ref="H365:M365" si="125">SUM(H362:H364)</f>
        <v>24.785087838826449</v>
      </c>
      <c r="I365" s="1018">
        <f t="shared" si="125"/>
        <v>24.785087838826449</v>
      </c>
      <c r="J365" s="1018">
        <f t="shared" si="125"/>
        <v>24.785087838826449</v>
      </c>
      <c r="K365" s="1018">
        <f t="shared" si="125"/>
        <v>24.785087838826449</v>
      </c>
      <c r="L365" s="1018">
        <f t="shared" si="125"/>
        <v>24.785087838826449</v>
      </c>
      <c r="M365" s="1018">
        <f t="shared" si="125"/>
        <v>24.785087838826449</v>
      </c>
      <c r="N365" s="737"/>
    </row>
    <row r="366" spans="2:14" ht="13" outlineLevel="1" x14ac:dyDescent="0.3">
      <c r="C366" s="353"/>
      <c r="D366" s="130"/>
      <c r="E366" s="130"/>
      <c r="F366" s="130"/>
      <c r="G366" s="502"/>
      <c r="H366" s="502"/>
      <c r="I366" s="502"/>
      <c r="J366" s="502"/>
      <c r="K366" s="502"/>
      <c r="L366" s="502"/>
      <c r="M366" s="502"/>
      <c r="N366" s="737"/>
    </row>
    <row r="367" spans="2:14" ht="14" outlineLevel="1" x14ac:dyDescent="0.3">
      <c r="B367" s="665" t="s">
        <v>1296</v>
      </c>
      <c r="C367" s="353"/>
      <c r="D367" s="130"/>
      <c r="E367" s="130"/>
      <c r="F367" s="130"/>
      <c r="G367" s="502"/>
      <c r="H367" s="502"/>
      <c r="I367" s="502"/>
      <c r="J367" s="502"/>
      <c r="K367" s="502"/>
      <c r="L367" s="502"/>
      <c r="M367" s="502"/>
      <c r="N367" s="737"/>
    </row>
    <row r="368" spans="2:14" ht="13" outlineLevel="1" x14ac:dyDescent="0.3">
      <c r="C368" s="353" t="s">
        <v>1571</v>
      </c>
      <c r="D368" s="130"/>
      <c r="E368" s="130"/>
      <c r="F368" s="130"/>
      <c r="G368" s="1018">
        <f>'Manufacturing Costs'!G278*'Cost Input'!$F$91*G$179/Dashboard!D$105*(1-Lists!$C$154)*(1-Lists!$D$154)</f>
        <v>4.5636356765515327</v>
      </c>
      <c r="H368" s="1018">
        <f>'Manufacturing Costs'!H278*'Cost Input'!$F$91*H$179/Dashboard!E$105*(1-Lists!$C$154)*(1-Lists!$D$154)</f>
        <v>4.5636356765515327</v>
      </c>
      <c r="I368" s="1018">
        <f>'Manufacturing Costs'!I278*'Cost Input'!$F$91*I$179/Dashboard!F$105*(1-Lists!$C$154)*(1-Lists!$D$154)</f>
        <v>4.5636356765515327</v>
      </c>
      <c r="J368" s="1018">
        <f>'Manufacturing Costs'!J278*'Cost Input'!$F$91*J$179/Dashboard!G$105*(1-Lists!$C$154)*(1-Lists!$D$154)</f>
        <v>4.5636356765515327</v>
      </c>
      <c r="K368" s="1018">
        <f>'Manufacturing Costs'!K278*'Cost Input'!$F$91*K$179/Dashboard!H$105*(1-Lists!$C$154)*(1-Lists!$D$154)</f>
        <v>4.5636356765515327</v>
      </c>
      <c r="L368" s="1018">
        <f>'Manufacturing Costs'!L278*'Cost Input'!$F$91*L$179/Dashboard!I$105*(1-Lists!$C$154)*(1-Lists!$D$154)</f>
        <v>4.5636356765515327</v>
      </c>
      <c r="M368" s="1018">
        <f>'Manufacturing Costs'!M278*'Cost Input'!$F$91*M$179/Dashboard!J$105*(1-Lists!$C$154)*(1-Lists!$D$154)</f>
        <v>4.5636356765515327</v>
      </c>
      <c r="N368" s="737"/>
    </row>
    <row r="369" spans="2:14" ht="13" outlineLevel="1" x14ac:dyDescent="0.3">
      <c r="C369" s="353" t="s">
        <v>1572</v>
      </c>
      <c r="D369" s="130"/>
      <c r="E369" s="130"/>
      <c r="F369" s="130"/>
      <c r="G369" s="1018">
        <f>'Manufacturing Costs'!G279*1000000*G$180/Dashboard!D$105*(1-Lists!$C$154)*(1-Lists!$D$154)</f>
        <v>5.570209593490894</v>
      </c>
      <c r="H369" s="1018">
        <f>'Manufacturing Costs'!H279*1000000*H$180/Dashboard!E$105*(1-Lists!$C$154)*(1-Lists!$D$154)</f>
        <v>5.570209593490894</v>
      </c>
      <c r="I369" s="1018">
        <f>'Manufacturing Costs'!I279*1000000*I$180/Dashboard!F$105*(1-Lists!$C$154)*(1-Lists!$D$154)</f>
        <v>5.570209593490894</v>
      </c>
      <c r="J369" s="1018">
        <f>'Manufacturing Costs'!J279*1000000*J$180/Dashboard!G$105*(1-Lists!$C$154)*(1-Lists!$D$154)</f>
        <v>5.570209593490894</v>
      </c>
      <c r="K369" s="1018">
        <f>'Manufacturing Costs'!K279*1000000*K$180/Dashboard!H$105*(1-Lists!$C$154)*(1-Lists!$D$154)</f>
        <v>5.570209593490894</v>
      </c>
      <c r="L369" s="1018">
        <f>'Manufacturing Costs'!L279*1000000*L$180/Dashboard!I$105*(1-Lists!$C$154)*(1-Lists!$D$154)</f>
        <v>5.570209593490894</v>
      </c>
      <c r="M369" s="1018">
        <f>'Manufacturing Costs'!M279*1000000*M$180/Dashboard!J$105*(1-Lists!$C$154)*(1-Lists!$D$154)</f>
        <v>5.570209593490894</v>
      </c>
      <c r="N369" s="737"/>
    </row>
    <row r="370" spans="2:14" ht="13" outlineLevel="1" x14ac:dyDescent="0.3">
      <c r="C370" s="353" t="s">
        <v>1573</v>
      </c>
      <c r="D370" s="130"/>
      <c r="E370" s="130"/>
      <c r="F370" s="130"/>
      <c r="G370" s="1018">
        <f>'Manufacturing Costs'!G280*'Cost Input'!$F$83*G$181/Dashboard!D$105*(1-Lists!$C$154)*(1-Lists!$D$154)</f>
        <v>0</v>
      </c>
      <c r="H370" s="1018">
        <f>'Manufacturing Costs'!H280*'Cost Input'!$F$83*H$181/Dashboard!E$105*(1-Lists!$C$154)*(1-Lists!$D$154)</f>
        <v>0</v>
      </c>
      <c r="I370" s="1018">
        <f>'Manufacturing Costs'!I280*'Cost Input'!$F$83*I$181/Dashboard!F$105*(1-Lists!$C$154)*(1-Lists!$D$154)</f>
        <v>0</v>
      </c>
      <c r="J370" s="1018">
        <f>'Manufacturing Costs'!J280*'Cost Input'!$F$83*J$181/Dashboard!G$105*(1-Lists!$C$154)*(1-Lists!$D$154)</f>
        <v>0</v>
      </c>
      <c r="K370" s="1018">
        <f>'Manufacturing Costs'!K280*'Cost Input'!$F$83*K$181/Dashboard!H$105*(1-Lists!$C$154)*(1-Lists!$D$154)</f>
        <v>0</v>
      </c>
      <c r="L370" s="1018">
        <f>'Manufacturing Costs'!L280*'Cost Input'!$F$83*L$181/Dashboard!I$105*(1-Lists!$C$154)*(1-Lists!$D$154)</f>
        <v>0</v>
      </c>
      <c r="M370" s="1018">
        <f>'Manufacturing Costs'!M280*'Cost Input'!$F$83*M$181/Dashboard!J$105*(1-Lists!$C$154)*(1-Lists!$D$154)</f>
        <v>0</v>
      </c>
      <c r="N370" s="737"/>
    </row>
    <row r="371" spans="2:14" ht="13" outlineLevel="1" x14ac:dyDescent="0.3">
      <c r="C371" s="353" t="s">
        <v>1574</v>
      </c>
      <c r="D371" s="130"/>
      <c r="E371" s="130"/>
      <c r="F371" s="130"/>
      <c r="G371" s="1018">
        <f>SUM(G368:G370)</f>
        <v>10.133845270042427</v>
      </c>
      <c r="H371" s="1018">
        <f t="shared" ref="H371:M371" si="126">SUM(H368:H370)</f>
        <v>10.133845270042427</v>
      </c>
      <c r="I371" s="1018">
        <f t="shared" si="126"/>
        <v>10.133845270042427</v>
      </c>
      <c r="J371" s="1018">
        <f t="shared" si="126"/>
        <v>10.133845270042427</v>
      </c>
      <c r="K371" s="1018">
        <f t="shared" si="126"/>
        <v>10.133845270042427</v>
      </c>
      <c r="L371" s="1018">
        <f t="shared" si="126"/>
        <v>10.133845270042427</v>
      </c>
      <c r="M371" s="1018">
        <f t="shared" si="126"/>
        <v>10.133845270042427</v>
      </c>
      <c r="N371" s="737"/>
    </row>
    <row r="372" spans="2:14" ht="13" outlineLevel="1" x14ac:dyDescent="0.3">
      <c r="C372" s="353"/>
      <c r="D372" s="130"/>
      <c r="E372" s="130"/>
      <c r="F372" s="130"/>
      <c r="G372" s="502"/>
      <c r="H372" s="502"/>
      <c r="I372" s="502"/>
      <c r="J372" s="502"/>
      <c r="K372" s="502"/>
      <c r="L372" s="502"/>
      <c r="M372" s="502"/>
      <c r="N372" s="737"/>
    </row>
    <row r="373" spans="2:14" ht="14" outlineLevel="1" x14ac:dyDescent="0.3">
      <c r="B373" s="665" t="s">
        <v>1297</v>
      </c>
      <c r="C373" s="353"/>
      <c r="D373" s="130"/>
      <c r="E373" s="130"/>
      <c r="F373" s="130"/>
      <c r="G373" s="502"/>
      <c r="H373" s="502"/>
      <c r="I373" s="502"/>
      <c r="J373" s="502"/>
      <c r="K373" s="502"/>
      <c r="L373" s="502"/>
      <c r="M373" s="502"/>
      <c r="N373" s="737"/>
    </row>
    <row r="374" spans="2:14" ht="13" outlineLevel="1" x14ac:dyDescent="0.3">
      <c r="C374" s="353" t="s">
        <v>1571</v>
      </c>
      <c r="D374" s="130"/>
      <c r="E374" s="130"/>
      <c r="F374" s="130"/>
      <c r="G374" s="1018">
        <f>'Manufacturing Costs'!G284*'Cost Input'!$F$91*G$179/Dashboard!D$105*(1-Lists!$C$154)*(1-Lists!$D$154)</f>
        <v>12.293875700098008</v>
      </c>
      <c r="H374" s="1018">
        <f>'Manufacturing Costs'!H284*'Cost Input'!$F$91*H$179/Dashboard!E$105*(1-Lists!$C$154)*(1-Lists!$D$154)</f>
        <v>12.293875700098008</v>
      </c>
      <c r="I374" s="1018">
        <f>'Manufacturing Costs'!I284*'Cost Input'!$F$91*I$179/Dashboard!F$105*(1-Lists!$C$154)*(1-Lists!$D$154)</f>
        <v>12.293875700098008</v>
      </c>
      <c r="J374" s="1018">
        <f>'Manufacturing Costs'!J284*'Cost Input'!$F$91*J$179/Dashboard!G$105*(1-Lists!$C$154)*(1-Lists!$D$154)</f>
        <v>12.293875700098008</v>
      </c>
      <c r="K374" s="1018">
        <f>'Manufacturing Costs'!K284*'Cost Input'!$F$91*K$179/Dashboard!H$105*(1-Lists!$C$154)*(1-Lists!$D$154)</f>
        <v>12.293875700098008</v>
      </c>
      <c r="L374" s="1018">
        <f>'Manufacturing Costs'!L284*'Cost Input'!$F$91*L$179/Dashboard!I$105*(1-Lists!$C$154)*(1-Lists!$D$154)</f>
        <v>12.293875700098008</v>
      </c>
      <c r="M374" s="1018">
        <f>'Manufacturing Costs'!M284*'Cost Input'!$F$91*M$179/Dashboard!J$105*(1-Lists!$C$154)*(1-Lists!$D$154)</f>
        <v>12.293875700098008</v>
      </c>
      <c r="N374" s="737"/>
    </row>
    <row r="375" spans="2:14" ht="13" outlineLevel="1" x14ac:dyDescent="0.3">
      <c r="C375" s="353" t="s">
        <v>1572</v>
      </c>
      <c r="D375" s="130"/>
      <c r="E375" s="130"/>
      <c r="F375" s="130"/>
      <c r="G375" s="1018">
        <f>'Manufacturing Costs'!G285*1000000*G$180/Dashboard!D$105*(1-Lists!$C$154)*(1-Lists!$D$154)</f>
        <v>12.659567257933848</v>
      </c>
      <c r="H375" s="1018">
        <f>'Manufacturing Costs'!H285*1000000*H$180/Dashboard!E$105*(1-Lists!$C$154)*(1-Lists!$D$154)</f>
        <v>12.659567257933848</v>
      </c>
      <c r="I375" s="1018">
        <f>'Manufacturing Costs'!I285*1000000*I$180/Dashboard!F$105*(1-Lists!$C$154)*(1-Lists!$D$154)</f>
        <v>12.659567257933848</v>
      </c>
      <c r="J375" s="1018">
        <f>'Manufacturing Costs'!J285*1000000*J$180/Dashboard!G$105*(1-Lists!$C$154)*(1-Lists!$D$154)</f>
        <v>12.659567257933848</v>
      </c>
      <c r="K375" s="1018">
        <f>'Manufacturing Costs'!K285*1000000*K$180/Dashboard!H$105*(1-Lists!$C$154)*(1-Lists!$D$154)</f>
        <v>12.659567257933848</v>
      </c>
      <c r="L375" s="1018">
        <f>'Manufacturing Costs'!L285*1000000*L$180/Dashboard!I$105*(1-Lists!$C$154)*(1-Lists!$D$154)</f>
        <v>12.659567257933848</v>
      </c>
      <c r="M375" s="1018">
        <f>'Manufacturing Costs'!M285*1000000*M$180/Dashboard!J$105*(1-Lists!$C$154)*(1-Lists!$D$154)</f>
        <v>12.659567257933848</v>
      </c>
      <c r="N375" s="737"/>
    </row>
    <row r="376" spans="2:14" ht="13" outlineLevel="1" x14ac:dyDescent="0.3">
      <c r="C376" s="353" t="s">
        <v>1573</v>
      </c>
      <c r="D376" s="130"/>
      <c r="E376" s="130"/>
      <c r="F376" s="130"/>
      <c r="G376" s="1018">
        <f>'Manufacturing Costs'!G286*'Cost Input'!$F$83*G$181/Dashboard!D$105*(1-Lists!$C$154)*(1-Lists!$D$154)</f>
        <v>0</v>
      </c>
      <c r="H376" s="1018">
        <f>'Manufacturing Costs'!H286*'Cost Input'!$F$83*H$181/Dashboard!E$105*(1-Lists!$C$154)*(1-Lists!$D$154)</f>
        <v>0</v>
      </c>
      <c r="I376" s="1018">
        <f>'Manufacturing Costs'!I286*'Cost Input'!$F$83*I$181/Dashboard!F$105*(1-Lists!$C$154)*(1-Lists!$D$154)</f>
        <v>0</v>
      </c>
      <c r="J376" s="1018">
        <f>'Manufacturing Costs'!J286*'Cost Input'!$F$83*J$181/Dashboard!G$105*(1-Lists!$C$154)*(1-Lists!$D$154)</f>
        <v>0</v>
      </c>
      <c r="K376" s="1018">
        <f>'Manufacturing Costs'!K286*'Cost Input'!$F$83*K$181/Dashboard!H$105*(1-Lists!$C$154)*(1-Lists!$D$154)</f>
        <v>0</v>
      </c>
      <c r="L376" s="1018">
        <f>'Manufacturing Costs'!L286*'Cost Input'!$F$83*L$181/Dashboard!I$105*(1-Lists!$C$154)*(1-Lists!$D$154)</f>
        <v>0</v>
      </c>
      <c r="M376" s="1018">
        <f>'Manufacturing Costs'!M286*'Cost Input'!$F$83*M$181/Dashboard!J$105*(1-Lists!$C$154)*(1-Lists!$D$154)</f>
        <v>0</v>
      </c>
      <c r="N376" s="737"/>
    </row>
    <row r="377" spans="2:14" ht="13" outlineLevel="1" x14ac:dyDescent="0.3">
      <c r="C377" s="353" t="s">
        <v>1574</v>
      </c>
      <c r="D377" s="130"/>
      <c r="E377" s="130"/>
      <c r="F377" s="130"/>
      <c r="G377" s="1018">
        <f>SUM(G374:G376)</f>
        <v>24.953442958031857</v>
      </c>
      <c r="H377" s="1018">
        <f t="shared" ref="H377:M377" si="127">SUM(H374:H376)</f>
        <v>24.953442958031857</v>
      </c>
      <c r="I377" s="1018">
        <f t="shared" si="127"/>
        <v>24.953442958031857</v>
      </c>
      <c r="J377" s="1018">
        <f t="shared" si="127"/>
        <v>24.953442958031857</v>
      </c>
      <c r="K377" s="1018">
        <f t="shared" si="127"/>
        <v>24.953442958031857</v>
      </c>
      <c r="L377" s="1018">
        <f t="shared" si="127"/>
        <v>24.953442958031857</v>
      </c>
      <c r="M377" s="1018">
        <f t="shared" si="127"/>
        <v>24.953442958031857</v>
      </c>
      <c r="N377" s="737"/>
    </row>
    <row r="378" spans="2:14" ht="13" outlineLevel="1" x14ac:dyDescent="0.3">
      <c r="C378" s="353"/>
      <c r="D378" s="130"/>
      <c r="E378" s="130"/>
      <c r="F378" s="130"/>
      <c r="G378" s="502"/>
      <c r="H378" s="502"/>
      <c r="I378" s="502"/>
      <c r="J378" s="502"/>
      <c r="K378" s="502"/>
      <c r="L378" s="502"/>
      <c r="M378" s="502"/>
      <c r="N378" s="737"/>
    </row>
    <row r="379" spans="2:14" ht="14" outlineLevel="1" x14ac:dyDescent="0.3">
      <c r="B379" s="665" t="s">
        <v>1298</v>
      </c>
      <c r="C379" s="353"/>
      <c r="D379" s="130"/>
      <c r="E379" s="130"/>
      <c r="F379" s="130"/>
      <c r="G379" s="502"/>
      <c r="H379" s="502"/>
      <c r="I379" s="502"/>
      <c r="J379" s="502"/>
      <c r="K379" s="502"/>
      <c r="L379" s="502"/>
      <c r="M379" s="502"/>
      <c r="N379" s="737"/>
    </row>
    <row r="380" spans="2:14" ht="13" outlineLevel="1" x14ac:dyDescent="0.3">
      <c r="C380" s="353" t="s">
        <v>1571</v>
      </c>
      <c r="D380" s="130"/>
      <c r="E380" s="130"/>
      <c r="F380" s="130"/>
      <c r="G380" s="1018">
        <f ca="1">'Manufacturing Costs'!G290*'Cost Input'!$F$91*G$179/Dashboard!D$105*(1-Lists!$C$154)*(1-Lists!$D$154)</f>
        <v>0.74659200000000003</v>
      </c>
      <c r="H380" s="1018">
        <f ca="1">'Manufacturing Costs'!H290*'Cost Input'!$F$91*H$179/Dashboard!E$105*(1-Lists!$C$154)*(1-Lists!$D$154)</f>
        <v>0.74659200000000003</v>
      </c>
      <c r="I380" s="1018">
        <f ca="1">'Manufacturing Costs'!I290*'Cost Input'!$F$91*I$179/Dashboard!F$105*(1-Lists!$C$154)*(1-Lists!$D$154)</f>
        <v>0.74659200000000003</v>
      </c>
      <c r="J380" s="1018">
        <f ca="1">'Manufacturing Costs'!J290*'Cost Input'!$F$91*J$179/Dashboard!G$105*(1-Lists!$C$154)*(1-Lists!$D$154)</f>
        <v>0.74659200000000003</v>
      </c>
      <c r="K380" s="1018">
        <f ca="1">'Manufacturing Costs'!K290*'Cost Input'!$F$91*K$179/Dashboard!H$105*(1-Lists!$C$154)*(1-Lists!$D$154)</f>
        <v>0.74659200000000003</v>
      </c>
      <c r="L380" s="1018">
        <f ca="1">'Manufacturing Costs'!L290*'Cost Input'!$F$91*L$179/Dashboard!I$105*(1-Lists!$C$154)*(1-Lists!$D$154)</f>
        <v>0.74659200000000003</v>
      </c>
      <c r="M380" s="1018">
        <f ca="1">'Manufacturing Costs'!M290*'Cost Input'!$F$91*M$179/Dashboard!J$105*(1-Lists!$C$154)*(1-Lists!$D$154)</f>
        <v>0.74659200000000003</v>
      </c>
      <c r="N380" s="737"/>
    </row>
    <row r="381" spans="2:14" ht="13" outlineLevel="1" x14ac:dyDescent="0.3">
      <c r="C381" s="353" t="s">
        <v>1572</v>
      </c>
      <c r="D381" s="130"/>
      <c r="E381" s="130"/>
      <c r="F381" s="130"/>
      <c r="G381" s="1018">
        <f ca="1">'Manufacturing Costs'!G291*1000000*G$180/Dashboard!D$105*(1-Lists!$C$154)*(1-Lists!$D$154)</f>
        <v>3.6965936393166832</v>
      </c>
      <c r="H381" s="1018">
        <f ca="1">'Manufacturing Costs'!H291*1000000*H$180/Dashboard!E$105*(1-Lists!$C$154)*(1-Lists!$D$154)</f>
        <v>3.6965936393166832</v>
      </c>
      <c r="I381" s="1018">
        <f ca="1">'Manufacturing Costs'!I291*1000000*I$180/Dashboard!F$105*(1-Lists!$C$154)*(1-Lists!$D$154)</f>
        <v>3.6965936393166832</v>
      </c>
      <c r="J381" s="1018">
        <f ca="1">'Manufacturing Costs'!J291*1000000*J$180/Dashboard!G$105*(1-Lists!$C$154)*(1-Lists!$D$154)</f>
        <v>3.6965936393166832</v>
      </c>
      <c r="K381" s="1018">
        <f ca="1">'Manufacturing Costs'!K291*1000000*K$180/Dashboard!H$105*(1-Lists!$C$154)*(1-Lists!$D$154)</f>
        <v>3.6965936393166832</v>
      </c>
      <c r="L381" s="1018">
        <f ca="1">'Manufacturing Costs'!L291*1000000*L$180/Dashboard!I$105*(1-Lists!$C$154)*(1-Lists!$D$154)</f>
        <v>4.4558061689197697</v>
      </c>
      <c r="M381" s="1018">
        <f ca="1">'Manufacturing Costs'!M291*1000000*M$180/Dashboard!J$105*(1-Lists!$C$154)*(1-Lists!$D$154)</f>
        <v>7.8355932080528961</v>
      </c>
      <c r="N381" s="737"/>
    </row>
    <row r="382" spans="2:14" ht="13" outlineLevel="1" x14ac:dyDescent="0.3">
      <c r="C382" s="353" t="s">
        <v>1573</v>
      </c>
      <c r="D382" s="130"/>
      <c r="E382" s="130"/>
      <c r="F382" s="130"/>
      <c r="G382" s="1018">
        <f ca="1">'Manufacturing Costs'!G292*'Cost Input'!$F$83*G$181/Dashboard!D$105*(1-Lists!$C$154)*(1-Lists!$D$154)</f>
        <v>55.970601563454949</v>
      </c>
      <c r="H382" s="1018">
        <f ca="1">'Manufacturing Costs'!H292*'Cost Input'!$F$83*H$181/Dashboard!E$105*(1-Lists!$C$154)*(1-Lists!$D$154)</f>
        <v>55.970601563454949</v>
      </c>
      <c r="I382" s="1018">
        <f ca="1">'Manufacturing Costs'!I292*'Cost Input'!$F$83*I$181/Dashboard!F$105*(1-Lists!$C$154)*(1-Lists!$D$154)</f>
        <v>55.970601563454949</v>
      </c>
      <c r="J382" s="1018">
        <f ca="1">'Manufacturing Costs'!J292*'Cost Input'!$F$83*J$181/Dashboard!G$105*(1-Lists!$C$154)*(1-Lists!$D$154)</f>
        <v>55.970601563454949</v>
      </c>
      <c r="K382" s="1018">
        <f ca="1">'Manufacturing Costs'!K292*'Cost Input'!$F$83*K$181/Dashboard!H$105*(1-Lists!$C$154)*(1-Lists!$D$154)</f>
        <v>55.970601563454949</v>
      </c>
      <c r="L382" s="1018">
        <f ca="1">'Manufacturing Costs'!L292*'Cost Input'!$F$83*L$181/Dashboard!I$105*(1-Lists!$C$154)*(1-Lists!$D$154)</f>
        <v>68.16971435561193</v>
      </c>
      <c r="M382" s="1018">
        <f ca="1">'Manufacturing Costs'!M292*'Cost Input'!$F$83*M$181/Dashboard!J$105*(1-Lists!$C$154)*(1-Lists!$D$154)</f>
        <v>123.69617330509904</v>
      </c>
      <c r="N382" s="737"/>
    </row>
    <row r="383" spans="2:14" ht="13" outlineLevel="1" x14ac:dyDescent="0.3">
      <c r="C383" s="353" t="s">
        <v>1574</v>
      </c>
      <c r="D383" s="130"/>
      <c r="E383" s="130"/>
      <c r="F383" s="130"/>
      <c r="G383" s="1018">
        <f ca="1">SUM(G380:G382)</f>
        <v>60.41378720277163</v>
      </c>
      <c r="H383" s="1018">
        <f t="shared" ref="H383:M383" ca="1" si="128">SUM(H380:H382)</f>
        <v>60.41378720277163</v>
      </c>
      <c r="I383" s="1018">
        <f t="shared" ca="1" si="128"/>
        <v>60.41378720277163</v>
      </c>
      <c r="J383" s="1018">
        <f t="shared" ca="1" si="128"/>
        <v>60.41378720277163</v>
      </c>
      <c r="K383" s="1018">
        <f t="shared" ca="1" si="128"/>
        <v>60.41378720277163</v>
      </c>
      <c r="L383" s="1018">
        <f t="shared" ca="1" si="128"/>
        <v>73.372112524531701</v>
      </c>
      <c r="M383" s="1018">
        <f t="shared" ca="1" si="128"/>
        <v>132.27835851315194</v>
      </c>
      <c r="N383" s="737"/>
    </row>
    <row r="384" spans="2:14" ht="13" outlineLevel="1" x14ac:dyDescent="0.3">
      <c r="C384" s="353"/>
      <c r="D384" s="130"/>
      <c r="E384" s="130"/>
      <c r="F384" s="130"/>
      <c r="G384" s="1018"/>
      <c r="H384" s="1018"/>
      <c r="I384" s="1018"/>
      <c r="J384" s="1018"/>
      <c r="K384" s="1018"/>
      <c r="L384" s="1018"/>
      <c r="M384" s="1018"/>
      <c r="N384" s="737"/>
    </row>
    <row r="385" spans="2:14" ht="14" outlineLevel="1" x14ac:dyDescent="0.3">
      <c r="B385" s="665" t="s">
        <v>1582</v>
      </c>
      <c r="C385" s="353"/>
      <c r="D385" s="130"/>
      <c r="E385" s="130"/>
      <c r="F385" s="130"/>
      <c r="G385" s="1018"/>
      <c r="H385" s="1018"/>
      <c r="I385" s="1018"/>
      <c r="J385" s="1018"/>
      <c r="K385" s="1018"/>
      <c r="L385" s="1018"/>
      <c r="M385" s="1018"/>
      <c r="N385" s="737"/>
    </row>
    <row r="386" spans="2:14" ht="13" outlineLevel="1" x14ac:dyDescent="0.3">
      <c r="C386" s="353" t="s">
        <v>1571</v>
      </c>
      <c r="D386" s="130"/>
      <c r="E386" s="130"/>
      <c r="F386" s="130"/>
      <c r="G386" s="1018">
        <f ca="1">G344+G350+G356+G362+G368+G374+G380</f>
        <v>135.07128353436156</v>
      </c>
      <c r="H386" s="1018">
        <f t="shared" ref="H386:M386" ca="1" si="129">H344+H350+H356+H362+H368+H374+H380</f>
        <v>135.07128353436156</v>
      </c>
      <c r="I386" s="1018">
        <f t="shared" ca="1" si="129"/>
        <v>136.22692424106796</v>
      </c>
      <c r="J386" s="1018">
        <f t="shared" ca="1" si="129"/>
        <v>138.00366150929426</v>
      </c>
      <c r="K386" s="1018">
        <f t="shared" ca="1" si="129"/>
        <v>140.79170403871356</v>
      </c>
      <c r="L386" s="1018">
        <f t="shared" ca="1" si="129"/>
        <v>145.97116184544686</v>
      </c>
      <c r="M386" s="1018">
        <f t="shared" ca="1" si="129"/>
        <v>161.24643020748863</v>
      </c>
      <c r="N386" s="737"/>
    </row>
    <row r="387" spans="2:14" ht="13" outlineLevel="1" x14ac:dyDescent="0.3">
      <c r="C387" s="353" t="s">
        <v>1572</v>
      </c>
      <c r="D387" s="130"/>
      <c r="E387" s="130"/>
      <c r="F387" s="130"/>
      <c r="G387" s="1018">
        <f t="shared" ref="G387:M388" ca="1" si="130">G345+G351+G357+G363+G369+G375+G381</f>
        <v>220.95789682059291</v>
      </c>
      <c r="H387" s="1018">
        <f t="shared" ca="1" si="130"/>
        <v>220.95789682059291</v>
      </c>
      <c r="I387" s="1018">
        <f t="shared" ca="1" si="130"/>
        <v>221.76103794393762</v>
      </c>
      <c r="J387" s="1018">
        <f t="shared" ca="1" si="130"/>
        <v>223.04300593276582</v>
      </c>
      <c r="K387" s="1018">
        <f t="shared" ca="1" si="130"/>
        <v>225.1509290633104</v>
      </c>
      <c r="L387" s="1018">
        <f t="shared" ca="1" si="130"/>
        <v>230.0758767158548</v>
      </c>
      <c r="M387" s="1018">
        <f t="shared" ca="1" si="130"/>
        <v>247.12556782097926</v>
      </c>
      <c r="N387" s="737"/>
    </row>
    <row r="388" spans="2:14" ht="13" outlineLevel="1" x14ac:dyDescent="0.3">
      <c r="C388" s="353" t="s">
        <v>1573</v>
      </c>
      <c r="D388" s="130"/>
      <c r="E388" s="130"/>
      <c r="F388" s="130"/>
      <c r="G388" s="1018">
        <f t="shared" ca="1" si="130"/>
        <v>55.970601563454949</v>
      </c>
      <c r="H388" s="1018">
        <f t="shared" ca="1" si="130"/>
        <v>55.970601563454949</v>
      </c>
      <c r="I388" s="1018">
        <f t="shared" ca="1" si="130"/>
        <v>55.970601563454949</v>
      </c>
      <c r="J388" s="1018">
        <f t="shared" ca="1" si="130"/>
        <v>55.970601563454949</v>
      </c>
      <c r="K388" s="1018">
        <f t="shared" ca="1" si="130"/>
        <v>55.970601563454949</v>
      </c>
      <c r="L388" s="1018">
        <f t="shared" ca="1" si="130"/>
        <v>68.16971435561193</v>
      </c>
      <c r="M388" s="1018">
        <f t="shared" ca="1" si="130"/>
        <v>123.69617330509904</v>
      </c>
      <c r="N388" s="737"/>
    </row>
    <row r="389" spans="2:14" ht="13" outlineLevel="1" x14ac:dyDescent="0.3">
      <c r="C389" s="353" t="s">
        <v>1574</v>
      </c>
      <c r="D389" s="130"/>
      <c r="E389" s="130"/>
      <c r="F389" s="130"/>
      <c r="G389" s="1018">
        <f ca="1">G347+G353+G359+G365+G371+G377+G383</f>
        <v>411.99978191840933</v>
      </c>
      <c r="H389" s="1018">
        <f t="shared" ref="H389:M389" ca="1" si="131">H347+H353+H359+H365+H371+H377+H383</f>
        <v>411.99978191840933</v>
      </c>
      <c r="I389" s="1018">
        <f t="shared" ca="1" si="131"/>
        <v>413.95856374846051</v>
      </c>
      <c r="J389" s="1018">
        <f t="shared" ca="1" si="131"/>
        <v>417.017269005515</v>
      </c>
      <c r="K389" s="1018">
        <f t="shared" ca="1" si="131"/>
        <v>421.91323466547885</v>
      </c>
      <c r="L389" s="1018">
        <f t="shared" ca="1" si="131"/>
        <v>444.21675291691355</v>
      </c>
      <c r="M389" s="1018">
        <f t="shared" ca="1" si="131"/>
        <v>532.06817133356685</v>
      </c>
      <c r="N389" s="737"/>
    </row>
    <row r="390" spans="2:14" ht="13" outlineLevel="1" x14ac:dyDescent="0.3">
      <c r="C390" s="353"/>
      <c r="D390" s="130"/>
      <c r="E390" s="130"/>
      <c r="F390" s="130"/>
      <c r="G390" s="502"/>
      <c r="H390" s="502"/>
      <c r="I390" s="502"/>
      <c r="J390" s="502"/>
      <c r="K390" s="502"/>
      <c r="L390" s="502"/>
      <c r="M390" s="502"/>
      <c r="N390" s="737"/>
    </row>
    <row r="391" spans="2:14" ht="15.5" outlineLevel="1" x14ac:dyDescent="0.35">
      <c r="B391" s="6" t="s">
        <v>1583</v>
      </c>
      <c r="C391" s="353"/>
      <c r="D391" s="130"/>
      <c r="E391" s="130"/>
      <c r="F391" s="130"/>
      <c r="G391" s="502"/>
      <c r="H391" s="502"/>
      <c r="I391" s="502"/>
      <c r="J391" s="502"/>
      <c r="K391" s="502"/>
      <c r="L391" s="502"/>
      <c r="M391" s="502"/>
      <c r="N391" s="737"/>
    </row>
    <row r="392" spans="2:14" ht="14" outlineLevel="1" x14ac:dyDescent="0.3">
      <c r="B392" s="665" t="s">
        <v>1301</v>
      </c>
      <c r="C392" s="130"/>
      <c r="D392" s="130"/>
      <c r="E392" s="130"/>
      <c r="F392" s="130"/>
      <c r="G392" s="502"/>
      <c r="H392" s="502"/>
      <c r="I392" s="502"/>
      <c r="J392" s="502"/>
      <c r="K392" s="502"/>
      <c r="L392" s="502"/>
      <c r="M392" s="502"/>
      <c r="N392" s="737"/>
    </row>
    <row r="393" spans="2:14" ht="13" outlineLevel="1" x14ac:dyDescent="0.3">
      <c r="C393" s="353" t="s">
        <v>1571</v>
      </c>
      <c r="D393" s="130"/>
      <c r="E393" s="130"/>
      <c r="F393" s="130"/>
      <c r="G393" s="1018">
        <f ca="1">'Manufacturing Costs'!G298*'Cost Input'!$F$91*G$179/Dashboard!D$105*(1-Lists!$C$154)*(1-Lists!$D$154)</f>
        <v>52.220478408715479</v>
      </c>
      <c r="H393" s="1018">
        <f ca="1">'Manufacturing Costs'!H298*'Cost Input'!$F$91*H$179/Dashboard!E$105*(1-Lists!$C$154)*(1-Lists!$D$154)</f>
        <v>52.220478408715479</v>
      </c>
      <c r="I393" s="1018">
        <f ca="1">'Manufacturing Costs'!I298*'Cost Input'!$F$91*I$179/Dashboard!F$105*(1-Lists!$C$154)*(1-Lists!$D$154)</f>
        <v>52.201783204026292</v>
      </c>
      <c r="J393" s="1018">
        <f ca="1">'Manufacturing Costs'!J298*'Cost Input'!$F$91*J$179/Dashboard!G$105*(1-Lists!$C$154)*(1-Lists!$D$154)</f>
        <v>52.178757548738389</v>
      </c>
      <c r="K393" s="1018">
        <f ca="1">'Manufacturing Costs'!K298*'Cost Input'!$F$91*K$179/Dashboard!H$105*(1-Lists!$C$154)*(1-Lists!$D$154)</f>
        <v>52.152121696950957</v>
      </c>
      <c r="L393" s="1018">
        <f ca="1">'Manufacturing Costs'!L298*'Cost Input'!$F$91*L$179/Dashboard!I$105*(1-Lists!$C$154)*(1-Lists!$D$154)</f>
        <v>52.120188314012914</v>
      </c>
      <c r="M393" s="1018">
        <f ca="1">'Manufacturing Costs'!M298*'Cost Input'!$F$91*M$179/Dashboard!J$105*(1-Lists!$C$154)*(1-Lists!$D$154)</f>
        <v>52.078007963869396</v>
      </c>
      <c r="N393" s="737"/>
    </row>
    <row r="394" spans="2:14" ht="13" outlineLevel="1" x14ac:dyDescent="0.3">
      <c r="C394" s="353" t="s">
        <v>1572</v>
      </c>
      <c r="D394" s="130"/>
      <c r="E394" s="130"/>
      <c r="F394" s="130"/>
      <c r="G394" s="1018">
        <f ca="1">'Manufacturing Costs'!G299*1000000*G$180/Dashboard!D$105*(1-Lists!$C$154)*(1-Lists!$D$154)</f>
        <v>420.58217303152537</v>
      </c>
      <c r="H394" s="1018">
        <f ca="1">'Manufacturing Costs'!H299*1000000*H$180/Dashboard!E$105*(1-Lists!$C$154)*(1-Lists!$D$154)</f>
        <v>420.58217303152537</v>
      </c>
      <c r="I394" s="1018">
        <f ca="1">'Manufacturing Costs'!I299*1000000*I$180/Dashboard!F$105*(1-Lists!$C$154)*(1-Lists!$D$154)</f>
        <v>420.43160241147268</v>
      </c>
      <c r="J394" s="1018">
        <f ca="1">'Manufacturing Costs'!J299*1000000*J$180/Dashboard!G$105*(1-Lists!$C$154)*(1-Lists!$D$154)</f>
        <v>420.24615447166894</v>
      </c>
      <c r="K394" s="1018">
        <f ca="1">'Manufacturing Costs'!K299*1000000*K$180/Dashboard!H$105*(1-Lists!$C$154)*(1-Lists!$D$154)</f>
        <v>420.0316301171116</v>
      </c>
      <c r="L394" s="1018">
        <f ca="1">'Manufacturing Costs'!L299*1000000*L$180/Dashboard!I$105*(1-Lists!$C$154)*(1-Lists!$D$154)</f>
        <v>419.77443960492963</v>
      </c>
      <c r="M394" s="1018">
        <f ca="1">'Manufacturing Costs'!M299*1000000*M$180/Dashboard!J$105*(1-Lists!$C$154)*(1-Lists!$D$154)</f>
        <v>419.43472032499989</v>
      </c>
      <c r="N394" s="737"/>
    </row>
    <row r="395" spans="2:14" ht="13" outlineLevel="1" x14ac:dyDescent="0.3">
      <c r="C395" s="353" t="s">
        <v>1584</v>
      </c>
      <c r="D395" s="130"/>
      <c r="E395" s="130"/>
      <c r="F395" s="130"/>
      <c r="G395" s="1018">
        <f ca="1">'Manufacturing Costs'!G300*'Cost Input'!$F$83*G$181/Dashboard!D$105*(1-Lists!$C$154)*(1-Lists!$D$154)</f>
        <v>101.01027290445965</v>
      </c>
      <c r="H395" s="1018">
        <f ca="1">'Manufacturing Costs'!H300*'Cost Input'!$F$83*H$181/Dashboard!E$105*(1-Lists!$C$154)*(1-Lists!$D$154)</f>
        <v>101.01027290445965</v>
      </c>
      <c r="I395" s="1018">
        <f ca="1">'Manufacturing Costs'!I300*'Cost Input'!$F$83*I$181/Dashboard!F$105*(1-Lists!$C$154)*(1-Lists!$D$154)</f>
        <v>100.9741106978847</v>
      </c>
      <c r="J395" s="1018">
        <f ca="1">'Manufacturing Costs'!J300*'Cost Input'!$F$83*J$181/Dashboard!G$105*(1-Lists!$C$154)*(1-Lists!$D$154)</f>
        <v>100.92957208400546</v>
      </c>
      <c r="K395" s="1018">
        <f ca="1">'Manufacturing Costs'!K300*'Cost Input'!$F$83*K$181/Dashboard!H$105*(1-Lists!$C$154)*(1-Lists!$D$154)</f>
        <v>100.87805025310543</v>
      </c>
      <c r="L395" s="1018">
        <f ca="1">'Manufacturing Costs'!L300*'Cost Input'!$F$83*L$181/Dashboard!I$105*(1-Lists!$C$154)*(1-Lists!$D$154)</f>
        <v>100.81628138725769</v>
      </c>
      <c r="M395" s="1018">
        <f ca="1">'Manufacturing Costs'!M300*'Cost Input'!$F$83*M$181/Dashboard!J$105*(1-Lists!$C$154)*(1-Lists!$D$154)</f>
        <v>100.73469177320136</v>
      </c>
      <c r="N395" s="737"/>
    </row>
    <row r="396" spans="2:14" outlineLevel="1" x14ac:dyDescent="0.25">
      <c r="C396" s="353" t="s">
        <v>1574</v>
      </c>
      <c r="G396" s="1018">
        <f ca="1">SUM(G393:G395)</f>
        <v>573.81292434470049</v>
      </c>
      <c r="H396" s="1018">
        <f t="shared" ref="H396:M396" ca="1" si="132">SUM(H393:H395)</f>
        <v>573.81292434470049</v>
      </c>
      <c r="I396" s="1018">
        <f t="shared" ca="1" si="132"/>
        <v>573.60749631338365</v>
      </c>
      <c r="J396" s="1018">
        <f t="shared" ca="1" si="132"/>
        <v>573.35448410441279</v>
      </c>
      <c r="K396" s="1018">
        <f t="shared" ca="1" si="132"/>
        <v>573.06180206716806</v>
      </c>
      <c r="L396" s="1018">
        <f t="shared" ca="1" si="132"/>
        <v>572.71090930620028</v>
      </c>
      <c r="M396" s="1018">
        <f t="shared" ca="1" si="132"/>
        <v>572.24742006207066</v>
      </c>
    </row>
    <row r="397" spans="2:14" ht="13" outlineLevel="1" x14ac:dyDescent="0.3">
      <c r="C397" s="353"/>
      <c r="D397" s="130"/>
      <c r="E397" s="130"/>
      <c r="F397" s="130"/>
      <c r="G397" s="502"/>
      <c r="H397" s="502"/>
      <c r="I397" s="502"/>
      <c r="J397" s="502"/>
      <c r="K397" s="502"/>
      <c r="L397" s="502"/>
      <c r="M397" s="502"/>
      <c r="N397" s="737"/>
    </row>
    <row r="398" spans="2:14" ht="15.5" outlineLevel="1" x14ac:dyDescent="0.35">
      <c r="B398" s="6" t="s">
        <v>1302</v>
      </c>
      <c r="C398" s="130"/>
      <c r="D398" s="130"/>
      <c r="E398" s="130"/>
      <c r="F398" s="130"/>
      <c r="G398" s="502"/>
      <c r="H398" s="502"/>
      <c r="I398" s="502"/>
      <c r="J398" s="502"/>
      <c r="K398" s="502"/>
      <c r="L398" s="502"/>
      <c r="M398" s="502"/>
      <c r="N398" s="737"/>
    </row>
    <row r="399" spans="2:14" ht="14" outlineLevel="1" x14ac:dyDescent="0.3">
      <c r="B399" s="665" t="s">
        <v>1303</v>
      </c>
      <c r="C399" s="130"/>
      <c r="D399" s="130"/>
      <c r="E399" s="130"/>
      <c r="F399" s="130"/>
      <c r="G399" s="502"/>
      <c r="H399" s="502"/>
      <c r="I399" s="502"/>
      <c r="J399" s="502"/>
      <c r="K399" s="502"/>
      <c r="L399" s="502"/>
      <c r="M399" s="502"/>
      <c r="N399" s="737"/>
    </row>
    <row r="400" spans="2:14" ht="13" outlineLevel="1" x14ac:dyDescent="0.3">
      <c r="C400" s="353" t="s">
        <v>1571</v>
      </c>
      <c r="D400" s="130"/>
      <c r="E400" s="130"/>
      <c r="F400" s="130"/>
      <c r="G400" s="1018">
        <f>'Manufacturing Costs'!G305*'Cost Input'!$F$91*G$179/Dashboard!D$105*(1-Lists!$D$154)</f>
        <v>15.865080000000003</v>
      </c>
      <c r="H400" s="1018">
        <f>'Manufacturing Costs'!H305*'Cost Input'!$F$91*H$179/Dashboard!E$105*(1-Lists!$D$154)</f>
        <v>15.865080000000003</v>
      </c>
      <c r="I400" s="1018">
        <f>'Manufacturing Costs'!I305*'Cost Input'!$F$91*I$179/Dashboard!F$105*(1-Lists!$D$154)</f>
        <v>15.865080000000003</v>
      </c>
      <c r="J400" s="1018">
        <f>'Manufacturing Costs'!J305*'Cost Input'!$F$91*J$179/Dashboard!G$105*(1-Lists!$D$154)</f>
        <v>15.865080000000003</v>
      </c>
      <c r="K400" s="1018">
        <f>'Manufacturing Costs'!K305*'Cost Input'!$F$91*K$179/Dashboard!H$105*(1-Lists!$D$154)</f>
        <v>15.865080000000003</v>
      </c>
      <c r="L400" s="1018">
        <f>'Manufacturing Costs'!L305*'Cost Input'!$F$91*L$179/Dashboard!I$105*(1-Lists!$D$154)</f>
        <v>15.865080000000003</v>
      </c>
      <c r="M400" s="1018">
        <f>'Manufacturing Costs'!M305*'Cost Input'!$F$91*M$179/Dashboard!J$105*(1-Lists!$D$154)</f>
        <v>15.865080000000003</v>
      </c>
      <c r="N400" s="737"/>
    </row>
    <row r="401" spans="2:14" ht="13" outlineLevel="1" x14ac:dyDescent="0.3">
      <c r="C401" s="353" t="s">
        <v>1572</v>
      </c>
      <c r="D401" s="130"/>
      <c r="E401" s="130"/>
      <c r="F401" s="130"/>
      <c r="G401" s="1018">
        <f>'Manufacturing Costs'!G306*1000000*G$180/Dashboard!D$105*(1-Lists!$D$154)</f>
        <v>47.696351999999997</v>
      </c>
      <c r="H401" s="1018">
        <f>'Manufacturing Costs'!H306*1000000*H$180/Dashboard!E$105*(1-Lists!$D$154)</f>
        <v>47.696351999999997</v>
      </c>
      <c r="I401" s="1018">
        <f>'Manufacturing Costs'!I306*1000000*I$180/Dashboard!F$105*(1-Lists!$D$154)</f>
        <v>47.696351999999997</v>
      </c>
      <c r="J401" s="1018">
        <f>'Manufacturing Costs'!J306*1000000*J$180/Dashboard!G$105*(1-Lists!$D$154)</f>
        <v>47.696351999999997</v>
      </c>
      <c r="K401" s="1018">
        <f>'Manufacturing Costs'!K306*1000000*K$180/Dashboard!H$105*(1-Lists!$D$154)</f>
        <v>47.696351999999997</v>
      </c>
      <c r="L401" s="1018">
        <f>'Manufacturing Costs'!L306*1000000*L$180/Dashboard!I$105*(1-Lists!$D$154)</f>
        <v>47.696351999999997</v>
      </c>
      <c r="M401" s="1018">
        <f>'Manufacturing Costs'!M306*1000000*M$180/Dashboard!J$105*(1-Lists!$D$154)</f>
        <v>47.696351999999997</v>
      </c>
      <c r="N401" s="737"/>
    </row>
    <row r="402" spans="2:14" ht="13" outlineLevel="1" x14ac:dyDescent="0.3">
      <c r="C402" s="353" t="s">
        <v>1573</v>
      </c>
      <c r="D402" s="130"/>
      <c r="E402" s="130"/>
      <c r="F402" s="130"/>
      <c r="G402" s="1018">
        <f>'Manufacturing Costs'!G307*'Cost Input'!$F$83*G$181/Dashboard!D$105*(1-Lists!$D$154)</f>
        <v>24.826823999999998</v>
      </c>
      <c r="H402" s="1018">
        <f>'Manufacturing Costs'!H307*'Cost Input'!$F$83*H$181/Dashboard!E$105*(1-Lists!$D$154)</f>
        <v>24.826823999999998</v>
      </c>
      <c r="I402" s="1018">
        <f>'Manufacturing Costs'!I307*'Cost Input'!$F$83*I$181/Dashboard!F$105*(1-Lists!$D$154)</f>
        <v>24.826823999999998</v>
      </c>
      <c r="J402" s="1018">
        <f>'Manufacturing Costs'!J307*'Cost Input'!$F$83*J$181/Dashboard!G$105*(1-Lists!$D$154)</f>
        <v>24.826823999999998</v>
      </c>
      <c r="K402" s="1018">
        <f>'Manufacturing Costs'!K307*'Cost Input'!$F$83*K$181/Dashboard!H$105*(1-Lists!$D$154)</f>
        <v>24.826823999999998</v>
      </c>
      <c r="L402" s="1018">
        <f>'Manufacturing Costs'!L307*'Cost Input'!$F$83*L$181/Dashboard!I$105*(1-Lists!$D$154)</f>
        <v>24.826823999999998</v>
      </c>
      <c r="M402" s="1018">
        <f>'Manufacturing Costs'!M307*'Cost Input'!$F$83*M$181/Dashboard!J$105*(1-Lists!$D$154)</f>
        <v>24.826823999999998</v>
      </c>
      <c r="N402" s="737"/>
    </row>
    <row r="403" spans="2:14" ht="15.5" outlineLevel="1" x14ac:dyDescent="0.35">
      <c r="B403" s="6"/>
      <c r="C403" s="353" t="s">
        <v>1574</v>
      </c>
      <c r="D403" s="130"/>
      <c r="E403" s="130"/>
      <c r="F403" s="130"/>
      <c r="G403" s="1018">
        <f>SUM(G400:G402)</f>
        <v>88.388255999999998</v>
      </c>
      <c r="H403" s="1018">
        <f t="shared" ref="H403:M403" si="133">SUM(H400:H402)</f>
        <v>88.388255999999998</v>
      </c>
      <c r="I403" s="1018">
        <f t="shared" si="133"/>
        <v>88.388255999999998</v>
      </c>
      <c r="J403" s="1018">
        <f t="shared" si="133"/>
        <v>88.388255999999998</v>
      </c>
      <c r="K403" s="1018">
        <f t="shared" si="133"/>
        <v>88.388255999999998</v>
      </c>
      <c r="L403" s="1018">
        <f t="shared" si="133"/>
        <v>88.388255999999998</v>
      </c>
      <c r="M403" s="1018">
        <f t="shared" si="133"/>
        <v>88.388255999999998</v>
      </c>
      <c r="N403" s="737"/>
    </row>
    <row r="404" spans="2:14" ht="15.5" outlineLevel="1" x14ac:dyDescent="0.35">
      <c r="B404" s="6"/>
      <c r="C404" s="353"/>
      <c r="D404" s="130"/>
      <c r="E404" s="130"/>
      <c r="F404" s="130"/>
      <c r="G404" s="502"/>
      <c r="H404" s="502"/>
      <c r="I404" s="502"/>
      <c r="J404" s="502"/>
      <c r="K404" s="502"/>
      <c r="L404" s="502"/>
      <c r="M404" s="502"/>
      <c r="N404" s="737"/>
    </row>
    <row r="405" spans="2:14" ht="15.5" outlineLevel="1" x14ac:dyDescent="0.35">
      <c r="B405" s="6" t="s">
        <v>1305</v>
      </c>
      <c r="C405" s="130"/>
      <c r="D405" s="130"/>
      <c r="E405" s="130"/>
      <c r="F405" s="130"/>
      <c r="G405" s="502"/>
      <c r="H405" s="502"/>
      <c r="I405" s="502"/>
      <c r="J405" s="502"/>
      <c r="K405" s="502"/>
      <c r="L405" s="502"/>
      <c r="M405" s="502"/>
      <c r="N405" s="737"/>
    </row>
    <row r="406" spans="2:14" ht="14" outlineLevel="1" x14ac:dyDescent="0.3">
      <c r="B406" s="665" t="s">
        <v>1306</v>
      </c>
      <c r="C406" s="130"/>
      <c r="D406" s="130"/>
      <c r="E406" s="130"/>
      <c r="F406" s="130"/>
      <c r="G406" s="502"/>
      <c r="H406" s="502"/>
      <c r="I406" s="502"/>
      <c r="J406" s="502"/>
      <c r="K406" s="502"/>
      <c r="L406" s="502"/>
      <c r="M406" s="502"/>
      <c r="N406" s="737"/>
    </row>
    <row r="407" spans="2:14" ht="13" outlineLevel="1" x14ac:dyDescent="0.3">
      <c r="C407" s="353" t="s">
        <v>1571</v>
      </c>
      <c r="D407" s="130"/>
      <c r="E407" s="130"/>
      <c r="F407" s="130"/>
      <c r="G407" s="1018">
        <f>'Manufacturing Costs'!G313*'Cost Input'!$F$91*G$179/Dashboard!D$105</f>
        <v>13.998600000000001</v>
      </c>
      <c r="H407" s="1018">
        <f>'Manufacturing Costs'!H313*'Cost Input'!$F$91*H$179/Dashboard!E$105</f>
        <v>13.998600000000001</v>
      </c>
      <c r="I407" s="1018">
        <f>'Manufacturing Costs'!I313*'Cost Input'!$F$91*I$179/Dashboard!F$105</f>
        <v>13.998600000000001</v>
      </c>
      <c r="J407" s="1018">
        <f>'Manufacturing Costs'!J313*'Cost Input'!$F$91*J$179/Dashboard!G$105</f>
        <v>13.998600000000001</v>
      </c>
      <c r="K407" s="1018">
        <f>'Manufacturing Costs'!K313*'Cost Input'!$F$91*K$179/Dashboard!H$105</f>
        <v>13.998600000000001</v>
      </c>
      <c r="L407" s="1018">
        <f>'Manufacturing Costs'!L313*'Cost Input'!$F$91*L$179/Dashboard!I$105</f>
        <v>13.998600000000001</v>
      </c>
      <c r="M407" s="1018">
        <f>'Manufacturing Costs'!M313*'Cost Input'!$F$91*M$179/Dashboard!J$105</f>
        <v>13.998600000000001</v>
      </c>
      <c r="N407" s="737"/>
    </row>
    <row r="408" spans="2:14" ht="13" outlineLevel="1" x14ac:dyDescent="0.3">
      <c r="C408" s="353" t="s">
        <v>1572</v>
      </c>
      <c r="D408" s="130"/>
      <c r="E408" s="130"/>
      <c r="F408" s="130"/>
      <c r="G408" s="1018">
        <f>'Manufacturing Costs'!G314*1000000*G$180/Dashboard!D$105</f>
        <v>47.696351999999997</v>
      </c>
      <c r="H408" s="1018">
        <f>'Manufacturing Costs'!H314*1000000*H$180/Dashboard!E$105</f>
        <v>47.696351999999997</v>
      </c>
      <c r="I408" s="1018">
        <f>'Manufacturing Costs'!I314*1000000*I$180/Dashboard!F$105</f>
        <v>47.696351999999997</v>
      </c>
      <c r="J408" s="1018">
        <f>'Manufacturing Costs'!J314*1000000*J$180/Dashboard!G$105</f>
        <v>47.696351999999997</v>
      </c>
      <c r="K408" s="1018">
        <f>'Manufacturing Costs'!K314*1000000*K$180/Dashboard!H$105</f>
        <v>47.696351999999997</v>
      </c>
      <c r="L408" s="1018">
        <f>'Manufacturing Costs'!L314*1000000*L$180/Dashboard!I$105</f>
        <v>47.696351999999997</v>
      </c>
      <c r="M408" s="1018">
        <f>'Manufacturing Costs'!M314*1000000*M$180/Dashboard!J$105</f>
        <v>47.696351999999997</v>
      </c>
      <c r="N408" s="737"/>
    </row>
    <row r="409" spans="2:14" ht="13" outlineLevel="1" x14ac:dyDescent="0.3">
      <c r="C409" s="353" t="s">
        <v>1573</v>
      </c>
      <c r="D409" s="130"/>
      <c r="E409" s="130"/>
      <c r="F409" s="130"/>
      <c r="G409" s="1018">
        <f>'Manufacturing Costs'!G315*'Cost Input'!$F$83*G$181/Dashboard!D$105</f>
        <v>24.826823999999998</v>
      </c>
      <c r="H409" s="1018">
        <f>'Manufacturing Costs'!H315*'Cost Input'!$F$83*H$181/Dashboard!E$105</f>
        <v>24.826823999999998</v>
      </c>
      <c r="I409" s="1018">
        <f>'Manufacturing Costs'!I315*'Cost Input'!$F$83*I$181/Dashboard!F$105</f>
        <v>24.826823999999998</v>
      </c>
      <c r="J409" s="1018">
        <f>'Manufacturing Costs'!J315*'Cost Input'!$F$83*J$181/Dashboard!G$105</f>
        <v>24.826823999999998</v>
      </c>
      <c r="K409" s="1018">
        <f>'Manufacturing Costs'!K315*'Cost Input'!$F$83*K$181/Dashboard!H$105</f>
        <v>24.826823999999998</v>
      </c>
      <c r="L409" s="1018">
        <f>'Manufacturing Costs'!L315*'Cost Input'!$F$83*L$181/Dashboard!I$105</f>
        <v>24.826823999999998</v>
      </c>
      <c r="M409" s="1018">
        <f>'Manufacturing Costs'!M315*'Cost Input'!$F$83*M$181/Dashboard!J$105</f>
        <v>24.826823999999998</v>
      </c>
      <c r="N409" s="737"/>
    </row>
    <row r="410" spans="2:14" ht="13" outlineLevel="1" x14ac:dyDescent="0.3">
      <c r="C410" s="353" t="s">
        <v>1574</v>
      </c>
      <c r="D410" s="130"/>
      <c r="E410" s="130"/>
      <c r="F410" s="130"/>
      <c r="G410" s="1018">
        <f>SUM(G407:G409)</f>
        <v>86.521776000000003</v>
      </c>
      <c r="H410" s="1018">
        <f t="shared" ref="H410:M410" si="134">SUM(H407:H409)</f>
        <v>86.521776000000003</v>
      </c>
      <c r="I410" s="1018">
        <f t="shared" si="134"/>
        <v>86.521776000000003</v>
      </c>
      <c r="J410" s="1018">
        <f t="shared" si="134"/>
        <v>86.521776000000003</v>
      </c>
      <c r="K410" s="1018">
        <f t="shared" si="134"/>
        <v>86.521776000000003</v>
      </c>
      <c r="L410" s="1018">
        <f t="shared" si="134"/>
        <v>86.521776000000003</v>
      </c>
      <c r="M410" s="1018">
        <f t="shared" si="134"/>
        <v>86.521776000000003</v>
      </c>
      <c r="N410" s="737"/>
    </row>
    <row r="411" spans="2:14" ht="13" outlineLevel="1" x14ac:dyDescent="0.3">
      <c r="C411" s="353"/>
      <c r="D411" s="130"/>
      <c r="E411" s="130"/>
      <c r="F411" s="130"/>
      <c r="G411" s="502"/>
      <c r="H411" s="502"/>
      <c r="I411" s="502"/>
      <c r="J411" s="502"/>
      <c r="K411" s="502"/>
      <c r="L411" s="502"/>
      <c r="M411" s="502"/>
      <c r="N411" s="737"/>
    </row>
    <row r="412" spans="2:14" ht="15.5" outlineLevel="1" x14ac:dyDescent="0.35">
      <c r="B412" s="6" t="s">
        <v>1309</v>
      </c>
      <c r="C412" s="353"/>
      <c r="D412" s="130"/>
      <c r="E412" s="130"/>
      <c r="F412" s="130"/>
      <c r="G412" s="502"/>
      <c r="H412" s="502"/>
      <c r="I412" s="502"/>
      <c r="J412" s="502"/>
      <c r="K412" s="502"/>
      <c r="L412" s="502"/>
      <c r="M412" s="502"/>
      <c r="N412" s="737"/>
    </row>
    <row r="413" spans="2:14" ht="14" outlineLevel="1" x14ac:dyDescent="0.3">
      <c r="B413" s="665" t="s">
        <v>1310</v>
      </c>
      <c r="C413" s="353"/>
      <c r="D413" s="130"/>
      <c r="E413" s="130"/>
      <c r="F413" s="130"/>
      <c r="G413" s="502"/>
      <c r="H413" s="502"/>
      <c r="I413" s="502"/>
      <c r="J413" s="502"/>
      <c r="K413" s="502"/>
      <c r="L413" s="502"/>
      <c r="M413" s="502"/>
      <c r="N413" s="737"/>
    </row>
    <row r="414" spans="2:14" ht="13" outlineLevel="1" x14ac:dyDescent="0.3">
      <c r="C414" s="353" t="s">
        <v>1571</v>
      </c>
      <c r="D414" s="130"/>
      <c r="E414" s="130"/>
      <c r="F414" s="130"/>
      <c r="G414" s="1018">
        <f ca="1">'Manufacturing Costs'!G320*'Cost Input'!$F$91*G$179/Dashboard!D$105*(1/3+1/3*(1-Lists!$D$154)+1/3*(1-Lists!$C$154)*(1-Lists!$D$154))</f>
        <v>2.8930440000000002</v>
      </c>
      <c r="H414" s="1018">
        <f ca="1">'Manufacturing Costs'!H320*'Cost Input'!$F$91*H$179/Dashboard!E$105*(1/3+1/3*(1-Lists!$D$154)+1/3*(1-Lists!$C$154)*(1-Lists!$D$154))</f>
        <v>2.8930440000000002</v>
      </c>
      <c r="I414" s="1018">
        <f ca="1">'Manufacturing Costs'!I320*'Cost Input'!$F$91*I$179/Dashboard!F$105*(1/3+1/3*(1-Lists!$D$154)+1/3*(1-Lists!$C$154)*(1-Lists!$D$154))</f>
        <v>2.8930440000000002</v>
      </c>
      <c r="J414" s="1018">
        <f ca="1">'Manufacturing Costs'!J320*'Cost Input'!$F$91*J$179/Dashboard!G$105*(1/3+1/3*(1-Lists!$D$154)+1/3*(1-Lists!$C$154)*(1-Lists!$D$154))</f>
        <v>2.8930440000000002</v>
      </c>
      <c r="K414" s="1018">
        <f ca="1">'Manufacturing Costs'!K320*'Cost Input'!$F$91*K$179/Dashboard!H$105*(1/3+1/3*(1-Lists!$D$154)+1/3*(1-Lists!$C$154)*(1-Lists!$D$154))</f>
        <v>2.8930440000000002</v>
      </c>
      <c r="L414" s="1018">
        <f ca="1">'Manufacturing Costs'!L320*'Cost Input'!$F$91*L$179/Dashboard!I$105*(1/3+1/3*(1-Lists!$D$154)+1/3*(1-Lists!$C$154)*(1-Lists!$D$154))</f>
        <v>2.8930440000000002</v>
      </c>
      <c r="M414" s="1018">
        <f ca="1">'Manufacturing Costs'!M320*'Cost Input'!$F$91*M$179/Dashboard!J$105*(1/3+1/3*(1-Lists!$D$154)+1/3*(1-Lists!$C$154)*(1-Lists!$D$154))</f>
        <v>2.8930440000000077</v>
      </c>
      <c r="N414" s="737"/>
    </row>
    <row r="415" spans="2:14" ht="13" outlineLevel="1" x14ac:dyDescent="0.3">
      <c r="C415" s="353" t="s">
        <v>1572</v>
      </c>
      <c r="D415" s="130"/>
      <c r="E415" s="130"/>
      <c r="F415" s="130"/>
      <c r="G415" s="1018">
        <f ca="1">'Manufacturing Costs'!G367*1000000*G$180/Dashboard!D$105*(1/3+1/3*(1-Lists!$D$154)+1/3*(1-Lists!$C$154)*(1-Lists!$D$154))</f>
        <v>101.4816</v>
      </c>
      <c r="H415" s="1018">
        <f ca="1">'Manufacturing Costs'!H367*1000000*H$180/Dashboard!E$105*(1/3+1/3*(1-Lists!$D$154)+1/3*(1-Lists!$C$154)*(1-Lists!$D$154))</f>
        <v>101.4816</v>
      </c>
      <c r="I415" s="1018">
        <f ca="1">'Manufacturing Costs'!I367*1000000*I$180/Dashboard!F$105*(1/3+1/3*(1-Lists!$D$154)+1/3*(1-Lists!$C$154)*(1-Lists!$D$154))</f>
        <v>101.48159999999999</v>
      </c>
      <c r="J415" s="1018">
        <f ca="1">'Manufacturing Costs'!J367*1000000*J$180/Dashboard!G$105*(1/3+1/3*(1-Lists!$D$154)+1/3*(1-Lists!$C$154)*(1-Lists!$D$154))</f>
        <v>101.48159999999999</v>
      </c>
      <c r="K415" s="1018">
        <f ca="1">'Manufacturing Costs'!K367*1000000*K$180/Dashboard!H$105*(1/3+1/3*(1-Lists!$D$154)+1/3*(1-Lists!$C$154)*(1-Lists!$D$154))</f>
        <v>101.48159999999999</v>
      </c>
      <c r="L415" s="1018">
        <f ca="1">'Manufacturing Costs'!L367*1000000*L$180/Dashboard!I$105*(1/3+1/3*(1-Lists!$D$154)+1/3*(1-Lists!$C$154)*(1-Lists!$D$154))</f>
        <v>101.48159999999999</v>
      </c>
      <c r="M415" s="1018">
        <f ca="1">'Manufacturing Costs'!M367*1000000*M$180/Dashboard!J$105*(1/3+1/3*(1-Lists!$D$154)+1/3*(1-Lists!$C$154)*(1-Lists!$D$154))</f>
        <v>101.48160000000048</v>
      </c>
      <c r="N415" s="737"/>
    </row>
    <row r="416" spans="2:14" ht="13" outlineLevel="1" x14ac:dyDescent="0.3">
      <c r="C416" s="353" t="s">
        <v>1573</v>
      </c>
      <c r="D416" s="130"/>
      <c r="E416" s="130"/>
      <c r="F416" s="130"/>
      <c r="G416" s="1018">
        <f ca="1">'Manufacturing Costs'!G322*'Cost Input'!$F$83*G$181/Dashboard!D$105*(1/3+1/3*(1-Lists!$D$154)+1/3*(1-Lists!$C$154)*(1-Lists!$D$154))</f>
        <v>9.1951199999999993</v>
      </c>
      <c r="H416" s="1018">
        <f ca="1">'Manufacturing Costs'!H322*'Cost Input'!$F$83*H$181/Dashboard!E$105*(1/3+1/3*(1-Lists!$D$154)+1/3*(1-Lists!$C$154)*(1-Lists!$D$154))</f>
        <v>9.1951199999999993</v>
      </c>
      <c r="I416" s="1018">
        <f ca="1">'Manufacturing Costs'!I322*'Cost Input'!$F$83*I$181/Dashboard!F$105*(1/3+1/3*(1-Lists!$D$154)+1/3*(1-Lists!$C$154)*(1-Lists!$D$154))</f>
        <v>9.1951199999999975</v>
      </c>
      <c r="J416" s="1018">
        <f ca="1">'Manufacturing Costs'!J322*'Cost Input'!$F$83*J$181/Dashboard!G$105*(1/3+1/3*(1-Lists!$D$154)+1/3*(1-Lists!$C$154)*(1-Lists!$D$154))</f>
        <v>9.1951199999999975</v>
      </c>
      <c r="K416" s="1018">
        <f ca="1">'Manufacturing Costs'!K322*'Cost Input'!$F$83*K$181/Dashboard!H$105*(1/3+1/3*(1-Lists!$D$154)+1/3*(1-Lists!$C$154)*(1-Lists!$D$154))</f>
        <v>9.1951199999999975</v>
      </c>
      <c r="L416" s="1018">
        <f ca="1">'Manufacturing Costs'!L322*'Cost Input'!$F$83*L$181/Dashboard!I$105*(1/3+1/3*(1-Lists!$D$154)+1/3*(1-Lists!$C$154)*(1-Lists!$D$154))</f>
        <v>9.1951199999999975</v>
      </c>
      <c r="M416" s="1018">
        <f ca="1">'Manufacturing Costs'!M322*'Cost Input'!$F$83*M$181/Dashboard!J$105*(1/3+1/3*(1-Lists!$D$154)+1/3*(1-Lists!$C$154)*(1-Lists!$D$154))</f>
        <v>9.1951200000000455</v>
      </c>
      <c r="N416" s="737"/>
    </row>
    <row r="417" spans="2:14" ht="13" outlineLevel="1" x14ac:dyDescent="0.3">
      <c r="C417" s="353" t="s">
        <v>1574</v>
      </c>
      <c r="D417" s="130"/>
      <c r="E417" s="130"/>
      <c r="F417" s="130"/>
      <c r="G417" s="1018">
        <f ca="1">SUM(G414:G416)</f>
        <v>113.56976400000001</v>
      </c>
      <c r="H417" s="1018">
        <f t="shared" ref="H417:M417" ca="1" si="135">SUM(H414:H416)</f>
        <v>113.56976400000001</v>
      </c>
      <c r="I417" s="1018">
        <f t="shared" ca="1" si="135"/>
        <v>113.56976399999999</v>
      </c>
      <c r="J417" s="1018">
        <f t="shared" ca="1" si="135"/>
        <v>113.56976399999999</v>
      </c>
      <c r="K417" s="1018">
        <f t="shared" ca="1" si="135"/>
        <v>113.56976399999999</v>
      </c>
      <c r="L417" s="1018">
        <f t="shared" ca="1" si="135"/>
        <v>113.56976399999999</v>
      </c>
      <c r="M417" s="1018">
        <f t="shared" ca="1" si="135"/>
        <v>113.56976400000053</v>
      </c>
      <c r="N417" s="737"/>
    </row>
    <row r="418" spans="2:14" ht="13" outlineLevel="1" x14ac:dyDescent="0.3">
      <c r="C418" s="353"/>
      <c r="D418" s="130"/>
      <c r="E418" s="130"/>
      <c r="F418" s="130"/>
      <c r="G418" s="502"/>
      <c r="H418" s="502"/>
      <c r="I418" s="502"/>
      <c r="J418" s="502"/>
      <c r="K418" s="502"/>
      <c r="L418" s="502"/>
      <c r="M418" s="502"/>
      <c r="N418" s="737"/>
    </row>
    <row r="419" spans="2:14" ht="15.5" outlineLevel="1" x14ac:dyDescent="0.35">
      <c r="B419" s="6" t="s">
        <v>1146</v>
      </c>
      <c r="D419" s="130"/>
      <c r="E419" s="130"/>
      <c r="F419" s="130"/>
      <c r="G419" s="502"/>
      <c r="H419" s="502"/>
      <c r="I419" s="502"/>
      <c r="J419" s="502"/>
      <c r="K419" s="502"/>
      <c r="L419" s="502"/>
      <c r="M419" s="502"/>
      <c r="N419" s="737"/>
    </row>
    <row r="420" spans="2:14" ht="14" outlineLevel="1" x14ac:dyDescent="0.3">
      <c r="B420" s="665" t="s">
        <v>1312</v>
      </c>
      <c r="C420" s="353"/>
      <c r="D420" s="130"/>
      <c r="E420" s="130"/>
      <c r="F420" s="130"/>
      <c r="G420" s="502"/>
      <c r="H420" s="502"/>
      <c r="I420" s="502"/>
      <c r="J420" s="502"/>
      <c r="K420" s="502"/>
      <c r="L420" s="502"/>
      <c r="M420" s="502"/>
      <c r="N420" s="737"/>
    </row>
    <row r="421" spans="2:14" ht="13" outlineLevel="1" x14ac:dyDescent="0.3">
      <c r="C421" s="353" t="s">
        <v>1571</v>
      </c>
      <c r="D421" s="130"/>
      <c r="E421" s="130"/>
      <c r="F421" s="130"/>
      <c r="G421" s="1018">
        <f ca="1">'Manufacturing Costs'!G327*'Cost Input'!$F$91*G$179/Dashboard!D$105*(1-Lists!$C$154)*(1-Lists!$D$154)</f>
        <v>0</v>
      </c>
      <c r="H421" s="1018">
        <f ca="1">'Manufacturing Costs'!H327*'Cost Input'!$F$91*H$179/Dashboard!E$105*(1-Lists!$C$154)*(1-Lists!$D$154)</f>
        <v>0</v>
      </c>
      <c r="I421" s="1018">
        <f ca="1">'Manufacturing Costs'!I327*'Cost Input'!$F$91*I$179/Dashboard!F$105*(1-Lists!$C$154)*(1-Lists!$D$154)</f>
        <v>0</v>
      </c>
      <c r="J421" s="1018">
        <f ca="1">'Manufacturing Costs'!J327*'Cost Input'!$F$91*J$179/Dashboard!G$105*(1-Lists!$C$154)*(1-Lists!$D$154)</f>
        <v>0</v>
      </c>
      <c r="K421" s="1018">
        <f ca="1">'Manufacturing Costs'!K327*'Cost Input'!$F$91*K$179/Dashboard!H$105*(1-Lists!$C$154)*(1-Lists!$D$154)</f>
        <v>0</v>
      </c>
      <c r="L421" s="1018">
        <f ca="1">'Manufacturing Costs'!L327*'Cost Input'!$F$91*L$179/Dashboard!I$105*(1-Lists!$C$154)*(1-Lists!$D$154)</f>
        <v>0</v>
      </c>
      <c r="M421" s="1018">
        <f ca="1">'Manufacturing Costs'!M327*'Cost Input'!$F$91*M$179/Dashboard!J$105*(1-Lists!$C$154)*(1-Lists!$D$154)</f>
        <v>0</v>
      </c>
      <c r="N421" s="737"/>
    </row>
    <row r="422" spans="2:14" ht="13" outlineLevel="1" x14ac:dyDescent="0.3">
      <c r="C422" s="353" t="s">
        <v>1572</v>
      </c>
      <c r="D422" s="130"/>
      <c r="E422" s="130"/>
      <c r="F422" s="130"/>
      <c r="G422" s="1018">
        <f ca="1">'Manufacturing Costs'!G328*(1-'Manufacturing Costs'!G384/'Manufacturing Costs'!G394*Lists!$C$154-'Manufacturing Costs'!G389/'Manufacturing Costs'!G394*Lists!$D$154)*1000000*G$180/Dashboard!D$105</f>
        <v>862.59360000000004</v>
      </c>
      <c r="H422" s="1018">
        <f ca="1">'Manufacturing Costs'!H328*(1-'Manufacturing Costs'!H384/'Manufacturing Costs'!H394*Lists!$C$154-'Manufacturing Costs'!H389/'Manufacturing Costs'!H394*Lists!$D$154)*1000000*H$180/Dashboard!E$105</f>
        <v>862.59360000000004</v>
      </c>
      <c r="I422" s="1018">
        <f ca="1">'Manufacturing Costs'!I328*(1-'Manufacturing Costs'!I384/'Manufacturing Costs'!I394*Lists!$C$154-'Manufacturing Costs'!I389/'Manufacturing Costs'!I394*Lists!$D$154)*1000000*I$180/Dashboard!F$105</f>
        <v>862.59359999999992</v>
      </c>
      <c r="J422" s="1018">
        <f ca="1">'Manufacturing Costs'!J328*(1-'Manufacturing Costs'!J384/'Manufacturing Costs'!J394*Lists!$C$154-'Manufacturing Costs'!J389/'Manufacturing Costs'!J394*Lists!$D$154)*1000000*J$180/Dashboard!G$105</f>
        <v>862.59359999999992</v>
      </c>
      <c r="K422" s="1018">
        <f ca="1">'Manufacturing Costs'!K328*(1-'Manufacturing Costs'!K384/'Manufacturing Costs'!K394*Lists!$C$154-'Manufacturing Costs'!K389/'Manufacturing Costs'!K394*Lists!$D$154)*1000000*K$180/Dashboard!H$105</f>
        <v>862.59359999999992</v>
      </c>
      <c r="L422" s="1018">
        <f ca="1">'Manufacturing Costs'!L328*(1-'Manufacturing Costs'!L384/'Manufacturing Costs'!L394*Lists!$C$154-'Manufacturing Costs'!L389/'Manufacturing Costs'!L394*Lists!$D$154)*1000000*L$180/Dashboard!I$105</f>
        <v>862.59359999999992</v>
      </c>
      <c r="M422" s="1018">
        <f ca="1">'Manufacturing Costs'!M328*(1-'Manufacturing Costs'!M384/'Manufacturing Costs'!M394*Lists!$C$154-'Manufacturing Costs'!M389/'Manufacturing Costs'!M394*Lists!$D$154)*1000000*M$180/Dashboard!J$105</f>
        <v>862.59360000000413</v>
      </c>
      <c r="N422" s="737"/>
    </row>
    <row r="423" spans="2:14" ht="13" outlineLevel="1" x14ac:dyDescent="0.3">
      <c r="C423" s="353" t="s">
        <v>1573</v>
      </c>
      <c r="D423" s="130"/>
      <c r="E423" s="130"/>
      <c r="F423" s="130"/>
      <c r="G423" s="1018">
        <f ca="1">'Manufacturing Costs'!G329*'Cost Input'!$F$83*G$181/Dashboard!D$105*(1-Lists!$C$154)*(1-Lists!$D$154)</f>
        <v>0</v>
      </c>
      <c r="H423" s="1018">
        <f ca="1">'Manufacturing Costs'!H329*'Cost Input'!$F$83*H$181/Dashboard!E$105*(1-Lists!$C$154)*(1-Lists!$D$154)</f>
        <v>0</v>
      </c>
      <c r="I423" s="1018">
        <f ca="1">'Manufacturing Costs'!I329*'Cost Input'!$F$83*I$181/Dashboard!F$105*(1-Lists!$C$154)*(1-Lists!$D$154)</f>
        <v>0</v>
      </c>
      <c r="J423" s="1018">
        <f ca="1">'Manufacturing Costs'!J329*'Cost Input'!$F$83*J$181/Dashboard!G$105*(1-Lists!$C$154)*(1-Lists!$D$154)</f>
        <v>0</v>
      </c>
      <c r="K423" s="1018">
        <f ca="1">'Manufacturing Costs'!K329*'Cost Input'!$F$83*K$181/Dashboard!H$105*(1-Lists!$C$154)*(1-Lists!$D$154)</f>
        <v>0</v>
      </c>
      <c r="L423" s="1018">
        <f ca="1">'Manufacturing Costs'!L329*'Cost Input'!$F$83*L$181/Dashboard!I$105*(1-Lists!$C$154)*(1-Lists!$D$154)</f>
        <v>0</v>
      </c>
      <c r="M423" s="1018">
        <f ca="1">'Manufacturing Costs'!M329*'Cost Input'!$F$83*M$181/Dashboard!J$105*(1-Lists!$C$154)*(1-Lists!$D$154)</f>
        <v>0</v>
      </c>
      <c r="N423" s="737"/>
    </row>
    <row r="424" spans="2:14" ht="13" outlineLevel="1" x14ac:dyDescent="0.3">
      <c r="C424" s="353" t="s">
        <v>1574</v>
      </c>
      <c r="D424" s="130"/>
      <c r="E424" s="130"/>
      <c r="F424" s="130"/>
      <c r="G424" s="1018">
        <f ca="1">SUM(G421:G423)</f>
        <v>862.59360000000004</v>
      </c>
      <c r="H424" s="1018">
        <f t="shared" ref="H424:M424" ca="1" si="136">SUM(H421:H423)</f>
        <v>862.59360000000004</v>
      </c>
      <c r="I424" s="1018">
        <f t="shared" ca="1" si="136"/>
        <v>862.59359999999992</v>
      </c>
      <c r="J424" s="1018">
        <f t="shared" ca="1" si="136"/>
        <v>862.59359999999992</v>
      </c>
      <c r="K424" s="1018">
        <f t="shared" ca="1" si="136"/>
        <v>862.59359999999992</v>
      </c>
      <c r="L424" s="1018">
        <f t="shared" ca="1" si="136"/>
        <v>862.59359999999992</v>
      </c>
      <c r="M424" s="1018">
        <f t="shared" ca="1" si="136"/>
        <v>862.59360000000413</v>
      </c>
      <c r="N424" s="737"/>
    </row>
    <row r="425" spans="2:14" ht="13" outlineLevel="1" x14ac:dyDescent="0.3">
      <c r="C425" s="353"/>
      <c r="D425" s="130"/>
      <c r="E425" s="130"/>
      <c r="F425" s="130"/>
      <c r="G425" s="502"/>
      <c r="H425" s="502"/>
      <c r="I425" s="502"/>
      <c r="J425" s="502"/>
      <c r="K425" s="502"/>
      <c r="L425" s="502"/>
      <c r="M425" s="502"/>
      <c r="N425" s="737"/>
    </row>
    <row r="426" spans="2:14" ht="14" outlineLevel="1" x14ac:dyDescent="0.3">
      <c r="B426" s="665" t="s">
        <v>1313</v>
      </c>
      <c r="D426" s="130"/>
      <c r="E426" s="130"/>
      <c r="F426" s="130"/>
      <c r="G426" s="502"/>
      <c r="H426" s="502"/>
      <c r="I426" s="502"/>
      <c r="J426" s="502"/>
      <c r="K426" s="502"/>
      <c r="L426" s="502"/>
      <c r="M426" s="502"/>
      <c r="N426" s="737"/>
    </row>
    <row r="427" spans="2:14" ht="13" outlineLevel="1" x14ac:dyDescent="0.3">
      <c r="C427" s="353" t="s">
        <v>1571</v>
      </c>
      <c r="D427" s="130"/>
      <c r="E427" s="130"/>
      <c r="F427" s="130"/>
      <c r="G427" s="1018">
        <f ca="1">'Manufacturing Costs'!G333*'Cost Input'!$F$91*G$179/Dashboard!D$105*(1-Lists!$C$154)*(1-Lists!$D$154)</f>
        <v>1.5895958573622837</v>
      </c>
      <c r="H427" s="1018">
        <f ca="1">'Manufacturing Costs'!H333*'Cost Input'!$F$91*H$179/Dashboard!E$105*(1-Lists!$C$154)*(1-Lists!$D$154)</f>
        <v>1.5895958573622837</v>
      </c>
      <c r="I427" s="1018">
        <f ca="1">'Manufacturing Costs'!I333*'Cost Input'!$F$91*I$179/Dashboard!F$105*(1-Lists!$C$154)*(1-Lists!$D$154)</f>
        <v>1.5886474978198051</v>
      </c>
      <c r="J427" s="1018">
        <f ca="1">'Manufacturing Costs'!J333*'Cost Input'!$F$91*J$179/Dashboard!G$105*(1-Lists!$C$154)*(1-Lists!$D$154)</f>
        <v>1.5874797768196378</v>
      </c>
      <c r="K427" s="1018">
        <f ca="1">'Manufacturing Costs'!K333*'Cost Input'!$F$91*K$179/Dashboard!H$105*(1-Lists!$C$154)*(1-Lists!$D$154)</f>
        <v>1.5861293971280472</v>
      </c>
      <c r="L427" s="1018">
        <f ca="1">'Manufacturing Costs'!L333*'Cost Input'!$F$91*L$179/Dashboard!I$105*(1-Lists!$C$154)*(1-Lists!$D$154)</f>
        <v>1.5845110500980111</v>
      </c>
      <c r="M427" s="1018">
        <f ca="1">'Manufacturing Costs'!M333*'Cost Input'!$F$91*M$179/Dashboard!J$105*(1-Lists!$C$154)*(1-Lists!$D$154)</f>
        <v>1.5823744116301659</v>
      </c>
      <c r="N427" s="737"/>
    </row>
    <row r="428" spans="2:14" ht="13" outlineLevel="1" x14ac:dyDescent="0.3">
      <c r="C428" s="353" t="s">
        <v>1572</v>
      </c>
      <c r="D428" s="130"/>
      <c r="E428" s="130"/>
      <c r="F428" s="130"/>
      <c r="G428" s="1018">
        <f ca="1">'Manufacturing Costs'!G334*1000000*G$180/Dashboard!D$105*(1-Lists!$C$154)*(1-Lists!$D$154)</f>
        <v>18.334297630118005</v>
      </c>
      <c r="H428" s="1018">
        <f ca="1">'Manufacturing Costs'!H334*1000000*H$180/Dashboard!E$105*(1-Lists!$C$154)*(1-Lists!$D$154)</f>
        <v>18.334297630118005</v>
      </c>
      <c r="I428" s="1018">
        <f ca="1">'Manufacturing Costs'!I334*1000000*I$180/Dashboard!F$105*(1-Lists!$C$154)*(1-Lists!$D$154)</f>
        <v>18.313520404273866</v>
      </c>
      <c r="J428" s="1018">
        <f ca="1">'Manufacturing Costs'!J334*1000000*J$180/Dashboard!G$105*(1-Lists!$C$154)*(1-Lists!$D$154)</f>
        <v>18.287952607423595</v>
      </c>
      <c r="K428" s="1018">
        <f ca="1">'Manufacturing Costs'!K334*1000000*K$180/Dashboard!H$105*(1-Lists!$C$154)*(1-Lists!$D$154)</f>
        <v>18.258406511390252</v>
      </c>
      <c r="L428" s="1018">
        <f ca="1">'Manufacturing Costs'!L334*1000000*L$180/Dashboard!I$105*(1-Lists!$C$154)*(1-Lists!$D$154)</f>
        <v>18.223027144326274</v>
      </c>
      <c r="M428" s="1018">
        <f ca="1">'Manufacturing Costs'!M334*1000000*M$180/Dashboard!J$105*(1-Lists!$C$154)*(1-Lists!$D$154)</f>
        <v>18.176366979290489</v>
      </c>
      <c r="N428" s="737"/>
    </row>
    <row r="429" spans="2:14" ht="13" outlineLevel="1" x14ac:dyDescent="0.3">
      <c r="C429" s="353" t="s">
        <v>1573</v>
      </c>
      <c r="D429" s="130"/>
      <c r="E429" s="130"/>
      <c r="F429" s="130"/>
      <c r="G429" s="1018">
        <f ca="1">'Manufacturing Costs'!G335*'Cost Input'!$F$83*G$181/Dashboard!D$105*(1-Lists!$C$154)*(1-Lists!$D$154)</f>
        <v>1.0152068810017214</v>
      </c>
      <c r="H429" s="1018">
        <f ca="1">'Manufacturing Costs'!H335*'Cost Input'!$F$83*H$181/Dashboard!E$105*(1-Lists!$C$154)*(1-Lists!$D$154)</f>
        <v>1.0152068810017214</v>
      </c>
      <c r="I429" s="1018">
        <f ca="1">'Manufacturing Costs'!I335*'Cost Input'!$F$83*I$181/Dashboard!F$105*(1-Lists!$C$154)*(1-Lists!$D$154)</f>
        <v>1.0140564042793168</v>
      </c>
      <c r="J429" s="1018">
        <f ca="1">'Manufacturing Costs'!J335*'Cost Input'!$F$83*J$181/Dashboard!G$105*(1-Lists!$C$154)*(1-Lists!$D$154)</f>
        <v>1.0126406640192802</v>
      </c>
      <c r="K429" s="1018">
        <f ca="1">'Manufacturing Costs'!K335*'Cost Input'!$F$83*K$181/Dashboard!H$105*(1-Lists!$C$154)*(1-Lists!$D$154)</f>
        <v>1.0110046373437607</v>
      </c>
      <c r="L429" s="1018">
        <f ca="1">'Manufacturing Costs'!L335*'Cost Input'!$F$83*L$181/Dashboard!I$105*(1-Lists!$C$154)*(1-Lists!$D$154)</f>
        <v>1.0090456107361727</v>
      </c>
      <c r="M429" s="1018">
        <f ca="1">'Manufacturing Costs'!M335*'Cost Input'!$F$83*M$181/Dashboard!J$105*(1-Lists!$C$154)*(1-Lists!$D$154)</f>
        <v>1.0064619436893809</v>
      </c>
      <c r="N429" s="737"/>
    </row>
    <row r="430" spans="2:14" ht="13" outlineLevel="1" x14ac:dyDescent="0.3">
      <c r="C430" s="353" t="s">
        <v>1574</v>
      </c>
      <c r="D430" s="130"/>
      <c r="E430" s="130"/>
      <c r="F430" s="130"/>
      <c r="G430" s="1018">
        <f ca="1">SUM(G427:G429)</f>
        <v>20.939100368482009</v>
      </c>
      <c r="H430" s="1018">
        <f t="shared" ref="H430:M430" ca="1" si="137">SUM(H427:H429)</f>
        <v>20.939100368482009</v>
      </c>
      <c r="I430" s="1018">
        <f t="shared" ca="1" si="137"/>
        <v>20.916224306372989</v>
      </c>
      <c r="J430" s="1018">
        <f t="shared" ca="1" si="137"/>
        <v>20.888073048262513</v>
      </c>
      <c r="K430" s="1018">
        <f t="shared" ca="1" si="137"/>
        <v>20.855540545862059</v>
      </c>
      <c r="L430" s="1018">
        <f t="shared" ca="1" si="137"/>
        <v>20.816583805160459</v>
      </c>
      <c r="M430" s="1018">
        <f t="shared" ca="1" si="137"/>
        <v>20.765203334610035</v>
      </c>
      <c r="N430" s="737"/>
    </row>
    <row r="431" spans="2:14" ht="13" outlineLevel="1" x14ac:dyDescent="0.3">
      <c r="C431" s="353"/>
      <c r="D431" s="130"/>
      <c r="E431" s="130"/>
      <c r="F431" s="130"/>
      <c r="G431" s="502"/>
      <c r="H431" s="502"/>
      <c r="I431" s="502"/>
      <c r="J431" s="502"/>
      <c r="K431" s="502"/>
      <c r="L431" s="502"/>
      <c r="M431" s="502"/>
      <c r="N431" s="737"/>
    </row>
    <row r="432" spans="2:14" ht="14" outlineLevel="1" x14ac:dyDescent="0.3">
      <c r="B432" s="665" t="s">
        <v>1314</v>
      </c>
      <c r="C432" s="353"/>
      <c r="D432" s="130"/>
      <c r="E432" s="130"/>
      <c r="F432" s="130"/>
      <c r="G432" s="502"/>
      <c r="H432" s="502"/>
      <c r="I432" s="502"/>
      <c r="J432" s="502"/>
      <c r="K432" s="502"/>
      <c r="L432" s="502"/>
      <c r="M432" s="502"/>
      <c r="N432" s="737"/>
    </row>
    <row r="433" spans="2:14" ht="13" outlineLevel="1" x14ac:dyDescent="0.3">
      <c r="C433" s="353" t="s">
        <v>1571</v>
      </c>
      <c r="D433" s="130"/>
      <c r="E433" s="130"/>
      <c r="F433" s="130"/>
      <c r="G433" s="1018">
        <f>'Manufacturing Costs'!G339*'Cost Input'!$F$91*G$179/Dashboard!D$105*(1-Lists!$C$154)*(1-Lists!$D$154)</f>
        <v>3.540737219170238</v>
      </c>
      <c r="H433" s="1018">
        <f>'Manufacturing Costs'!H339*'Cost Input'!$F$91*H$179/Dashboard!E$105*(1-Lists!$C$154)*(1-Lists!$D$154)</f>
        <v>3.540737219170238</v>
      </c>
      <c r="I433" s="1018">
        <f>'Manufacturing Costs'!I339*'Cost Input'!$F$91*I$179/Dashboard!F$105*(1-Lists!$C$154)*(1-Lists!$D$154)</f>
        <v>3.540737219170238</v>
      </c>
      <c r="J433" s="1018">
        <f>'Manufacturing Costs'!J339*'Cost Input'!$F$91*J$179/Dashboard!G$105*(1-Lists!$C$154)*(1-Lists!$D$154)</f>
        <v>3.540737219170238</v>
      </c>
      <c r="K433" s="1018">
        <f>'Manufacturing Costs'!K339*'Cost Input'!$F$91*K$179/Dashboard!H$105*(1-Lists!$C$154)*(1-Lists!$D$154)</f>
        <v>3.540737219170238</v>
      </c>
      <c r="L433" s="1018">
        <f>'Manufacturing Costs'!L339*'Cost Input'!$F$91*L$179/Dashboard!I$105*(1-Lists!$C$154)*(1-Lists!$D$154)</f>
        <v>3.540737219170238</v>
      </c>
      <c r="M433" s="1018">
        <f>'Manufacturing Costs'!M339*'Cost Input'!$F$91*M$179/Dashboard!J$105*(1-Lists!$C$154)*(1-Lists!$D$154)</f>
        <v>3.540737219170238</v>
      </c>
      <c r="N433" s="737"/>
    </row>
    <row r="434" spans="2:14" ht="13" outlineLevel="1" x14ac:dyDescent="0.3">
      <c r="C434" s="353" t="s">
        <v>1572</v>
      </c>
      <c r="D434" s="130"/>
      <c r="E434" s="130"/>
      <c r="F434" s="130"/>
      <c r="G434" s="1018">
        <f>'Manufacturing Costs'!G340*1000000*G$180/Dashboard!D$105*(1-Lists!$C$154)*(1-Lists!$D$154)</f>
        <v>4.7093590199513953</v>
      </c>
      <c r="H434" s="1018">
        <f>'Manufacturing Costs'!H340*1000000*H$180/Dashboard!E$105*(1-Lists!$C$154)*(1-Lists!$D$154)</f>
        <v>4.7093590199513953</v>
      </c>
      <c r="I434" s="1018">
        <f>'Manufacturing Costs'!I340*1000000*I$180/Dashboard!F$105*(1-Lists!$C$154)*(1-Lists!$D$154)</f>
        <v>4.7093590199513953</v>
      </c>
      <c r="J434" s="1018">
        <f>'Manufacturing Costs'!J340*1000000*J$180/Dashboard!G$105*(1-Lists!$C$154)*(1-Lists!$D$154)</f>
        <v>4.7093590199513953</v>
      </c>
      <c r="K434" s="1018">
        <f>'Manufacturing Costs'!K340*1000000*K$180/Dashboard!H$105*(1-Lists!$C$154)*(1-Lists!$D$154)</f>
        <v>4.7093590199513953</v>
      </c>
      <c r="L434" s="1018">
        <f>'Manufacturing Costs'!L340*1000000*L$180/Dashboard!I$105*(1-Lists!$C$154)*(1-Lists!$D$154)</f>
        <v>4.7093590199513953</v>
      </c>
      <c r="M434" s="1018">
        <f>'Manufacturing Costs'!M340*1000000*M$180/Dashboard!J$105*(1-Lists!$C$154)*(1-Lists!$D$154)</f>
        <v>4.7093590199513953</v>
      </c>
      <c r="N434" s="737"/>
    </row>
    <row r="435" spans="2:14" ht="13" outlineLevel="1" x14ac:dyDescent="0.3">
      <c r="C435" s="353" t="s">
        <v>1573</v>
      </c>
      <c r="D435" s="130"/>
      <c r="E435" s="130"/>
      <c r="F435" s="130"/>
      <c r="G435" s="1018">
        <f>'Manufacturing Costs'!G341*'Cost Input'!$F$83*G$181/Dashboard!D$105*(1-Lists!$C$154)*(1-Lists!$D$154)</f>
        <v>3.0279177894983849</v>
      </c>
      <c r="H435" s="1018">
        <f>'Manufacturing Costs'!H341*'Cost Input'!$F$83*H$181/Dashboard!E$105*(1-Lists!$C$154)*(1-Lists!$D$154)</f>
        <v>3.0279177894983849</v>
      </c>
      <c r="I435" s="1018">
        <f>'Manufacturing Costs'!I341*'Cost Input'!$F$83*I$181/Dashboard!F$105*(1-Lists!$C$154)*(1-Lists!$D$154)</f>
        <v>3.0279177894983849</v>
      </c>
      <c r="J435" s="1018">
        <f>'Manufacturing Costs'!J341*'Cost Input'!$F$83*J$181/Dashboard!G$105*(1-Lists!$C$154)*(1-Lists!$D$154)</f>
        <v>3.0279177894983849</v>
      </c>
      <c r="K435" s="1018">
        <f>'Manufacturing Costs'!K341*'Cost Input'!$F$83*K$181/Dashboard!H$105*(1-Lists!$C$154)*(1-Lists!$D$154)</f>
        <v>3.0279177894983849</v>
      </c>
      <c r="L435" s="1018">
        <f>'Manufacturing Costs'!L341*'Cost Input'!$F$83*L$181/Dashboard!I$105*(1-Lists!$C$154)*(1-Lists!$D$154)</f>
        <v>3.0279177894983849</v>
      </c>
      <c r="M435" s="1018">
        <f>'Manufacturing Costs'!M341*'Cost Input'!$F$83*M$181/Dashboard!J$105*(1-Lists!$C$154)*(1-Lists!$D$154)</f>
        <v>3.0279177894983849</v>
      </c>
      <c r="N435" s="737"/>
    </row>
    <row r="436" spans="2:14" ht="13" outlineLevel="1" x14ac:dyDescent="0.3">
      <c r="C436" s="353" t="s">
        <v>1574</v>
      </c>
      <c r="D436" s="130"/>
      <c r="E436" s="130"/>
      <c r="F436" s="130"/>
      <c r="G436" s="1018">
        <f>SUM(G433:G435)</f>
        <v>11.278014028620019</v>
      </c>
      <c r="H436" s="1018">
        <f t="shared" ref="H436:M436" si="138">SUM(H433:H435)</f>
        <v>11.278014028620019</v>
      </c>
      <c r="I436" s="1018">
        <f t="shared" si="138"/>
        <v>11.278014028620019</v>
      </c>
      <c r="J436" s="1018">
        <f t="shared" si="138"/>
        <v>11.278014028620019</v>
      </c>
      <c r="K436" s="1018">
        <f t="shared" si="138"/>
        <v>11.278014028620019</v>
      </c>
      <c r="L436" s="1018">
        <f t="shared" si="138"/>
        <v>11.278014028620019</v>
      </c>
      <c r="M436" s="1018">
        <f t="shared" si="138"/>
        <v>11.278014028620019</v>
      </c>
      <c r="N436" s="737"/>
    </row>
    <row r="437" spans="2:14" ht="13" outlineLevel="1" x14ac:dyDescent="0.3">
      <c r="C437" s="353"/>
      <c r="D437" s="130"/>
      <c r="E437" s="130"/>
      <c r="F437" s="130"/>
      <c r="G437" s="502"/>
      <c r="H437" s="502"/>
      <c r="I437" s="502"/>
      <c r="J437" s="502"/>
      <c r="K437" s="502"/>
      <c r="L437" s="502"/>
      <c r="M437" s="502"/>
      <c r="N437" s="737"/>
    </row>
    <row r="438" spans="2:14" ht="14" outlineLevel="1" x14ac:dyDescent="0.3">
      <c r="B438" s="665" t="s">
        <v>1315</v>
      </c>
      <c r="C438" s="353"/>
      <c r="D438" s="130"/>
      <c r="E438" s="130"/>
      <c r="F438" s="130"/>
      <c r="G438" s="502"/>
      <c r="H438" s="502"/>
      <c r="I438" s="502"/>
      <c r="J438" s="502"/>
      <c r="K438" s="502"/>
      <c r="L438" s="502"/>
      <c r="M438" s="502"/>
      <c r="N438" s="737"/>
    </row>
    <row r="439" spans="2:14" ht="13" outlineLevel="1" x14ac:dyDescent="0.3">
      <c r="C439" s="353" t="s">
        <v>1571</v>
      </c>
      <c r="D439" s="130"/>
      <c r="E439" s="130"/>
      <c r="F439" s="130"/>
      <c r="G439" s="1018">
        <f ca="1">'Manufacturing Costs'!G345*'Cost Input'!$F$91*G$179/Dashboard!D$105*(1-Lists!$C$154)*(1-Lists!$D$154)</f>
        <v>4.2929040000000001</v>
      </c>
      <c r="H439" s="1018">
        <f ca="1">'Manufacturing Costs'!H345*'Cost Input'!$F$91*H$179/Dashboard!E$105*(1-Lists!$C$154)*(1-Lists!$D$154)</f>
        <v>4.2929040000000001</v>
      </c>
      <c r="I439" s="1018">
        <f ca="1">'Manufacturing Costs'!I345*'Cost Input'!$F$91*I$179/Dashboard!F$105*(1-Lists!$C$154)*(1-Lists!$D$154)</f>
        <v>4.2929039999999992</v>
      </c>
      <c r="J439" s="1018">
        <f ca="1">'Manufacturing Costs'!J345*'Cost Input'!$F$91*J$179/Dashboard!G$105*(1-Lists!$C$154)*(1-Lists!$D$154)</f>
        <v>4.2929039999999992</v>
      </c>
      <c r="K439" s="1018">
        <f ca="1">'Manufacturing Costs'!K345*'Cost Input'!$F$91*K$179/Dashboard!H$105*(1-Lists!$C$154)*(1-Lists!$D$154)</f>
        <v>4.2929039999999992</v>
      </c>
      <c r="L439" s="1018">
        <f ca="1">'Manufacturing Costs'!L345*'Cost Input'!$F$91*L$179/Dashboard!I$105*(1-Lists!$C$154)*(1-Lists!$D$154)</f>
        <v>4.2929039999999992</v>
      </c>
      <c r="M439" s="1018">
        <f ca="1">'Manufacturing Costs'!M345*'Cost Input'!$F$91*M$179/Dashboard!J$105*(1-Lists!$C$154)*(1-Lists!$D$154)</f>
        <v>4.2929040000000152</v>
      </c>
      <c r="N439" s="737"/>
    </row>
    <row r="440" spans="2:14" ht="13" outlineLevel="1" x14ac:dyDescent="0.3">
      <c r="C440" s="353" t="s">
        <v>1572</v>
      </c>
      <c r="D440" s="130"/>
      <c r="E440" s="130"/>
      <c r="F440" s="130"/>
      <c r="G440" s="1018">
        <f ca="1">'Manufacturing Costs'!G346*1000000*G$180/Dashboard!D$105*(1-Lists!$C$154)*(1-Lists!$D$154)</f>
        <v>8.1185279999999995</v>
      </c>
      <c r="H440" s="1018">
        <f ca="1">'Manufacturing Costs'!H346*1000000*H$180/Dashboard!E$105*(1-Lists!$C$154)*(1-Lists!$D$154)</f>
        <v>8.1185279999999995</v>
      </c>
      <c r="I440" s="1018">
        <f ca="1">'Manufacturing Costs'!I346*1000000*I$180/Dashboard!F$105*(1-Lists!$C$154)*(1-Lists!$D$154)</f>
        <v>8.1185279999999977</v>
      </c>
      <c r="J440" s="1018">
        <f ca="1">'Manufacturing Costs'!J346*1000000*J$180/Dashboard!G$105*(1-Lists!$C$154)*(1-Lists!$D$154)</f>
        <v>8.1185279999999977</v>
      </c>
      <c r="K440" s="1018">
        <f ca="1">'Manufacturing Costs'!K346*1000000*K$180/Dashboard!H$105*(1-Lists!$C$154)*(1-Lists!$D$154)</f>
        <v>8.1185279999999977</v>
      </c>
      <c r="L440" s="1018">
        <f ca="1">'Manufacturing Costs'!L346*1000000*L$180/Dashboard!I$105*(1-Lists!$C$154)*(1-Lists!$D$154)</f>
        <v>8.1185279999999977</v>
      </c>
      <c r="M440" s="1018">
        <f ca="1">'Manufacturing Costs'!M346*1000000*M$180/Dashboard!J$105*(1-Lists!$C$154)*(1-Lists!$D$154)</f>
        <v>8.1185280000000386</v>
      </c>
      <c r="N440" s="737"/>
    </row>
    <row r="441" spans="2:14" ht="13" outlineLevel="1" x14ac:dyDescent="0.3">
      <c r="C441" s="353" t="s">
        <v>1573</v>
      </c>
      <c r="D441" s="130"/>
      <c r="E441" s="130"/>
      <c r="F441" s="130"/>
      <c r="G441" s="1018">
        <f ca="1">'Manufacturing Costs'!G347*'Cost Input'!$F$83*G$181/Dashboard!D$105*(1-Lists!$C$154)*(1-Lists!$D$154)</f>
        <v>1.1953656000000001</v>
      </c>
      <c r="H441" s="1018">
        <f ca="1">'Manufacturing Costs'!H347*'Cost Input'!$F$83*H$181/Dashboard!E$105*(1-Lists!$C$154)*(1-Lists!$D$154)</f>
        <v>1.1953656000000001</v>
      </c>
      <c r="I441" s="1018">
        <f ca="1">'Manufacturing Costs'!I347*'Cost Input'!$F$83*I$181/Dashboard!F$105*(1-Lists!$C$154)*(1-Lists!$D$154)</f>
        <v>1.1953655999999999</v>
      </c>
      <c r="J441" s="1018">
        <f ca="1">'Manufacturing Costs'!J347*'Cost Input'!$F$83*J$181/Dashboard!G$105*(1-Lists!$C$154)*(1-Lists!$D$154)</f>
        <v>1.1953655999999999</v>
      </c>
      <c r="K441" s="1018">
        <f ca="1">'Manufacturing Costs'!K347*'Cost Input'!$F$83*K$181/Dashboard!H$105*(1-Lists!$C$154)*(1-Lists!$D$154)</f>
        <v>1.1953655999999999</v>
      </c>
      <c r="L441" s="1018">
        <f ca="1">'Manufacturing Costs'!L347*'Cost Input'!$F$83*L$181/Dashboard!I$105*(1-Lists!$C$154)*(1-Lists!$D$154)</f>
        <v>1.1953655999999999</v>
      </c>
      <c r="M441" s="1018">
        <f ca="1">'Manufacturing Costs'!M347*'Cost Input'!$F$83*M$181/Dashboard!J$105*(1-Lists!$C$154)*(1-Lists!$D$154)</f>
        <v>1.1953656000000059</v>
      </c>
      <c r="N441" s="737"/>
    </row>
    <row r="442" spans="2:14" ht="13" outlineLevel="1" x14ac:dyDescent="0.3">
      <c r="C442" s="353" t="s">
        <v>1574</v>
      </c>
      <c r="D442" s="130"/>
      <c r="E442" s="130"/>
      <c r="F442" s="130"/>
      <c r="G442" s="1018">
        <f ca="1">SUM(G439:G441)</f>
        <v>13.6067976</v>
      </c>
      <c r="H442" s="1018">
        <f t="shared" ref="H442:M442" ca="1" si="139">SUM(H439:H441)</f>
        <v>13.6067976</v>
      </c>
      <c r="I442" s="1018">
        <f t="shared" ca="1" si="139"/>
        <v>13.606797599999998</v>
      </c>
      <c r="J442" s="1018">
        <f t="shared" ca="1" si="139"/>
        <v>13.606797599999998</v>
      </c>
      <c r="K442" s="1018">
        <f t="shared" ca="1" si="139"/>
        <v>13.606797599999998</v>
      </c>
      <c r="L442" s="1018">
        <f t="shared" ca="1" si="139"/>
        <v>13.606797599999998</v>
      </c>
      <c r="M442" s="1018">
        <f t="shared" ca="1" si="139"/>
        <v>13.606797600000061</v>
      </c>
      <c r="N442" s="737"/>
    </row>
    <row r="443" spans="2:14" ht="13" outlineLevel="1" x14ac:dyDescent="0.3">
      <c r="C443" s="353"/>
      <c r="D443" s="130"/>
      <c r="E443" s="130"/>
      <c r="F443" s="130"/>
      <c r="G443" s="502"/>
      <c r="H443" s="502"/>
      <c r="I443" s="502"/>
      <c r="J443" s="502"/>
      <c r="K443" s="502"/>
      <c r="L443" s="502"/>
      <c r="M443" s="502"/>
      <c r="N443" s="737"/>
    </row>
    <row r="444" spans="2:14" ht="14" outlineLevel="1" x14ac:dyDescent="0.3">
      <c r="B444" s="665" t="s">
        <v>1585</v>
      </c>
      <c r="C444" s="353"/>
      <c r="D444" s="130"/>
      <c r="E444" s="130"/>
      <c r="F444" s="130"/>
      <c r="G444" s="502"/>
      <c r="H444" s="502"/>
      <c r="I444" s="502"/>
      <c r="J444" s="502"/>
      <c r="K444" s="502"/>
      <c r="L444" s="502"/>
      <c r="M444" s="502"/>
      <c r="N444" s="737"/>
    </row>
    <row r="445" spans="2:14" ht="13" outlineLevel="1" x14ac:dyDescent="0.3">
      <c r="C445" s="353" t="s">
        <v>1571</v>
      </c>
      <c r="D445" s="130"/>
      <c r="E445" s="130"/>
      <c r="F445" s="130"/>
      <c r="G445" s="1018">
        <f t="shared" ref="G445:M447" ca="1" si="140">G421+G427+G433+G439</f>
        <v>9.4232370765325228</v>
      </c>
      <c r="H445" s="1018">
        <f t="shared" ca="1" si="140"/>
        <v>9.4232370765325228</v>
      </c>
      <c r="I445" s="1018">
        <f t="shared" ca="1" si="140"/>
        <v>9.4222887169900424</v>
      </c>
      <c r="J445" s="1018">
        <f t="shared" ca="1" si="140"/>
        <v>9.4211209959898738</v>
      </c>
      <c r="K445" s="1018">
        <f t="shared" ca="1" si="140"/>
        <v>9.4197706162982833</v>
      </c>
      <c r="L445" s="1018">
        <f t="shared" ca="1" si="140"/>
        <v>9.4181522692682478</v>
      </c>
      <c r="M445" s="1018">
        <f t="shared" ca="1" si="140"/>
        <v>9.4160156308004197</v>
      </c>
      <c r="N445" s="737"/>
    </row>
    <row r="446" spans="2:14" ht="13" outlineLevel="1" x14ac:dyDescent="0.3">
      <c r="C446" s="353" t="s">
        <v>1572</v>
      </c>
      <c r="D446" s="130"/>
      <c r="E446" s="130"/>
      <c r="F446" s="130"/>
      <c r="G446" s="1018">
        <f t="shared" ca="1" si="140"/>
        <v>893.75578465006947</v>
      </c>
      <c r="H446" s="1018">
        <f t="shared" ca="1" si="140"/>
        <v>893.75578465006947</v>
      </c>
      <c r="I446" s="1018">
        <f t="shared" ca="1" si="140"/>
        <v>893.73500742422516</v>
      </c>
      <c r="J446" s="1018">
        <f t="shared" ca="1" si="140"/>
        <v>893.70943962737488</v>
      </c>
      <c r="K446" s="1018">
        <f t="shared" ca="1" si="140"/>
        <v>893.67989353134158</v>
      </c>
      <c r="L446" s="1018">
        <f t="shared" ca="1" si="140"/>
        <v>893.64451416427755</v>
      </c>
      <c r="M446" s="1018">
        <f t="shared" ca="1" si="140"/>
        <v>893.59785399924613</v>
      </c>
      <c r="N446" s="737"/>
    </row>
    <row r="447" spans="2:14" ht="13" outlineLevel="1" x14ac:dyDescent="0.3">
      <c r="C447" s="353" t="s">
        <v>1573</v>
      </c>
      <c r="D447" s="130"/>
      <c r="E447" s="130"/>
      <c r="F447" s="130"/>
      <c r="G447" s="1018">
        <f t="shared" ca="1" si="140"/>
        <v>5.2384902705001064</v>
      </c>
      <c r="H447" s="1018">
        <f t="shared" ca="1" si="140"/>
        <v>5.2384902705001064</v>
      </c>
      <c r="I447" s="1018">
        <f t="shared" ca="1" si="140"/>
        <v>5.2373397937777009</v>
      </c>
      <c r="J447" s="1018">
        <f t="shared" ca="1" si="140"/>
        <v>5.2359240535176648</v>
      </c>
      <c r="K447" s="1018">
        <f t="shared" ca="1" si="140"/>
        <v>5.2342880268421448</v>
      </c>
      <c r="L447" s="1018">
        <f t="shared" ca="1" si="140"/>
        <v>5.2323290002345573</v>
      </c>
      <c r="M447" s="1018">
        <f t="shared" ca="1" si="140"/>
        <v>5.2297453331877719</v>
      </c>
      <c r="N447" s="737"/>
    </row>
    <row r="448" spans="2:14" ht="13" outlineLevel="1" x14ac:dyDescent="0.3">
      <c r="C448" s="353" t="s">
        <v>1574</v>
      </c>
      <c r="D448" s="130"/>
      <c r="E448" s="130"/>
      <c r="F448" s="130"/>
      <c r="G448" s="1018">
        <f ca="1">G424+G430+G436+G442</f>
        <v>908.41751199710211</v>
      </c>
      <c r="H448" s="1018">
        <f t="shared" ref="H448:M448" ca="1" si="141">H424+H430+H436+H442</f>
        <v>908.41751199710211</v>
      </c>
      <c r="I448" s="1018">
        <f t="shared" ca="1" si="141"/>
        <v>908.39463593499295</v>
      </c>
      <c r="J448" s="1018">
        <f t="shared" ca="1" si="141"/>
        <v>908.36648467688246</v>
      </c>
      <c r="K448" s="1018">
        <f t="shared" ca="1" si="141"/>
        <v>908.33395217448196</v>
      </c>
      <c r="L448" s="1018">
        <f t="shared" ca="1" si="141"/>
        <v>908.2949954337804</v>
      </c>
      <c r="M448" s="1018">
        <f t="shared" ca="1" si="141"/>
        <v>908.24361496323422</v>
      </c>
      <c r="N448" s="737"/>
    </row>
    <row r="449" spans="2:14" ht="13" outlineLevel="1" x14ac:dyDescent="0.3">
      <c r="C449" s="353"/>
      <c r="D449" s="130"/>
      <c r="E449" s="130"/>
      <c r="F449" s="130"/>
      <c r="G449" s="502"/>
      <c r="H449" s="502"/>
      <c r="I449" s="502"/>
      <c r="J449" s="502"/>
      <c r="K449" s="502"/>
      <c r="L449" s="502"/>
      <c r="M449" s="502"/>
      <c r="N449" s="737"/>
    </row>
    <row r="450" spans="2:14" ht="15.5" outlineLevel="1" x14ac:dyDescent="0.35">
      <c r="B450" s="6" t="s">
        <v>1586</v>
      </c>
      <c r="C450" s="353"/>
      <c r="D450" s="130"/>
      <c r="E450" s="130"/>
      <c r="F450" s="130"/>
      <c r="G450" s="502"/>
      <c r="H450" s="502"/>
      <c r="I450" s="502"/>
      <c r="J450" s="502"/>
      <c r="K450" s="502"/>
      <c r="L450" s="502"/>
      <c r="M450" s="502"/>
      <c r="N450" s="737"/>
    </row>
    <row r="451" spans="2:14" ht="14" outlineLevel="1" x14ac:dyDescent="0.3">
      <c r="B451" s="665" t="s">
        <v>1587</v>
      </c>
      <c r="C451" s="353"/>
      <c r="D451" s="130"/>
      <c r="E451" s="130"/>
      <c r="F451" s="130"/>
      <c r="G451" s="502"/>
      <c r="H451" s="502"/>
      <c r="I451" s="502"/>
      <c r="J451" s="502"/>
      <c r="K451" s="502"/>
      <c r="L451" s="502"/>
      <c r="M451" s="502"/>
      <c r="N451" s="737"/>
    </row>
    <row r="452" spans="2:14" ht="13" outlineLevel="1" x14ac:dyDescent="0.3">
      <c r="B452" s="353" t="s">
        <v>1588</v>
      </c>
      <c r="D452" s="130"/>
      <c r="E452" s="130"/>
      <c r="F452" s="130"/>
      <c r="G452" s="1018">
        <f ca="1">G340</f>
        <v>484.03837095295921</v>
      </c>
      <c r="H452" s="1018">
        <f t="shared" ref="H452:M452" ca="1" si="142">H340</f>
        <v>484.03837095295921</v>
      </c>
      <c r="I452" s="1018">
        <f t="shared" ca="1" si="142"/>
        <v>498.48400052682354</v>
      </c>
      <c r="J452" s="1018">
        <f t="shared" ca="1" si="142"/>
        <v>520.82628940414395</v>
      </c>
      <c r="K452" s="1018">
        <f t="shared" ca="1" si="142"/>
        <v>556.13145155449365</v>
      </c>
      <c r="L452" s="1018">
        <f t="shared" ca="1" si="142"/>
        <v>622.9583482487443</v>
      </c>
      <c r="M452" s="1018">
        <f t="shared" ca="1" si="142"/>
        <v>828.74768212905019</v>
      </c>
      <c r="N452" s="737"/>
    </row>
    <row r="453" spans="2:14" ht="13" outlineLevel="1" x14ac:dyDescent="0.3">
      <c r="B453" s="353" t="s">
        <v>1589</v>
      </c>
      <c r="D453" s="130"/>
      <c r="E453" s="130"/>
      <c r="F453" s="130"/>
      <c r="G453" s="1018">
        <f ca="1">G389</f>
        <v>411.99978191840933</v>
      </c>
      <c r="H453" s="1018">
        <f t="shared" ref="H453:M453" ca="1" si="143">H389</f>
        <v>411.99978191840933</v>
      </c>
      <c r="I453" s="1018">
        <f t="shared" ca="1" si="143"/>
        <v>413.95856374846051</v>
      </c>
      <c r="J453" s="1018">
        <f t="shared" ca="1" si="143"/>
        <v>417.017269005515</v>
      </c>
      <c r="K453" s="1018">
        <f t="shared" ca="1" si="143"/>
        <v>421.91323466547885</v>
      </c>
      <c r="L453" s="1018">
        <f t="shared" ca="1" si="143"/>
        <v>444.21675291691355</v>
      </c>
      <c r="M453" s="1018">
        <f t="shared" ca="1" si="143"/>
        <v>532.06817133356685</v>
      </c>
      <c r="N453" s="737"/>
    </row>
    <row r="454" spans="2:14" ht="13" outlineLevel="1" x14ac:dyDescent="0.3">
      <c r="B454" s="353" t="s">
        <v>1590</v>
      </c>
      <c r="D454" s="130"/>
      <c r="E454" s="130"/>
      <c r="F454" s="130"/>
      <c r="G454" s="1018">
        <f ca="1">G396</f>
        <v>573.81292434470049</v>
      </c>
      <c r="H454" s="1018">
        <f t="shared" ref="H454:M454" ca="1" si="144">H396</f>
        <v>573.81292434470049</v>
      </c>
      <c r="I454" s="1018">
        <f t="shared" ca="1" si="144"/>
        <v>573.60749631338365</v>
      </c>
      <c r="J454" s="1018">
        <f t="shared" ca="1" si="144"/>
        <v>573.35448410441279</v>
      </c>
      <c r="K454" s="1018">
        <f t="shared" ca="1" si="144"/>
        <v>573.06180206716806</v>
      </c>
      <c r="L454" s="1018">
        <f t="shared" ca="1" si="144"/>
        <v>572.71090930620028</v>
      </c>
      <c r="M454" s="1018">
        <f t="shared" ca="1" si="144"/>
        <v>572.24742006207066</v>
      </c>
      <c r="N454" s="737"/>
    </row>
    <row r="455" spans="2:14" ht="13" outlineLevel="1" x14ac:dyDescent="0.3">
      <c r="B455" s="353" t="s">
        <v>1591</v>
      </c>
      <c r="D455" s="130"/>
      <c r="E455" s="130"/>
      <c r="F455" s="130"/>
      <c r="G455" s="1018">
        <f>G403</f>
        <v>88.388255999999998</v>
      </c>
      <c r="H455" s="1018">
        <f t="shared" ref="H455:M455" si="145">H403</f>
        <v>88.388255999999998</v>
      </c>
      <c r="I455" s="1018">
        <f t="shared" si="145"/>
        <v>88.388255999999998</v>
      </c>
      <c r="J455" s="1018">
        <f t="shared" si="145"/>
        <v>88.388255999999998</v>
      </c>
      <c r="K455" s="1018">
        <f t="shared" si="145"/>
        <v>88.388255999999998</v>
      </c>
      <c r="L455" s="1018">
        <f t="shared" si="145"/>
        <v>88.388255999999998</v>
      </c>
      <c r="M455" s="1018">
        <f t="shared" si="145"/>
        <v>88.388255999999998</v>
      </c>
      <c r="N455" s="737"/>
    </row>
    <row r="456" spans="2:14" ht="13" outlineLevel="1" x14ac:dyDescent="0.3">
      <c r="B456" s="353" t="s">
        <v>1592</v>
      </c>
      <c r="D456" s="130"/>
      <c r="E456" s="130"/>
      <c r="F456" s="130"/>
      <c r="G456" s="1018">
        <f>G410</f>
        <v>86.521776000000003</v>
      </c>
      <c r="H456" s="1018">
        <f t="shared" ref="H456:M456" si="146">H410</f>
        <v>86.521776000000003</v>
      </c>
      <c r="I456" s="1018">
        <f t="shared" si="146"/>
        <v>86.521776000000003</v>
      </c>
      <c r="J456" s="1018">
        <f t="shared" si="146"/>
        <v>86.521776000000003</v>
      </c>
      <c r="K456" s="1018">
        <f t="shared" si="146"/>
        <v>86.521776000000003</v>
      </c>
      <c r="L456" s="1018">
        <f t="shared" si="146"/>
        <v>86.521776000000003</v>
      </c>
      <c r="M456" s="1018">
        <f t="shared" si="146"/>
        <v>86.521776000000003</v>
      </c>
      <c r="N456" s="737"/>
    </row>
    <row r="457" spans="2:14" ht="13" outlineLevel="1" x14ac:dyDescent="0.3">
      <c r="B457" s="353" t="s">
        <v>1593</v>
      </c>
      <c r="D457" s="130"/>
      <c r="E457" s="130"/>
      <c r="F457" s="130"/>
      <c r="G457" s="1018">
        <f ca="1">G417</f>
        <v>113.56976400000001</v>
      </c>
      <c r="H457" s="1018">
        <f t="shared" ref="H457:M457" ca="1" si="147">H417</f>
        <v>113.56976400000001</v>
      </c>
      <c r="I457" s="1018">
        <f t="shared" ca="1" si="147"/>
        <v>113.56976399999999</v>
      </c>
      <c r="J457" s="1018">
        <f t="shared" ca="1" si="147"/>
        <v>113.56976399999999</v>
      </c>
      <c r="K457" s="1018">
        <f t="shared" ca="1" si="147"/>
        <v>113.56976399999999</v>
      </c>
      <c r="L457" s="1018">
        <f t="shared" ca="1" si="147"/>
        <v>113.56976399999999</v>
      </c>
      <c r="M457" s="1018">
        <f t="shared" ca="1" si="147"/>
        <v>113.56976400000053</v>
      </c>
      <c r="N457" s="737"/>
    </row>
    <row r="458" spans="2:14" ht="13" outlineLevel="1" x14ac:dyDescent="0.3">
      <c r="B458" s="353" t="s">
        <v>1594</v>
      </c>
      <c r="D458" s="130"/>
      <c r="E458" s="130"/>
      <c r="F458" s="130"/>
      <c r="G458" s="1018">
        <f ca="1">G448</f>
        <v>908.41751199710211</v>
      </c>
      <c r="H458" s="1018">
        <f t="shared" ref="H458:M458" ca="1" si="148">H448</f>
        <v>908.41751199710211</v>
      </c>
      <c r="I458" s="1018">
        <f t="shared" ca="1" si="148"/>
        <v>908.39463593499295</v>
      </c>
      <c r="J458" s="1018">
        <f t="shared" ca="1" si="148"/>
        <v>908.36648467688246</v>
      </c>
      <c r="K458" s="1018">
        <f t="shared" ca="1" si="148"/>
        <v>908.33395217448196</v>
      </c>
      <c r="L458" s="1018">
        <f t="shared" ca="1" si="148"/>
        <v>908.2949954337804</v>
      </c>
      <c r="M458" s="1018">
        <f t="shared" ca="1" si="148"/>
        <v>908.24361496323422</v>
      </c>
      <c r="N458" s="737"/>
    </row>
    <row r="459" spans="2:14" ht="13" outlineLevel="1" x14ac:dyDescent="0.3">
      <c r="B459" s="353" t="s">
        <v>1595</v>
      </c>
      <c r="D459" s="130"/>
      <c r="E459" s="130"/>
      <c r="F459" s="130"/>
      <c r="G459" s="1018">
        <f ca="1">SUM(G452:G458)</f>
        <v>2666.7483852131709</v>
      </c>
      <c r="H459" s="1018">
        <f t="shared" ref="H459:M459" ca="1" si="149">SUM(H452:H458)</f>
        <v>2666.7483852131709</v>
      </c>
      <c r="I459" s="1018">
        <f t="shared" ca="1" si="149"/>
        <v>2682.9244925236608</v>
      </c>
      <c r="J459" s="1018">
        <f t="shared" ca="1" si="149"/>
        <v>2708.0443231909544</v>
      </c>
      <c r="K459" s="1018">
        <f t="shared" ca="1" si="149"/>
        <v>2747.9202364616226</v>
      </c>
      <c r="L459" s="1018">
        <f t="shared" ca="1" si="149"/>
        <v>2836.6608019056389</v>
      </c>
      <c r="M459" s="1018">
        <f t="shared" ca="1" si="149"/>
        <v>3129.7866844879218</v>
      </c>
      <c r="N459" s="737"/>
    </row>
    <row r="460" spans="2:14" ht="13" outlineLevel="1" x14ac:dyDescent="0.3">
      <c r="B460" s="353"/>
      <c r="D460" s="130"/>
      <c r="E460" s="130"/>
      <c r="F460" s="130"/>
      <c r="G460" s="1018"/>
      <c r="H460" s="1018"/>
      <c r="I460" s="1018"/>
      <c r="J460" s="1018"/>
      <c r="K460" s="1018"/>
      <c r="L460" s="1018"/>
      <c r="M460" s="1018"/>
      <c r="N460" s="737"/>
    </row>
    <row r="461" spans="2:14" ht="14" outlineLevel="1" x14ac:dyDescent="0.3">
      <c r="B461" s="665" t="s">
        <v>1596</v>
      </c>
      <c r="D461" s="130"/>
      <c r="E461" s="130"/>
      <c r="F461" s="130"/>
      <c r="G461" s="1018"/>
      <c r="H461" s="1018"/>
      <c r="I461" s="1018"/>
      <c r="J461" s="1018"/>
      <c r="K461" s="1018"/>
      <c r="L461" s="1018"/>
      <c r="M461" s="1018"/>
      <c r="N461" s="737"/>
    </row>
    <row r="462" spans="2:14" ht="13" outlineLevel="1" x14ac:dyDescent="0.3">
      <c r="B462" s="353" t="s">
        <v>1448</v>
      </c>
      <c r="D462" s="130"/>
      <c r="E462" s="130"/>
      <c r="F462" s="130"/>
      <c r="G462" s="1018">
        <f ca="1">G337+G386+G393+G400+G407+G414+G445</f>
        <v>326.56179454369754</v>
      </c>
      <c r="H462" s="1018">
        <f t="shared" ref="H462:M462" ca="1" si="150">H337+H386+H393+H400+H407+H414+H445</f>
        <v>326.56179454369754</v>
      </c>
      <c r="I462" s="1018">
        <f t="shared" ca="1" si="150"/>
        <v>331.54241654838944</v>
      </c>
      <c r="J462" s="1018">
        <f t="shared" ca="1" si="150"/>
        <v>339.15296900274541</v>
      </c>
      <c r="K462" s="1018">
        <f t="shared" ca="1" si="150"/>
        <v>351.0010559277145</v>
      </c>
      <c r="L462" s="1018">
        <f t="shared" ca="1" si="150"/>
        <v>372.864393993801</v>
      </c>
      <c r="M462" s="1018">
        <f t="shared" ca="1" si="150"/>
        <v>436.87048320224648</v>
      </c>
      <c r="N462" s="737"/>
    </row>
    <row r="463" spans="2:14" ht="13" outlineLevel="1" x14ac:dyDescent="0.3">
      <c r="B463" s="353" t="s">
        <v>1597</v>
      </c>
      <c r="D463" s="130"/>
      <c r="E463" s="130"/>
      <c r="F463" s="130"/>
      <c r="G463" s="1018">
        <f t="shared" ref="G463:M464" ca="1" si="151">G338+G387+G394+G401+G408+G415+G446</f>
        <v>2077.9578509355597</v>
      </c>
      <c r="H463" s="1018">
        <f t="shared" ca="1" si="151"/>
        <v>2077.9578509355597</v>
      </c>
      <c r="I463" s="1018">
        <f t="shared" ca="1" si="151"/>
        <v>2086.6190426177263</v>
      </c>
      <c r="J463" s="1018">
        <f t="shared" ca="1" si="151"/>
        <v>2100.1395563871051</v>
      </c>
      <c r="K463" s="1018">
        <f t="shared" ca="1" si="151"/>
        <v>2121.6933394568568</v>
      </c>
      <c r="L463" s="1018">
        <f t="shared" ca="1" si="151"/>
        <v>2163.6686149715306</v>
      </c>
      <c r="M463" s="1018">
        <f t="shared" ca="1" si="151"/>
        <v>2295.3473653213819</v>
      </c>
      <c r="N463" s="737"/>
    </row>
    <row r="464" spans="2:14" ht="13" outlineLevel="1" x14ac:dyDescent="0.3">
      <c r="B464" s="353" t="s">
        <v>1598</v>
      </c>
      <c r="D464" s="130"/>
      <c r="E464" s="130"/>
      <c r="F464" s="130"/>
      <c r="G464" s="1018">
        <f t="shared" ca="1" si="151"/>
        <v>262.22873973391353</v>
      </c>
      <c r="H464" s="1018">
        <f t="shared" ca="1" si="151"/>
        <v>262.22873973391353</v>
      </c>
      <c r="I464" s="1018">
        <f t="shared" ca="1" si="151"/>
        <v>264.76303335754505</v>
      </c>
      <c r="J464" s="1018">
        <f t="shared" ca="1" si="151"/>
        <v>268.75179780110346</v>
      </c>
      <c r="K464" s="1018">
        <f t="shared" ca="1" si="151"/>
        <v>275.22584107705069</v>
      </c>
      <c r="L464" s="1018">
        <f t="shared" ca="1" si="151"/>
        <v>300.12779294030645</v>
      </c>
      <c r="M464" s="1018">
        <f t="shared" ca="1" si="151"/>
        <v>397.56883596429412</v>
      </c>
      <c r="N464" s="737"/>
    </row>
    <row r="465" spans="2:16" ht="13" outlineLevel="1" x14ac:dyDescent="0.3">
      <c r="B465" s="353" t="s">
        <v>1595</v>
      </c>
      <c r="D465" s="130"/>
      <c r="E465" s="130"/>
      <c r="F465" s="130"/>
      <c r="G465" s="1018">
        <f ca="1">SUM(G462:G464)</f>
        <v>2666.7483852131709</v>
      </c>
      <c r="H465" s="1018">
        <f t="shared" ref="H465:M465" ca="1" si="152">SUM(H462:H464)</f>
        <v>2666.7483852131709</v>
      </c>
      <c r="I465" s="1018">
        <f t="shared" ca="1" si="152"/>
        <v>2682.9244925236608</v>
      </c>
      <c r="J465" s="1018">
        <f t="shared" ca="1" si="152"/>
        <v>2708.0443231909539</v>
      </c>
      <c r="K465" s="1018">
        <f t="shared" ca="1" si="152"/>
        <v>2747.9202364616217</v>
      </c>
      <c r="L465" s="1018">
        <f t="shared" ca="1" si="152"/>
        <v>2836.660801905638</v>
      </c>
      <c r="M465" s="1018">
        <f t="shared" ca="1" si="152"/>
        <v>3129.7866844879222</v>
      </c>
      <c r="N465" s="737"/>
    </row>
    <row r="466" spans="2:16" ht="13" outlineLevel="1" x14ac:dyDescent="0.3">
      <c r="C466" s="353"/>
      <c r="D466" s="130"/>
      <c r="E466" s="130"/>
      <c r="F466" s="130"/>
      <c r="G466" s="502"/>
      <c r="H466" s="502"/>
      <c r="I466" s="502"/>
      <c r="J466" s="502"/>
      <c r="K466" s="502"/>
      <c r="L466" s="502"/>
      <c r="M466" s="502"/>
      <c r="N466" s="737"/>
    </row>
    <row r="467" spans="2:16" ht="15.5" outlineLevel="1" x14ac:dyDescent="0.35">
      <c r="B467" s="6" t="s">
        <v>1599</v>
      </c>
      <c r="C467" s="353"/>
      <c r="D467" s="130"/>
      <c r="E467" s="130"/>
      <c r="F467" s="130"/>
      <c r="G467" s="502"/>
      <c r="H467" s="502"/>
      <c r="I467" s="502"/>
      <c r="J467" s="502"/>
      <c r="K467" s="502"/>
      <c r="L467" s="502"/>
      <c r="M467" s="502"/>
      <c r="N467" s="737"/>
    </row>
    <row r="468" spans="2:16" ht="13" outlineLevel="1" x14ac:dyDescent="0.3">
      <c r="B468" s="353" t="s">
        <v>1600</v>
      </c>
      <c r="C468" s="353"/>
      <c r="D468" s="130"/>
      <c r="E468" s="130"/>
      <c r="F468" s="130"/>
      <c r="G468" s="1018">
        <f t="shared" ref="G468:M468" ca="1" si="153">G195</f>
        <v>6374.2676224454053</v>
      </c>
      <c r="H468" s="1018">
        <f t="shared" ca="1" si="153"/>
        <v>6374.2676224454053</v>
      </c>
      <c r="I468" s="1018">
        <f t="shared" ca="1" si="153"/>
        <v>6447.283600322151</v>
      </c>
      <c r="J468" s="1018">
        <f t="shared" ca="1" si="153"/>
        <v>6565.5168832207364</v>
      </c>
      <c r="K468" s="1018">
        <f t="shared" ca="1" si="153"/>
        <v>6759.8361408674073</v>
      </c>
      <c r="L468" s="1018">
        <f t="shared" ca="1" si="153"/>
        <v>7153.3401276240193</v>
      </c>
      <c r="M468" s="1018">
        <f t="shared" ca="1" si="153"/>
        <v>8491.4738660523963</v>
      </c>
      <c r="N468" s="737"/>
    </row>
    <row r="469" spans="2:16" ht="13" outlineLevel="1" x14ac:dyDescent="0.3">
      <c r="B469" s="353" t="s">
        <v>1601</v>
      </c>
      <c r="C469" s="353"/>
      <c r="D469" s="130"/>
      <c r="E469" s="130"/>
      <c r="F469" s="130"/>
      <c r="G469" s="1018">
        <f ca="1">G232</f>
        <v>1588.7715416083001</v>
      </c>
      <c r="H469" s="1018">
        <f t="shared" ref="H469:M469" ca="1" si="154">H232</f>
        <v>1588.7715416083001</v>
      </c>
      <c r="I469" s="1018">
        <f t="shared" ca="1" si="154"/>
        <v>1589.5209543252715</v>
      </c>
      <c r="J469" s="1018">
        <f t="shared" ca="1" si="154"/>
        <v>1593.1785381979691</v>
      </c>
      <c r="K469" s="1018">
        <f t="shared" ca="1" si="154"/>
        <v>1594.8998301757313</v>
      </c>
      <c r="L469" s="1018">
        <f t="shared" ca="1" si="154"/>
        <v>1604.1585927281997</v>
      </c>
      <c r="M469" s="1018">
        <f t="shared" ca="1" si="154"/>
        <v>1630.8202708057784</v>
      </c>
      <c r="N469" s="737"/>
    </row>
    <row r="470" spans="2:16" ht="13" outlineLevel="1" x14ac:dyDescent="0.3">
      <c r="B470" s="353" t="s">
        <v>1602</v>
      </c>
      <c r="C470" s="353"/>
      <c r="D470" s="130"/>
      <c r="E470" s="130"/>
      <c r="F470" s="130"/>
      <c r="G470" s="1018">
        <f ca="1">G238</f>
        <v>379.26995152642348</v>
      </c>
      <c r="H470" s="1018">
        <f t="shared" ref="H470:M470" ca="1" si="155">H238</f>
        <v>379.26995152642348</v>
      </c>
      <c r="I470" s="1018">
        <f t="shared" ca="1" si="155"/>
        <v>379.26995152642348</v>
      </c>
      <c r="J470" s="1018">
        <f t="shared" ca="1" si="155"/>
        <v>379.26995152642348</v>
      </c>
      <c r="K470" s="1018">
        <f t="shared" ca="1" si="155"/>
        <v>379.26995152642348</v>
      </c>
      <c r="L470" s="1018">
        <f t="shared" ca="1" si="155"/>
        <v>379.26995152642348</v>
      </c>
      <c r="M470" s="1018">
        <f t="shared" ca="1" si="155"/>
        <v>379.26995152642348</v>
      </c>
      <c r="N470" s="737"/>
    </row>
    <row r="471" spans="2:16" ht="13" outlineLevel="1" x14ac:dyDescent="0.3">
      <c r="B471" s="353" t="s">
        <v>1603</v>
      </c>
      <c r="C471" s="353"/>
      <c r="D471" s="130"/>
      <c r="E471" s="130"/>
      <c r="F471" s="130"/>
      <c r="G471" s="1018">
        <f ca="1">G459</f>
        <v>2666.7483852131709</v>
      </c>
      <c r="H471" s="1018">
        <f t="shared" ref="H471:M471" ca="1" si="156">H459</f>
        <v>2666.7483852131709</v>
      </c>
      <c r="I471" s="1018">
        <f t="shared" ca="1" si="156"/>
        <v>2682.9244925236608</v>
      </c>
      <c r="J471" s="1018">
        <f t="shared" ca="1" si="156"/>
        <v>2708.0443231909544</v>
      </c>
      <c r="K471" s="1018">
        <f t="shared" ca="1" si="156"/>
        <v>2747.9202364616226</v>
      </c>
      <c r="L471" s="1018">
        <f t="shared" ca="1" si="156"/>
        <v>2836.6608019056389</v>
      </c>
      <c r="M471" s="1018">
        <f t="shared" ca="1" si="156"/>
        <v>3129.7866844879218</v>
      </c>
      <c r="N471" s="737"/>
    </row>
    <row r="472" spans="2:16" ht="13" outlineLevel="1" x14ac:dyDescent="0.3">
      <c r="B472" s="353" t="s">
        <v>1604</v>
      </c>
      <c r="C472" s="353"/>
      <c r="D472" s="130"/>
      <c r="E472" s="130"/>
      <c r="F472" s="130"/>
      <c r="G472" s="1018">
        <f ca="1">SUM(G468:G471)</f>
        <v>11009.0575007933</v>
      </c>
      <c r="H472" s="1018">
        <f t="shared" ref="H472:M472" ca="1" si="157">SUM(H468:H471)</f>
        <v>11009.0575007933</v>
      </c>
      <c r="I472" s="1018">
        <f t="shared" ca="1" si="157"/>
        <v>11098.998998697505</v>
      </c>
      <c r="J472" s="1018">
        <f t="shared" ca="1" si="157"/>
        <v>11246.009696136083</v>
      </c>
      <c r="K472" s="1018">
        <f t="shared" ca="1" si="157"/>
        <v>11481.926159031185</v>
      </c>
      <c r="L472" s="1018">
        <f t="shared" ca="1" si="157"/>
        <v>11973.429473784281</v>
      </c>
      <c r="M472" s="1018">
        <f t="shared" ca="1" si="157"/>
        <v>13631.35077287252</v>
      </c>
      <c r="N472" s="737"/>
    </row>
    <row r="473" spans="2:16" ht="13.5" thickBot="1" x14ac:dyDescent="0.35">
      <c r="C473" s="353"/>
      <c r="D473" s="130"/>
      <c r="E473" s="130"/>
      <c r="F473" s="130"/>
      <c r="G473" s="502"/>
      <c r="H473" s="502"/>
      <c r="I473" s="502"/>
      <c r="J473" s="502"/>
      <c r="K473" s="502"/>
      <c r="L473" s="502"/>
      <c r="M473" s="502"/>
      <c r="N473" s="737"/>
    </row>
    <row r="474" spans="2:16" ht="20.5" thickBot="1" x14ac:dyDescent="0.45">
      <c r="B474" s="1453" t="s">
        <v>1605</v>
      </c>
      <c r="C474" s="1454"/>
      <c r="D474" s="1454"/>
      <c r="E474" s="1454"/>
      <c r="F474" s="1454"/>
      <c r="G474" s="1454"/>
      <c r="H474" s="1454"/>
      <c r="I474" s="1454"/>
      <c r="J474" s="1454"/>
      <c r="K474" s="1454"/>
      <c r="L474" s="1454"/>
      <c r="M474" s="1455"/>
      <c r="P474" s="40"/>
    </row>
    <row r="476" spans="2:16" ht="15.5" outlineLevel="1" x14ac:dyDescent="0.35">
      <c r="B476" s="6" t="s">
        <v>1606</v>
      </c>
    </row>
    <row r="477" spans="2:16" ht="14" outlineLevel="1" x14ac:dyDescent="0.3">
      <c r="B477" s="665" t="s">
        <v>1446</v>
      </c>
    </row>
    <row r="478" spans="2:16" outlineLevel="1" x14ac:dyDescent="0.25">
      <c r="B478" s="353" t="s">
        <v>1512</v>
      </c>
      <c r="G478" s="1358">
        <f ca="1">G185/G$472</f>
        <v>0.36716732720272444</v>
      </c>
      <c r="H478" s="1358">
        <f t="shared" ref="H478:L478" ca="1" si="158">H185/H$472</f>
        <v>0.36716732720272444</v>
      </c>
      <c r="I478" s="1358">
        <f t="shared" ca="1" si="158"/>
        <v>0.36375753437264169</v>
      </c>
      <c r="J478" s="1358">
        <f t="shared" ca="1" si="158"/>
        <v>0.35847483443055084</v>
      </c>
      <c r="K478" s="1358">
        <f t="shared" ca="1" si="158"/>
        <v>0.35051225165189126</v>
      </c>
      <c r="L478" s="1358">
        <f t="shared" ca="1" si="158"/>
        <v>0.33543834569655051</v>
      </c>
      <c r="M478" s="1358">
        <f ca="1">M185/M$472</f>
        <v>0.29384637183089224</v>
      </c>
    </row>
    <row r="479" spans="2:16" outlineLevel="1" x14ac:dyDescent="0.25">
      <c r="B479" s="353" t="s">
        <v>1513</v>
      </c>
      <c r="G479" s="1358">
        <f t="shared" ref="G479:M479" ca="1" si="159">G186/G$472</f>
        <v>9.5794403396300229E-2</v>
      </c>
      <c r="H479" s="1358">
        <f t="shared" ca="1" si="159"/>
        <v>9.5794403396300229E-2</v>
      </c>
      <c r="I479" s="1358">
        <f t="shared" ca="1" si="159"/>
        <v>9.4882698369287685E-2</v>
      </c>
      <c r="J479" s="1358">
        <f t="shared" ca="1" si="159"/>
        <v>9.3490367372609129E-2</v>
      </c>
      <c r="K479" s="1358">
        <f t="shared" ca="1" si="159"/>
        <v>9.1354851859021521E-2</v>
      </c>
      <c r="L479" s="1358">
        <f t="shared" ca="1" si="159"/>
        <v>8.7360666543922175E-2</v>
      </c>
      <c r="M479" s="1358">
        <f t="shared" ca="1" si="159"/>
        <v>7.6328979929812843E-2</v>
      </c>
    </row>
    <row r="480" spans="2:16" outlineLevel="1" x14ac:dyDescent="0.25">
      <c r="B480" s="353" t="s">
        <v>1514</v>
      </c>
      <c r="G480" s="1358">
        <f t="shared" ref="G480:M480" ca="1" si="160">G187/G$472</f>
        <v>2.0594321237332302E-3</v>
      </c>
      <c r="H480" s="1358">
        <f t="shared" ca="1" si="160"/>
        <v>2.0594321237332302E-3</v>
      </c>
      <c r="I480" s="1358">
        <f t="shared" ca="1" si="160"/>
        <v>2.0403066831798816E-3</v>
      </c>
      <c r="J480" s="1358">
        <f t="shared" ca="1" si="160"/>
        <v>2.0106761546585389E-3</v>
      </c>
      <c r="K480" s="1358">
        <f t="shared" ca="1" si="160"/>
        <v>1.9660142320218257E-3</v>
      </c>
      <c r="L480" s="1358">
        <f t="shared" ca="1" si="160"/>
        <v>1.8814650800287297E-3</v>
      </c>
      <c r="M480" s="1358">
        <f t="shared" ca="1" si="160"/>
        <v>1.6481767650771205E-3</v>
      </c>
    </row>
    <row r="481" spans="2:13" outlineLevel="1" x14ac:dyDescent="0.25">
      <c r="B481" s="353" t="s">
        <v>1515</v>
      </c>
      <c r="G481" s="1358">
        <f t="shared" ref="G481:M481" ca="1" si="161">G188/G$472</f>
        <v>6.3680566609854968E-3</v>
      </c>
      <c r="H481" s="1358">
        <f t="shared" ca="1" si="161"/>
        <v>6.3680566609854968E-3</v>
      </c>
      <c r="I481" s="1358">
        <f t="shared" ca="1" si="161"/>
        <v>6.3084673490443931E-3</v>
      </c>
      <c r="J481" s="1358">
        <f t="shared" ca="1" si="161"/>
        <v>6.216558441056238E-3</v>
      </c>
      <c r="K481" s="1358">
        <f t="shared" ca="1" si="161"/>
        <v>6.0772723718635355E-3</v>
      </c>
      <c r="L481" s="1358">
        <f t="shared" ca="1" si="161"/>
        <v>5.8145816315701791E-3</v>
      </c>
      <c r="M481" s="1358">
        <f t="shared" ca="1" si="161"/>
        <v>5.0895416380185819E-3</v>
      </c>
    </row>
    <row r="482" spans="2:13" outlineLevel="1" x14ac:dyDescent="0.25">
      <c r="B482" s="353" t="s">
        <v>1516</v>
      </c>
      <c r="G482" s="1358">
        <f t="shared" ref="G482:M482" ca="1" si="162">G189/G$472</f>
        <v>1.2074156336858826E-2</v>
      </c>
      <c r="H482" s="1358">
        <f t="shared" ca="1" si="162"/>
        <v>1.2074156336858826E-2</v>
      </c>
      <c r="I482" s="1358">
        <f t="shared" ca="1" si="162"/>
        <v>1.1962026611100334E-2</v>
      </c>
      <c r="J482" s="1358">
        <f t="shared" ca="1" si="162"/>
        <v>1.1788307055312348E-2</v>
      </c>
      <c r="K482" s="1358">
        <f t="shared" ca="1" si="162"/>
        <v>1.1526460583167964E-2</v>
      </c>
      <c r="L482" s="1358">
        <f t="shared" ca="1" si="162"/>
        <v>1.1030760983482726E-2</v>
      </c>
      <c r="M482" s="1358">
        <f t="shared" ca="1" si="162"/>
        <v>9.6630249198235759E-3</v>
      </c>
    </row>
    <row r="483" spans="2:13" outlineLevel="1" x14ac:dyDescent="0.25">
      <c r="B483" s="353" t="s">
        <v>1517</v>
      </c>
      <c r="G483" s="1358">
        <f t="shared" ref="G483:M483" ca="1" si="163">G190/G$472</f>
        <v>4.4676402781078841E-3</v>
      </c>
      <c r="H483" s="1358">
        <f t="shared" ca="1" si="163"/>
        <v>4.4676402781078841E-3</v>
      </c>
      <c r="I483" s="1358">
        <f t="shared" ca="1" si="163"/>
        <v>4.9000915452847909E-3</v>
      </c>
      <c r="J483" s="1358">
        <f t="shared" ca="1" si="163"/>
        <v>5.5723553717054461E-3</v>
      </c>
      <c r="K483" s="1358">
        <f t="shared" ca="1" si="163"/>
        <v>6.614091183281324E-3</v>
      </c>
      <c r="L483" s="1358">
        <f t="shared" ca="1" si="163"/>
        <v>8.5513392868866792E-3</v>
      </c>
      <c r="M483" s="1358">
        <f t="shared" ca="1" si="163"/>
        <v>1.3975964122647462E-2</v>
      </c>
    </row>
    <row r="484" spans="2:13" outlineLevel="1" x14ac:dyDescent="0.25">
      <c r="B484" s="353" t="s">
        <v>1518</v>
      </c>
      <c r="G484" s="1358">
        <f t="shared" ref="G484:M484" ca="1" si="164">G191/G$472</f>
        <v>2.8604666927840961E-2</v>
      </c>
      <c r="H484" s="1358">
        <f t="shared" ca="1" si="164"/>
        <v>2.8604666927840961E-2</v>
      </c>
      <c r="I484" s="1358">
        <f t="shared" ca="1" si="164"/>
        <v>3.1285859272590706E-2</v>
      </c>
      <c r="J484" s="1358">
        <f t="shared" ca="1" si="164"/>
        <v>3.5449736366284339E-2</v>
      </c>
      <c r="K484" s="1358">
        <f t="shared" ca="1" si="164"/>
        <v>4.190111207149734E-2</v>
      </c>
      <c r="L484" s="1358">
        <f t="shared" ca="1" si="164"/>
        <v>5.3880426295331171E-2</v>
      </c>
      <c r="M484" s="1358">
        <f t="shared" ca="1" si="164"/>
        <v>8.7321118070523229E-2</v>
      </c>
    </row>
    <row r="485" spans="2:13" outlineLevel="1" x14ac:dyDescent="0.25">
      <c r="B485" s="353" t="s">
        <v>1519</v>
      </c>
      <c r="G485" s="1358">
        <f t="shared" ref="G485:M485" ca="1" si="165">G192/G$472</f>
        <v>3.3262032295250682E-2</v>
      </c>
      <c r="H485" s="1358">
        <f t="shared" ca="1" si="165"/>
        <v>3.3262032295250682E-2</v>
      </c>
      <c r="I485" s="1358">
        <f t="shared" ca="1" si="165"/>
        <v>3.6507000441212634E-2</v>
      </c>
      <c r="J485" s="1358">
        <f t="shared" ca="1" si="165"/>
        <v>4.1499080729344946E-2</v>
      </c>
      <c r="K485" s="1358">
        <f t="shared" ca="1" si="165"/>
        <v>4.9359829822853855E-2</v>
      </c>
      <c r="L485" s="1358">
        <f t="shared" ca="1" si="165"/>
        <v>6.3855239121096335E-2</v>
      </c>
      <c r="M485" s="1358">
        <f t="shared" ca="1" si="165"/>
        <v>0.10481449198074158</v>
      </c>
    </row>
    <row r="486" spans="2:13" outlineLevel="1" x14ac:dyDescent="0.25">
      <c r="B486" s="353" t="s">
        <v>1520</v>
      </c>
      <c r="G486" s="1358">
        <f t="shared" ref="G486:M486" ca="1" si="166">G193/G$472</f>
        <v>2.9204403895668734E-2</v>
      </c>
      <c r="H486" s="1358">
        <f t="shared" ca="1" si="166"/>
        <v>2.9204403895668734E-2</v>
      </c>
      <c r="I486" s="1358">
        <f t="shared" ca="1" si="166"/>
        <v>2.9244760464902105E-2</v>
      </c>
      <c r="J486" s="1358">
        <f t="shared" ca="1" si="166"/>
        <v>2.9306658018844342E-2</v>
      </c>
      <c r="K486" s="1358">
        <f t="shared" ca="1" si="166"/>
        <v>2.9425236393948291E-2</v>
      </c>
      <c r="L486" s="1358">
        <f t="shared" ca="1" si="166"/>
        <v>2.962169846799861E-2</v>
      </c>
      <c r="M486" s="1358">
        <f t="shared" ca="1" si="166"/>
        <v>3.0249412146832272E-2</v>
      </c>
    </row>
    <row r="487" spans="2:13" outlineLevel="1" x14ac:dyDescent="0.25">
      <c r="B487" s="353" t="s">
        <v>1521</v>
      </c>
      <c r="G487" s="1358">
        <f t="shared" ref="G487:M487" ca="1" si="167">G194/G$472</f>
        <v>0</v>
      </c>
      <c r="H487" s="1358">
        <f t="shared" ca="1" si="167"/>
        <v>0</v>
      </c>
      <c r="I487" s="1358">
        <f t="shared" ca="1" si="167"/>
        <v>0</v>
      </c>
      <c r="J487" s="1358">
        <f t="shared" ca="1" si="167"/>
        <v>0</v>
      </c>
      <c r="K487" s="1358">
        <f t="shared" ca="1" si="167"/>
        <v>0</v>
      </c>
      <c r="L487" s="1358">
        <f t="shared" ca="1" si="167"/>
        <v>0</v>
      </c>
      <c r="M487" s="1358">
        <f t="shared" ca="1" si="167"/>
        <v>0</v>
      </c>
    </row>
    <row r="488" spans="2:13" outlineLevel="1" x14ac:dyDescent="0.25">
      <c r="B488" s="353" t="s">
        <v>1522</v>
      </c>
      <c r="G488" s="1358">
        <f t="shared" ref="G488:M488" ca="1" si="168">G195/G$472</f>
        <v>0.57900211911747057</v>
      </c>
      <c r="H488" s="1358">
        <f t="shared" ca="1" si="168"/>
        <v>0.57900211911747057</v>
      </c>
      <c r="I488" s="1358">
        <f t="shared" ca="1" si="168"/>
        <v>0.58088874510924415</v>
      </c>
      <c r="J488" s="1358">
        <f t="shared" ca="1" si="168"/>
        <v>0.58380857394036612</v>
      </c>
      <c r="K488" s="1358">
        <f t="shared" ca="1" si="168"/>
        <v>0.58873712016954693</v>
      </c>
      <c r="L488" s="1358">
        <f t="shared" ca="1" si="168"/>
        <v>0.59743452310686718</v>
      </c>
      <c r="M488" s="1358">
        <f t="shared" ca="1" si="168"/>
        <v>0.62293708140436899</v>
      </c>
    </row>
    <row r="489" spans="2:13" outlineLevel="1" x14ac:dyDescent="0.25">
      <c r="B489" s="353"/>
      <c r="G489" s="1358"/>
      <c r="H489" s="1358"/>
      <c r="I489" s="1358"/>
      <c r="J489" s="1358"/>
      <c r="K489" s="1358"/>
      <c r="L489" s="1358"/>
      <c r="M489" s="1358"/>
    </row>
    <row r="490" spans="2:13" ht="14" outlineLevel="1" x14ac:dyDescent="0.3">
      <c r="B490" s="665" t="s">
        <v>1478</v>
      </c>
      <c r="G490" s="1358"/>
      <c r="H490" s="1358"/>
      <c r="I490" s="1358"/>
      <c r="J490" s="1358"/>
      <c r="K490" s="1358"/>
      <c r="L490" s="1358"/>
      <c r="M490" s="1358"/>
    </row>
    <row r="491" spans="2:13" ht="13" outlineLevel="1" x14ac:dyDescent="0.3">
      <c r="B491" s="1359" t="s">
        <v>1412</v>
      </c>
      <c r="G491" s="1358"/>
      <c r="H491" s="1358"/>
      <c r="I491" s="1358"/>
      <c r="J491" s="1358"/>
      <c r="K491" s="1358"/>
      <c r="L491" s="1358"/>
      <c r="M491" s="1358"/>
    </row>
    <row r="492" spans="2:13" outlineLevel="1" x14ac:dyDescent="0.25">
      <c r="B492" s="9" t="s">
        <v>1479</v>
      </c>
      <c r="G492" s="1358">
        <f t="shared" ref="G492:M492" ca="1" si="169">G199/G$472</f>
        <v>3.8284850765178801E-3</v>
      </c>
      <c r="H492" s="1358">
        <f t="shared" ca="1" si="169"/>
        <v>3.8284850765178801E-3</v>
      </c>
      <c r="I492" s="1358">
        <f t="shared" ca="1" si="169"/>
        <v>3.798580441525993E-3</v>
      </c>
      <c r="J492" s="1358">
        <f t="shared" ca="1" si="169"/>
        <v>3.75311594324839E-3</v>
      </c>
      <c r="K492" s="1358">
        <f t="shared" ca="1" si="169"/>
        <v>3.6784409097058474E-3</v>
      </c>
      <c r="L492" s="1358">
        <f t="shared" ca="1" si="169"/>
        <v>3.5375269593976937E-3</v>
      </c>
      <c r="M492" s="1358">
        <f t="shared" ca="1" si="169"/>
        <v>3.1326102579303052E-3</v>
      </c>
    </row>
    <row r="493" spans="2:13" outlineLevel="1" x14ac:dyDescent="0.25">
      <c r="B493" s="9" t="s">
        <v>1480</v>
      </c>
      <c r="G493" s="1358">
        <f t="shared" ref="G493:M493" ca="1" si="170">G200/G$472</f>
        <v>7.7474456480105536E-3</v>
      </c>
      <c r="H493" s="1358">
        <f t="shared" ca="1" si="170"/>
        <v>7.7474456480105536E-3</v>
      </c>
      <c r="I493" s="1358">
        <f t="shared" ca="1" si="170"/>
        <v>7.6935633839788978E-3</v>
      </c>
      <c r="J493" s="1358">
        <f t="shared" ca="1" si="170"/>
        <v>7.6263048195166962E-3</v>
      </c>
      <c r="K493" s="1358">
        <f t="shared" ca="1" si="170"/>
        <v>7.4889967119212966E-3</v>
      </c>
      <c r="L493" s="1358">
        <f t="shared" ca="1" si="170"/>
        <v>7.2617253340865259E-3</v>
      </c>
      <c r="M493" s="1358">
        <f t="shared" ca="1" si="170"/>
        <v>6.5798904486643007E-3</v>
      </c>
    </row>
    <row r="494" spans="2:13" outlineLevel="1" x14ac:dyDescent="0.25">
      <c r="B494" s="61" t="s">
        <v>1481</v>
      </c>
      <c r="G494" s="1358">
        <f t="shared" ref="G494:M494" ca="1" si="171">G201/G$472</f>
        <v>1.0167615881757104E-2</v>
      </c>
      <c r="H494" s="1358">
        <f t="shared" ca="1" si="171"/>
        <v>1.0167615881757104E-2</v>
      </c>
      <c r="I494" s="1358">
        <f t="shared" ca="1" si="171"/>
        <v>1.0100105619345321E-2</v>
      </c>
      <c r="J494" s="1358">
        <f t="shared" ca="1" si="171"/>
        <v>9.9841692832486964E-3</v>
      </c>
      <c r="K494" s="1358">
        <f t="shared" ca="1" si="171"/>
        <v>9.8194836560414004E-3</v>
      </c>
      <c r="L494" s="1358">
        <f t="shared" ca="1" si="171"/>
        <v>9.4769784102395286E-3</v>
      </c>
      <c r="M494" s="1358">
        <f t="shared" ca="1" si="171"/>
        <v>8.5190876169758609E-3</v>
      </c>
    </row>
    <row r="495" spans="2:13" outlineLevel="1" x14ac:dyDescent="0.25">
      <c r="B495" s="61" t="s">
        <v>1482</v>
      </c>
      <c r="G495" s="1358">
        <f t="shared" ref="G495:M495" ca="1" si="172">G202/G$472</f>
        <v>2.1743546606285538E-2</v>
      </c>
      <c r="H495" s="1358">
        <f t="shared" ca="1" si="172"/>
        <v>2.1743546606285538E-2</v>
      </c>
      <c r="I495" s="1358">
        <f t="shared" ca="1" si="172"/>
        <v>2.1592249444850213E-2</v>
      </c>
      <c r="J495" s="1358">
        <f t="shared" ca="1" si="172"/>
        <v>2.1363590046013785E-2</v>
      </c>
      <c r="K495" s="1358">
        <f t="shared" ca="1" si="172"/>
        <v>2.0986921277668543E-2</v>
      </c>
      <c r="L495" s="1358">
        <f t="shared" ca="1" si="172"/>
        <v>2.0276230703723749E-2</v>
      </c>
      <c r="M495" s="1358">
        <f t="shared" ca="1" si="172"/>
        <v>1.8231588323570466E-2</v>
      </c>
    </row>
    <row r="496" spans="2:13" outlineLevel="1" x14ac:dyDescent="0.25">
      <c r="B496" s="9"/>
      <c r="G496" s="1358"/>
      <c r="H496" s="1358"/>
      <c r="I496" s="1358"/>
      <c r="J496" s="1358"/>
      <c r="K496" s="1358"/>
      <c r="L496" s="1358"/>
      <c r="M496" s="1358"/>
    </row>
    <row r="497" spans="2:13" ht="13" outlineLevel="1" x14ac:dyDescent="0.3">
      <c r="B497" s="1360" t="s">
        <v>1413</v>
      </c>
      <c r="G497" s="1358"/>
      <c r="H497" s="1358"/>
      <c r="I497" s="1358"/>
      <c r="J497" s="1358"/>
      <c r="K497" s="1358"/>
      <c r="L497" s="1358"/>
      <c r="M497" s="1358"/>
    </row>
    <row r="498" spans="2:13" outlineLevel="1" x14ac:dyDescent="0.25">
      <c r="B498" s="355" t="s">
        <v>1483</v>
      </c>
      <c r="G498" s="1358">
        <f t="shared" ref="G498:M498" ca="1" si="173">G205/G$472</f>
        <v>0</v>
      </c>
      <c r="H498" s="1358">
        <f t="shared" ca="1" si="173"/>
        <v>0</v>
      </c>
      <c r="I498" s="1358">
        <f t="shared" ca="1" si="173"/>
        <v>0</v>
      </c>
      <c r="J498" s="1358">
        <f t="shared" ca="1" si="173"/>
        <v>0</v>
      </c>
      <c r="K498" s="1358">
        <f t="shared" ca="1" si="173"/>
        <v>0</v>
      </c>
      <c r="L498" s="1358">
        <f t="shared" ca="1" si="173"/>
        <v>0</v>
      </c>
      <c r="M498" s="1358">
        <f t="shared" ca="1" si="173"/>
        <v>0</v>
      </c>
    </row>
    <row r="499" spans="2:13" outlineLevel="1" x14ac:dyDescent="0.25">
      <c r="B499" s="61" t="s">
        <v>1484</v>
      </c>
      <c r="G499" s="1358">
        <f t="shared" ref="G499:M499" ca="1" si="174">G206/G$472</f>
        <v>8.1826130479541407E-3</v>
      </c>
      <c r="H499" s="1358">
        <f t="shared" ca="1" si="174"/>
        <v>8.1826130479541407E-3</v>
      </c>
      <c r="I499" s="1358">
        <f t="shared" ca="1" si="174"/>
        <v>8.1358626012809632E-3</v>
      </c>
      <c r="J499" s="1358">
        <f t="shared" ca="1" si="174"/>
        <v>8.0489700436416432E-3</v>
      </c>
      <c r="K499" s="1358">
        <f t="shared" ca="1" si="174"/>
        <v>7.9370190379439848E-3</v>
      </c>
      <c r="L499" s="1358">
        <f t="shared" ca="1" si="174"/>
        <v>7.6876333689989435E-3</v>
      </c>
      <c r="M499" s="1358">
        <f t="shared" ca="1" si="174"/>
        <v>7.0017814399045688E-3</v>
      </c>
    </row>
    <row r="500" spans="2:13" outlineLevel="1" x14ac:dyDescent="0.25">
      <c r="B500" s="90" t="s">
        <v>1485</v>
      </c>
      <c r="G500" s="1358">
        <f t="shared" ref="G500:M500" ca="1" si="175">G207/G$472</f>
        <v>4.6678340138561335E-2</v>
      </c>
      <c r="H500" s="1358">
        <f t="shared" ca="1" si="175"/>
        <v>4.6678340138561335E-2</v>
      </c>
      <c r="I500" s="1358">
        <f t="shared" ca="1" si="175"/>
        <v>4.6290700787596638E-2</v>
      </c>
      <c r="J500" s="1358">
        <f t="shared" ca="1" si="175"/>
        <v>4.5674188049581267E-2</v>
      </c>
      <c r="K500" s="1358">
        <f t="shared" ca="1" si="175"/>
        <v>4.4722841557441384E-2</v>
      </c>
      <c r="L500" s="1358">
        <f t="shared" ca="1" si="175"/>
        <v>4.2872191779187031E-2</v>
      </c>
      <c r="M500" s="1358">
        <f t="shared" ca="1" si="175"/>
        <v>3.7640693178289206E-2</v>
      </c>
    </row>
    <row r="501" spans="2:13" outlineLevel="1" x14ac:dyDescent="0.25">
      <c r="B501" s="353" t="s">
        <v>1486</v>
      </c>
      <c r="G501" s="1358">
        <f t="shared" ref="G501:M501" ca="1" si="176">G208/G$472</f>
        <v>7.9568423855864209E-3</v>
      </c>
      <c r="H501" s="1358">
        <f t="shared" ca="1" si="176"/>
        <v>7.9568423855864209E-3</v>
      </c>
      <c r="I501" s="1358">
        <f t="shared" ca="1" si="176"/>
        <v>7.8812096419648738E-3</v>
      </c>
      <c r="J501" s="1358">
        <f t="shared" ca="1" si="176"/>
        <v>7.7984408594021113E-3</v>
      </c>
      <c r="K501" s="1358">
        <f t="shared" ca="1" si="176"/>
        <v>7.6028793180265165E-3</v>
      </c>
      <c r="L501" s="1358">
        <f t="shared" ca="1" si="176"/>
        <v>7.3072267529903185E-3</v>
      </c>
      <c r="M501" s="1358">
        <f t="shared" ca="1" si="176"/>
        <v>6.4081732472325292E-3</v>
      </c>
    </row>
    <row r="502" spans="2:13" outlineLevel="1" x14ac:dyDescent="0.25">
      <c r="B502" s="1051" t="s">
        <v>1487</v>
      </c>
      <c r="G502" s="1358">
        <f t="shared" ref="G502:M502" ca="1" si="177">G209/G$472</f>
        <v>1.7234515800467704E-3</v>
      </c>
      <c r="H502" s="1358">
        <f t="shared" ca="1" si="177"/>
        <v>1.7234515800467704E-3</v>
      </c>
      <c r="I502" s="1358">
        <f t="shared" ca="1" si="177"/>
        <v>1.7118309179010758E-3</v>
      </c>
      <c r="J502" s="1358">
        <f t="shared" ca="1" si="177"/>
        <v>1.6983145949643855E-3</v>
      </c>
      <c r="K502" s="1358">
        <f t="shared" ca="1" si="177"/>
        <v>1.6685323016199939E-3</v>
      </c>
      <c r="L502" s="1358">
        <f t="shared" ca="1" si="177"/>
        <v>1.6213132486489975E-3</v>
      </c>
      <c r="M502" s="1358">
        <f t="shared" ca="1" si="177"/>
        <v>1.4775699205973429E-3</v>
      </c>
    </row>
    <row r="503" spans="2:13" outlineLevel="1" x14ac:dyDescent="0.25">
      <c r="B503" s="353" t="s">
        <v>1488</v>
      </c>
      <c r="G503" s="1358">
        <f t="shared" ref="G503:M503" ca="1" si="178">G210/G$472</f>
        <v>1.5258343228513741E-3</v>
      </c>
      <c r="H503" s="1358">
        <f t="shared" ca="1" si="178"/>
        <v>1.5258343228513741E-3</v>
      </c>
      <c r="I503" s="1358">
        <f t="shared" ca="1" si="178"/>
        <v>1.5134696200014138E-3</v>
      </c>
      <c r="J503" s="1358">
        <f t="shared" ca="1" si="178"/>
        <v>1.4936851604108309E-3</v>
      </c>
      <c r="K503" s="1358">
        <f t="shared" ca="1" si="178"/>
        <v>1.4629947592671294E-3</v>
      </c>
      <c r="L503" s="1358">
        <f t="shared" ca="1" si="178"/>
        <v>1.4029395532611482E-3</v>
      </c>
      <c r="M503" s="1358">
        <f t="shared" ca="1" si="178"/>
        <v>1.2323061798383288E-3</v>
      </c>
    </row>
    <row r="504" spans="2:13" outlineLevel="1" x14ac:dyDescent="0.25">
      <c r="B504" s="9" t="s">
        <v>1489</v>
      </c>
      <c r="G504" s="1358">
        <f t="shared" ref="G504:M504" ca="1" si="179">G211/G$472</f>
        <v>4.5645942799863518E-3</v>
      </c>
      <c r="H504" s="1358">
        <f t="shared" ca="1" si="179"/>
        <v>4.5645942799863518E-3</v>
      </c>
      <c r="I504" s="1358">
        <f t="shared" ca="1" si="179"/>
        <v>4.5345110034315066E-3</v>
      </c>
      <c r="J504" s="1358">
        <f t="shared" ca="1" si="179"/>
        <v>4.508050150638908E-3</v>
      </c>
      <c r="K504" s="1358">
        <f t="shared" ca="1" si="179"/>
        <v>4.4295529063964108E-3</v>
      </c>
      <c r="L504" s="1358">
        <f t="shared" ca="1" si="179"/>
        <v>4.323341606932111E-3</v>
      </c>
      <c r="M504" s="1358">
        <f t="shared" ca="1" si="179"/>
        <v>3.9845189672364709E-3</v>
      </c>
    </row>
    <row r="505" spans="2:13" outlineLevel="1" x14ac:dyDescent="0.25">
      <c r="B505" s="353" t="s">
        <v>1490</v>
      </c>
      <c r="G505" s="1358">
        <f t="shared" ref="G505:M505" ca="1" si="180">G212/G$472</f>
        <v>9.6880227932604119E-4</v>
      </c>
      <c r="H505" s="1358">
        <f t="shared" ca="1" si="180"/>
        <v>9.6880227932604119E-4</v>
      </c>
      <c r="I505" s="1358">
        <f t="shared" ca="1" si="180"/>
        <v>9.6095152375918168E-4</v>
      </c>
      <c r="J505" s="1358">
        <f t="shared" ca="1" si="180"/>
        <v>9.483897211705676E-4</v>
      </c>
      <c r="K505" s="1358">
        <f t="shared" ca="1" si="180"/>
        <v>9.2890337842931525E-4</v>
      </c>
      <c r="L505" s="1358">
        <f t="shared" ca="1" si="180"/>
        <v>8.9077235752315048E-4</v>
      </c>
      <c r="M505" s="1358">
        <f t="shared" ca="1" si="180"/>
        <v>7.8243162968305374E-4</v>
      </c>
    </row>
    <row r="506" spans="2:13" outlineLevel="1" x14ac:dyDescent="0.25">
      <c r="B506" s="355" t="s">
        <v>1491</v>
      </c>
      <c r="G506" s="1358">
        <f t="shared" ref="G506:M506" ca="1" si="181">G213/G$472</f>
        <v>7.1600478034312437E-2</v>
      </c>
      <c r="H506" s="1358">
        <f t="shared" ca="1" si="181"/>
        <v>7.1600478034312437E-2</v>
      </c>
      <c r="I506" s="1358">
        <f t="shared" ca="1" si="181"/>
        <v>7.1028536095935665E-2</v>
      </c>
      <c r="J506" s="1358">
        <f t="shared" ca="1" si="181"/>
        <v>7.0170038579809718E-2</v>
      </c>
      <c r="K506" s="1358">
        <f t="shared" ca="1" si="181"/>
        <v>6.8752723259124737E-2</v>
      </c>
      <c r="L506" s="1358">
        <f t="shared" ca="1" si="181"/>
        <v>6.6105418667541702E-2</v>
      </c>
      <c r="M506" s="1358">
        <f t="shared" ca="1" si="181"/>
        <v>5.8527474562781519E-2</v>
      </c>
    </row>
    <row r="507" spans="2:13" outlineLevel="1" x14ac:dyDescent="0.25">
      <c r="B507" s="355"/>
      <c r="G507" s="1358"/>
      <c r="H507" s="1358"/>
      <c r="I507" s="1358"/>
      <c r="J507" s="1358"/>
      <c r="K507" s="1358"/>
      <c r="L507" s="1358"/>
      <c r="M507" s="1358"/>
    </row>
    <row r="508" spans="2:13" ht="13" outlineLevel="1" x14ac:dyDescent="0.3">
      <c r="B508" s="1360" t="s">
        <v>1414</v>
      </c>
      <c r="G508" s="1358"/>
      <c r="H508" s="1358"/>
      <c r="I508" s="1358"/>
      <c r="J508" s="1358"/>
      <c r="K508" s="1358"/>
      <c r="L508" s="1358"/>
      <c r="M508" s="1358"/>
    </row>
    <row r="509" spans="2:13" outlineLevel="1" x14ac:dyDescent="0.25">
      <c r="B509" s="355" t="s">
        <v>1492</v>
      </c>
      <c r="G509" s="1358">
        <f t="shared" ref="G509:M509" ca="1" si="182">G216/G$472</f>
        <v>0</v>
      </c>
      <c r="H509" s="1358">
        <f t="shared" ca="1" si="182"/>
        <v>0</v>
      </c>
      <c r="I509" s="1358">
        <f t="shared" ca="1" si="182"/>
        <v>0</v>
      </c>
      <c r="J509" s="1358">
        <f t="shared" ca="1" si="182"/>
        <v>0</v>
      </c>
      <c r="K509" s="1358">
        <f t="shared" ca="1" si="182"/>
        <v>0</v>
      </c>
      <c r="L509" s="1358">
        <f t="shared" ca="1" si="182"/>
        <v>0</v>
      </c>
      <c r="M509" s="1358">
        <f t="shared" ca="1" si="182"/>
        <v>0</v>
      </c>
    </row>
    <row r="510" spans="2:13" outlineLevel="1" x14ac:dyDescent="0.25">
      <c r="B510" s="1051" t="s">
        <v>1493</v>
      </c>
      <c r="G510" s="1358">
        <f t="shared" ref="G510:M510" ca="1" si="183">G217/G$472</f>
        <v>6.1114606586291902E-3</v>
      </c>
      <c r="H510" s="1358">
        <f t="shared" ca="1" si="183"/>
        <v>6.1114606586291902E-3</v>
      </c>
      <c r="I510" s="1358">
        <f t="shared" ca="1" si="183"/>
        <v>6.0695541561713601E-3</v>
      </c>
      <c r="J510" s="1358">
        <f t="shared" ca="1" si="183"/>
        <v>6.0403019311292593E-3</v>
      </c>
      <c r="K510" s="1358">
        <f t="shared" ca="1" si="183"/>
        <v>5.9294022934026063E-3</v>
      </c>
      <c r="L510" s="1358">
        <f t="shared" ca="1" si="183"/>
        <v>5.795641655350345E-3</v>
      </c>
      <c r="M510" s="1358">
        <f t="shared" ca="1" si="183"/>
        <v>5.3520131048209246E-3</v>
      </c>
    </row>
    <row r="511" spans="2:13" outlineLevel="1" x14ac:dyDescent="0.25">
      <c r="B511" s="90" t="s">
        <v>1258</v>
      </c>
      <c r="G511" s="1358">
        <f t="shared" ref="G511:M511" ca="1" si="184">G218/G$472</f>
        <v>3.1001672938433319E-4</v>
      </c>
      <c r="H511" s="1358">
        <f t="shared" ca="1" si="184"/>
        <v>3.1001672938433319E-4</v>
      </c>
      <c r="I511" s="1358">
        <f t="shared" ca="1" si="184"/>
        <v>3.0750448760293817E-4</v>
      </c>
      <c r="J511" s="1358">
        <f t="shared" ca="1" si="184"/>
        <v>3.0348471077458163E-4</v>
      </c>
      <c r="K511" s="1358">
        <f t="shared" ca="1" si="184"/>
        <v>2.972490810973809E-4</v>
      </c>
      <c r="L511" s="1358">
        <f t="shared" ca="1" si="184"/>
        <v>2.8504715440740816E-4</v>
      </c>
      <c r="M511" s="1358">
        <f t="shared" ca="1" si="184"/>
        <v>2.503781214985772E-4</v>
      </c>
    </row>
    <row r="512" spans="2:13" outlineLevel="1" x14ac:dyDescent="0.25">
      <c r="B512" s="353" t="s">
        <v>1259</v>
      </c>
      <c r="G512" s="1358">
        <f t="shared" ref="G512:M512" ca="1" si="185">G219/G$472</f>
        <v>1.8743741431646356E-3</v>
      </c>
      <c r="H512" s="1358">
        <f t="shared" ca="1" si="185"/>
        <v>1.8743741431646356E-3</v>
      </c>
      <c r="I512" s="1358">
        <f t="shared" ca="1" si="185"/>
        <v>1.8591850240297549E-3</v>
      </c>
      <c r="J512" s="1358">
        <f t="shared" ca="1" si="185"/>
        <v>1.8348812847982403E-3</v>
      </c>
      <c r="K512" s="1358">
        <f t="shared" ca="1" si="185"/>
        <v>1.7971804063440155E-3</v>
      </c>
      <c r="L512" s="1358">
        <f t="shared" ca="1" si="185"/>
        <v>1.7234070460163482E-3</v>
      </c>
      <c r="M512" s="1358">
        <f t="shared" ca="1" si="185"/>
        <v>1.513796619566502E-3</v>
      </c>
    </row>
    <row r="513" spans="2:13" outlineLevel="1" x14ac:dyDescent="0.25">
      <c r="B513" s="353" t="s">
        <v>1260</v>
      </c>
      <c r="G513" s="1358">
        <f t="shared" ref="G513:M513" ca="1" si="186">G220/G$472</f>
        <v>1.3597631319170109E-3</v>
      </c>
      <c r="H513" s="1358">
        <f t="shared" ca="1" si="186"/>
        <v>1.3597631319170109E-3</v>
      </c>
      <c r="I513" s="1358">
        <f t="shared" ca="1" si="186"/>
        <v>1.3532911629476755E-3</v>
      </c>
      <c r="J513" s="1358">
        <f t="shared" ca="1" si="186"/>
        <v>1.3402685504959907E-3</v>
      </c>
      <c r="K513" s="1358">
        <f t="shared" ca="1" si="186"/>
        <v>1.324992813063782E-3</v>
      </c>
      <c r="L513" s="1358">
        <f t="shared" ca="1" si="186"/>
        <v>1.2882393342013992E-3</v>
      </c>
      <c r="M513" s="1358">
        <f t="shared" ca="1" si="186"/>
        <v>1.1867635337697217E-3</v>
      </c>
    </row>
    <row r="514" spans="2:13" outlineLevel="1" x14ac:dyDescent="0.25">
      <c r="B514" s="1050" t="s">
        <v>1494</v>
      </c>
      <c r="G514" s="1358">
        <f t="shared" ref="G514:M514" ca="1" si="187">G221/G$472</f>
        <v>4.9243562514267418E-3</v>
      </c>
      <c r="H514" s="1358">
        <f t="shared" ca="1" si="187"/>
        <v>4.9243562514267418E-3</v>
      </c>
      <c r="I514" s="1358">
        <f t="shared" ca="1" si="187"/>
        <v>4.8962885214253338E-3</v>
      </c>
      <c r="J514" s="1358">
        <f t="shared" ca="1" si="187"/>
        <v>4.8738510361908162E-3</v>
      </c>
      <c r="K514" s="1358">
        <f t="shared" ca="1" si="187"/>
        <v>4.8000926569622335E-3</v>
      </c>
      <c r="L514" s="1358">
        <f t="shared" ca="1" si="187"/>
        <v>4.7044678533141072E-3</v>
      </c>
      <c r="M514" s="1358">
        <f t="shared" ca="1" si="187"/>
        <v>4.389797625114801E-3</v>
      </c>
    </row>
    <row r="515" spans="2:13" outlineLevel="1" x14ac:dyDescent="0.25">
      <c r="B515" s="1050" t="s">
        <v>1262</v>
      </c>
      <c r="G515" s="1358">
        <f t="shared" ref="G515:M515" ca="1" si="188">G222/G$472</f>
        <v>8.3410421411708594E-4</v>
      </c>
      <c r="H515" s="1358">
        <f t="shared" ca="1" si="188"/>
        <v>8.3410421411708594E-4</v>
      </c>
      <c r="I515" s="1358">
        <f t="shared" ca="1" si="188"/>
        <v>8.2962932110724195E-4</v>
      </c>
      <c r="J515" s="1358">
        <f t="shared" ca="1" si="188"/>
        <v>8.2102045340603515E-4</v>
      </c>
      <c r="K515" s="1358">
        <f t="shared" ca="1" si="188"/>
        <v>8.1032962766856647E-4</v>
      </c>
      <c r="L515" s="1358">
        <f t="shared" ca="1" si="188"/>
        <v>7.8572150015714386E-4</v>
      </c>
      <c r="M515" s="1358">
        <f t="shared" ca="1" si="188"/>
        <v>7.1746332910127E-4</v>
      </c>
    </row>
    <row r="516" spans="2:13" outlineLevel="1" x14ac:dyDescent="0.25">
      <c r="B516" s="1050" t="s">
        <v>1263</v>
      </c>
      <c r="G516" s="1358">
        <f t="shared" ref="G516:M516" ca="1" si="189">G223/G$472</f>
        <v>7.7984556762411203E-4</v>
      </c>
      <c r="H516" s="1358">
        <f t="shared" ca="1" si="189"/>
        <v>7.7984556762411203E-4</v>
      </c>
      <c r="I516" s="1358">
        <f t="shared" ca="1" si="189"/>
        <v>7.7352603570107119E-4</v>
      </c>
      <c r="J516" s="1358">
        <f t="shared" ca="1" si="189"/>
        <v>7.6341430673516214E-4</v>
      </c>
      <c r="K516" s="1358">
        <f t="shared" ca="1" si="189"/>
        <v>7.477286107575047E-4</v>
      </c>
      <c r="L516" s="1358">
        <f t="shared" ca="1" si="189"/>
        <v>7.1703472380325287E-4</v>
      </c>
      <c r="M516" s="1358">
        <f t="shared" ca="1" si="189"/>
        <v>6.2982494095876421E-4</v>
      </c>
    </row>
    <row r="517" spans="2:13" outlineLevel="1" x14ac:dyDescent="0.25">
      <c r="B517" s="353" t="s">
        <v>1264</v>
      </c>
      <c r="G517" s="1358">
        <f t="shared" ref="G517:M517" ca="1" si="190">G224/G$472</f>
        <v>2.4506586552507509E-3</v>
      </c>
      <c r="H517" s="1358">
        <f t="shared" ca="1" si="190"/>
        <v>2.4506586552507509E-3</v>
      </c>
      <c r="I517" s="1358">
        <f t="shared" ca="1" si="190"/>
        <v>2.4293547870233821E-3</v>
      </c>
      <c r="J517" s="1358">
        <f t="shared" ca="1" si="190"/>
        <v>2.4077281068601384E-3</v>
      </c>
      <c r="K517" s="1358">
        <f t="shared" ca="1" si="190"/>
        <v>2.3524383230448254E-3</v>
      </c>
      <c r="L517" s="1358">
        <f t="shared" ca="1" si="190"/>
        <v>2.272136915235843E-3</v>
      </c>
      <c r="M517" s="1358">
        <f t="shared" ca="1" si="190"/>
        <v>2.0240732562632957E-3</v>
      </c>
    </row>
    <row r="518" spans="2:13" outlineLevel="1" x14ac:dyDescent="0.25">
      <c r="B518" s="353" t="s">
        <v>1265</v>
      </c>
      <c r="G518" s="1358">
        <f t="shared" ref="G518:M518" ca="1" si="191">G225/G$472</f>
        <v>9.3605879353193169E-3</v>
      </c>
      <c r="H518" s="1358">
        <f t="shared" ca="1" si="191"/>
        <v>9.3605879353193169E-3</v>
      </c>
      <c r="I518" s="1358">
        <f t="shared" ca="1" si="191"/>
        <v>9.2929011852229473E-3</v>
      </c>
      <c r="J518" s="1358">
        <f t="shared" ca="1" si="191"/>
        <v>9.2497720322644566E-3</v>
      </c>
      <c r="K518" s="1358">
        <f t="shared" ca="1" si="191"/>
        <v>9.0694270072717957E-3</v>
      </c>
      <c r="L518" s="1358">
        <f t="shared" ca="1" si="191"/>
        <v>8.8609173289668705E-3</v>
      </c>
      <c r="M518" s="1358">
        <f t="shared" ca="1" si="191"/>
        <v>8.15783287588576E-3</v>
      </c>
    </row>
    <row r="519" spans="2:13" outlineLevel="1" x14ac:dyDescent="0.25">
      <c r="B519" s="353" t="s">
        <v>1266</v>
      </c>
      <c r="G519" s="1358">
        <f t="shared" ref="G519:M519" ca="1" si="192">G226/G$472</f>
        <v>1.6521041881285225E-3</v>
      </c>
      <c r="H519" s="1358">
        <f t="shared" ca="1" si="192"/>
        <v>1.6521041881285225E-3</v>
      </c>
      <c r="I519" s="1358">
        <f t="shared" ca="1" si="192"/>
        <v>1.6400472215662874E-3</v>
      </c>
      <c r="J519" s="1358">
        <f t="shared" ca="1" si="192"/>
        <v>1.6331932341304724E-3</v>
      </c>
      <c r="K519" s="1358">
        <f t="shared" ca="1" si="192"/>
        <v>1.6008908906980084E-3</v>
      </c>
      <c r="L519" s="1358">
        <f t="shared" ca="1" si="192"/>
        <v>1.5652802320378766E-3</v>
      </c>
      <c r="M519" s="1358">
        <f t="shared" ca="1" si="192"/>
        <v>1.4429643071669669E-3</v>
      </c>
    </row>
    <row r="520" spans="2:13" outlineLevel="1" x14ac:dyDescent="0.25">
      <c r="B520" s="353" t="s">
        <v>1267</v>
      </c>
      <c r="G520" s="1358">
        <f t="shared" ref="G520:M520" ca="1" si="193">G227/G$472</f>
        <v>1.9376045586520823E-2</v>
      </c>
      <c r="H520" s="1358">
        <f t="shared" ca="1" si="193"/>
        <v>1.9376045586520823E-2</v>
      </c>
      <c r="I520" s="1358">
        <f t="shared" ca="1" si="193"/>
        <v>1.9219030475183634E-2</v>
      </c>
      <c r="J520" s="1358">
        <f t="shared" ca="1" si="193"/>
        <v>1.8967794423411351E-2</v>
      </c>
      <c r="K520" s="1358">
        <f t="shared" ca="1" si="193"/>
        <v>1.8578067568586303E-2</v>
      </c>
      <c r="L520" s="1358">
        <f t="shared" ca="1" si="193"/>
        <v>1.7815447150463008E-2</v>
      </c>
      <c r="M520" s="1358">
        <f t="shared" ca="1" si="193"/>
        <v>1.5648632593661074E-2</v>
      </c>
    </row>
    <row r="521" spans="2:13" outlineLevel="1" x14ac:dyDescent="0.25">
      <c r="B521" s="353" t="s">
        <v>1268</v>
      </c>
      <c r="G521" s="1358">
        <f t="shared" ref="G521:M521" ca="1" si="194">G228/G$472</f>
        <v>1.9376045586520824E-3</v>
      </c>
      <c r="H521" s="1358">
        <f t="shared" ca="1" si="194"/>
        <v>1.9376045586520824E-3</v>
      </c>
      <c r="I521" s="1358">
        <f t="shared" ca="1" si="194"/>
        <v>1.9219030475183634E-3</v>
      </c>
      <c r="J521" s="1358">
        <f t="shared" ca="1" si="194"/>
        <v>1.8967794423411352E-3</v>
      </c>
      <c r="K521" s="1358">
        <f t="shared" ca="1" si="194"/>
        <v>1.8578067568586305E-3</v>
      </c>
      <c r="L521" s="1358">
        <f t="shared" ca="1" si="194"/>
        <v>1.781544715046301E-3</v>
      </c>
      <c r="M521" s="1358">
        <f t="shared" ca="1" si="194"/>
        <v>1.5648632593661075E-3</v>
      </c>
    </row>
    <row r="522" spans="2:13" outlineLevel="1" x14ac:dyDescent="0.25">
      <c r="B522" s="353" t="s">
        <v>1495</v>
      </c>
      <c r="G522" s="1358">
        <f t="shared" ref="G522:M522" ca="1" si="195">G229/G$472</f>
        <v>5.0970921620134613E-2</v>
      </c>
      <c r="H522" s="1358">
        <f t="shared" ca="1" si="195"/>
        <v>5.0970921620134613E-2</v>
      </c>
      <c r="I522" s="1358">
        <f t="shared" ca="1" si="195"/>
        <v>5.0592215425499985E-2</v>
      </c>
      <c r="J522" s="1358">
        <f t="shared" ca="1" si="195"/>
        <v>5.013248951253764E-2</v>
      </c>
      <c r="K522" s="1358">
        <f t="shared" ca="1" si="195"/>
        <v>4.9165606035755656E-2</v>
      </c>
      <c r="L522" s="1358">
        <f t="shared" ca="1" si="195"/>
        <v>4.7594885608999903E-2</v>
      </c>
      <c r="M522" s="1358">
        <f t="shared" ca="1" si="195"/>
        <v>4.2878403567173762E-2</v>
      </c>
    </row>
    <row r="523" spans="2:13" outlineLevel="1" x14ac:dyDescent="0.25">
      <c r="B523" s="353"/>
      <c r="G523" s="1358"/>
      <c r="H523" s="1358"/>
      <c r="I523" s="1358"/>
      <c r="J523" s="1358"/>
      <c r="K523" s="1358"/>
      <c r="L523" s="1358"/>
      <c r="M523" s="1358"/>
    </row>
    <row r="524" spans="2:13" ht="13" outlineLevel="1" x14ac:dyDescent="0.3">
      <c r="B524" s="1360" t="s">
        <v>1567</v>
      </c>
      <c r="G524" s="1358"/>
      <c r="H524" s="1358"/>
      <c r="I524" s="1358"/>
      <c r="J524" s="1358"/>
      <c r="K524" s="1358"/>
      <c r="L524" s="1358"/>
      <c r="M524" s="1358"/>
    </row>
    <row r="525" spans="2:13" outlineLevel="1" x14ac:dyDescent="0.25">
      <c r="B525" s="353" t="s">
        <v>1497</v>
      </c>
      <c r="G525" s="1358">
        <f t="shared" ref="G525:M525" ca="1" si="196">G232/G$472</f>
        <v>0.1443149462607326</v>
      </c>
      <c r="H525" s="1358">
        <f t="shared" ca="1" si="196"/>
        <v>0.1443149462607326</v>
      </c>
      <c r="I525" s="1358">
        <f t="shared" ca="1" si="196"/>
        <v>0.14321300096628586</v>
      </c>
      <c r="J525" s="1358">
        <f t="shared" ca="1" si="196"/>
        <v>0.14166611813836114</v>
      </c>
      <c r="K525" s="1358">
        <f t="shared" ca="1" si="196"/>
        <v>0.13890525057254893</v>
      </c>
      <c r="L525" s="1358">
        <f t="shared" ca="1" si="196"/>
        <v>0.13397653498026532</v>
      </c>
      <c r="M525" s="1358">
        <f t="shared" ca="1" si="196"/>
        <v>0.11963746645352574</v>
      </c>
    </row>
    <row r="526" spans="2:13" outlineLevel="1" x14ac:dyDescent="0.25">
      <c r="G526" s="1358"/>
      <c r="H526" s="1358"/>
      <c r="I526" s="1358"/>
      <c r="J526" s="1358"/>
      <c r="K526" s="1358"/>
      <c r="L526" s="1358"/>
      <c r="M526" s="1358"/>
    </row>
    <row r="527" spans="2:13" ht="14" outlineLevel="1" x14ac:dyDescent="0.3">
      <c r="B527" s="665" t="s">
        <v>1607</v>
      </c>
      <c r="G527" s="1358"/>
      <c r="H527" s="1358"/>
      <c r="I527" s="1358"/>
      <c r="J527" s="1358"/>
      <c r="K527" s="1358"/>
      <c r="L527" s="1358"/>
      <c r="M527" s="1358"/>
    </row>
    <row r="528" spans="2:13" outlineLevel="1" x14ac:dyDescent="0.25">
      <c r="B528" s="353" t="s">
        <v>1569</v>
      </c>
      <c r="G528" s="1358">
        <f t="shared" ref="G528:M528" ca="1" si="197">G235/G$472</f>
        <v>0.72331706537820317</v>
      </c>
      <c r="H528" s="1358">
        <f t="shared" ca="1" si="197"/>
        <v>0.72331706537820317</v>
      </c>
      <c r="I528" s="1358">
        <f t="shared" ca="1" si="197"/>
        <v>0.72410174607553002</v>
      </c>
      <c r="J528" s="1358">
        <f t="shared" ca="1" si="197"/>
        <v>0.72547469207872717</v>
      </c>
      <c r="K528" s="1358">
        <f t="shared" ca="1" si="197"/>
        <v>0.72764237074209592</v>
      </c>
      <c r="L528" s="1358">
        <f t="shared" ca="1" si="197"/>
        <v>0.73141105808713258</v>
      </c>
      <c r="M528" s="1358">
        <f t="shared" ca="1" si="197"/>
        <v>0.74257454785789467</v>
      </c>
    </row>
    <row r="529" spans="2:13" outlineLevel="1" x14ac:dyDescent="0.25">
      <c r="B529" s="353"/>
      <c r="G529" s="1358"/>
      <c r="H529" s="1358"/>
      <c r="I529" s="1358"/>
      <c r="J529" s="1358"/>
      <c r="K529" s="1358"/>
      <c r="L529" s="1358"/>
      <c r="M529" s="1358"/>
    </row>
    <row r="530" spans="2:13" ht="14" outlineLevel="1" x14ac:dyDescent="0.3">
      <c r="B530" s="665" t="s">
        <v>22</v>
      </c>
      <c r="G530" s="1358"/>
      <c r="H530" s="1358"/>
      <c r="I530" s="1358"/>
      <c r="J530" s="1358"/>
      <c r="K530" s="1358"/>
      <c r="L530" s="1358"/>
      <c r="M530" s="1358"/>
    </row>
    <row r="531" spans="2:13" outlineLevel="1" x14ac:dyDescent="0.25">
      <c r="B531" s="353" t="s">
        <v>1415</v>
      </c>
      <c r="G531" s="1358">
        <f t="shared" ref="G531:M531" ca="1" si="198">G238/G$472</f>
        <v>3.4450719464322328E-2</v>
      </c>
      <c r="H531" s="1358">
        <f t="shared" ca="1" si="198"/>
        <v>3.4450719464322328E-2</v>
      </c>
      <c r="I531" s="1358">
        <f t="shared" ca="1" si="198"/>
        <v>3.4171545701637752E-2</v>
      </c>
      <c r="J531" s="1358">
        <f t="shared" ca="1" si="198"/>
        <v>3.3724846569955697E-2</v>
      </c>
      <c r="K531" s="1358">
        <f t="shared" ca="1" si="198"/>
        <v>3.3031910001276761E-2</v>
      </c>
      <c r="L531" s="1358">
        <f t="shared" ca="1" si="198"/>
        <v>3.1675966552175527E-2</v>
      </c>
      <c r="M531" s="1358">
        <f t="shared" ca="1" si="198"/>
        <v>2.7823357922914072E-2</v>
      </c>
    </row>
    <row r="532" spans="2:13" outlineLevel="1" x14ac:dyDescent="0.25">
      <c r="B532" s="353"/>
      <c r="G532" s="1358"/>
      <c r="H532" s="1358"/>
      <c r="I532" s="1358"/>
      <c r="J532" s="1358"/>
      <c r="K532" s="1358"/>
      <c r="L532" s="1358"/>
      <c r="M532" s="1358"/>
    </row>
    <row r="533" spans="2:13" ht="15.5" outlineLevel="1" x14ac:dyDescent="0.35">
      <c r="B533" s="27" t="s">
        <v>1608</v>
      </c>
      <c r="C533" s="130"/>
      <c r="D533" s="130"/>
      <c r="E533" s="130"/>
      <c r="F533" s="130"/>
      <c r="G533" s="1358"/>
      <c r="H533" s="1358"/>
      <c r="I533" s="1358"/>
      <c r="J533" s="1358"/>
      <c r="K533" s="1358"/>
      <c r="L533" s="1358"/>
      <c r="M533" s="1358"/>
    </row>
    <row r="534" spans="2:13" ht="14" outlineLevel="1" x14ac:dyDescent="0.3">
      <c r="B534" s="665" t="s">
        <v>1279</v>
      </c>
      <c r="C534" s="353"/>
      <c r="D534" s="130"/>
      <c r="E534" s="130"/>
      <c r="F534" s="130"/>
      <c r="G534" s="1358"/>
      <c r="H534" s="1358"/>
      <c r="I534" s="1358"/>
      <c r="J534" s="1358"/>
      <c r="K534" s="1358"/>
      <c r="L534" s="1358"/>
      <c r="M534" s="1358"/>
    </row>
    <row r="535" spans="2:13" ht="13" outlineLevel="1" x14ac:dyDescent="0.3">
      <c r="B535" s="327" t="s">
        <v>1111</v>
      </c>
      <c r="D535" s="130"/>
      <c r="E535" s="130"/>
      <c r="F535" s="130"/>
      <c r="G535" s="1358"/>
      <c r="H535" s="1358"/>
      <c r="I535" s="1358"/>
      <c r="J535" s="1358"/>
      <c r="K535" s="1358"/>
      <c r="L535" s="1358"/>
      <c r="M535" s="1358"/>
    </row>
    <row r="536" spans="2:13" ht="13" outlineLevel="1" x14ac:dyDescent="0.3">
      <c r="C536" s="353" t="s">
        <v>1609</v>
      </c>
      <c r="D536" s="130"/>
      <c r="E536" s="130"/>
      <c r="F536" s="130"/>
      <c r="G536" s="1358">
        <f t="shared" ref="G536:M536" ca="1" si="199">G243/G$472</f>
        <v>1.7034601328345079E-3</v>
      </c>
      <c r="H536" s="1358">
        <f t="shared" ca="1" si="199"/>
        <v>1.7034601328345079E-3</v>
      </c>
      <c r="I536" s="1358">
        <f t="shared" ca="1" si="199"/>
        <v>1.6878419595654278E-3</v>
      </c>
      <c r="J536" s="1358">
        <f t="shared" ca="1" si="199"/>
        <v>1.6635747612327671E-3</v>
      </c>
      <c r="K536" s="1358">
        <f t="shared" ca="1" si="199"/>
        <v>1.6268996666890167E-3</v>
      </c>
      <c r="L536" s="1358">
        <f t="shared" ca="1" si="199"/>
        <v>1.5572521654554803E-3</v>
      </c>
      <c r="M536" s="1358">
        <f t="shared" ca="1" si="199"/>
        <v>1.3645321507021989E-3</v>
      </c>
    </row>
    <row r="537" spans="2:13" ht="13" outlineLevel="1" x14ac:dyDescent="0.3">
      <c r="C537" s="353" t="s">
        <v>1610</v>
      </c>
      <c r="D537" s="130"/>
      <c r="E537" s="130"/>
      <c r="F537" s="130"/>
      <c r="G537" s="1358">
        <f t="shared" ref="G537:M537" ca="1" si="200">G244/G$472</f>
        <v>9.2618115284523999E-3</v>
      </c>
      <c r="H537" s="1358">
        <f t="shared" ca="1" si="200"/>
        <v>9.2618115284523999E-3</v>
      </c>
      <c r="I537" s="1358">
        <f t="shared" ca="1" si="200"/>
        <v>9.1768946146669073E-3</v>
      </c>
      <c r="J537" s="1358">
        <f t="shared" ca="1" si="200"/>
        <v>9.0449524500406733E-3</v>
      </c>
      <c r="K537" s="1358">
        <f t="shared" ca="1" si="200"/>
        <v>8.8455478341620646E-3</v>
      </c>
      <c r="L537" s="1358">
        <f t="shared" ca="1" si="200"/>
        <v>8.4668703309913208E-3</v>
      </c>
      <c r="M537" s="1358">
        <f t="shared" ca="1" si="200"/>
        <v>7.4190404346524078E-3</v>
      </c>
    </row>
    <row r="538" spans="2:13" ht="13" outlineLevel="1" x14ac:dyDescent="0.3">
      <c r="C538" s="353" t="s">
        <v>1611</v>
      </c>
      <c r="D538" s="130"/>
      <c r="E538" s="130"/>
      <c r="F538" s="130"/>
      <c r="G538" s="1358">
        <f t="shared" ref="G538:M538" ca="1" si="201">G245/G$472</f>
        <v>6.7153769845809154E-4</v>
      </c>
      <c r="H538" s="1358">
        <f t="shared" ca="1" si="201"/>
        <v>6.7153769845809154E-4</v>
      </c>
      <c r="I538" s="1358">
        <f t="shared" ca="1" si="201"/>
        <v>6.653409978948214E-4</v>
      </c>
      <c r="J538" s="1358">
        <f t="shared" ca="1" si="201"/>
        <v>6.5572674083069847E-4</v>
      </c>
      <c r="K538" s="1358">
        <f t="shared" ca="1" si="201"/>
        <v>6.4121604834977916E-4</v>
      </c>
      <c r="L538" s="1358">
        <f t="shared" ca="1" si="201"/>
        <v>6.1370296626704613E-4</v>
      </c>
      <c r="M538" s="1358">
        <f t="shared" ca="1" si="201"/>
        <v>5.3768070236372893E-4</v>
      </c>
    </row>
    <row r="539" spans="2:13" ht="13" outlineLevel="1" x14ac:dyDescent="0.3">
      <c r="C539" s="353" t="s">
        <v>1612</v>
      </c>
      <c r="D539" s="130"/>
      <c r="E539" s="130"/>
      <c r="F539" s="130"/>
      <c r="G539" s="1358">
        <f t="shared" ref="G539:M539" ca="1" si="202">G246/G$472</f>
        <v>1.1636809359744999E-2</v>
      </c>
      <c r="H539" s="1358">
        <f t="shared" ca="1" si="202"/>
        <v>1.1636809359744999E-2</v>
      </c>
      <c r="I539" s="1358">
        <f t="shared" ca="1" si="202"/>
        <v>1.1530077572127156E-2</v>
      </c>
      <c r="J539" s="1358">
        <f t="shared" ca="1" si="202"/>
        <v>1.1364253952104136E-2</v>
      </c>
      <c r="K539" s="1358">
        <f t="shared" ca="1" si="202"/>
        <v>1.1113663549200859E-2</v>
      </c>
      <c r="L539" s="1358">
        <f t="shared" ca="1" si="202"/>
        <v>1.0637825462713848E-2</v>
      </c>
      <c r="M539" s="1358">
        <f t="shared" ca="1" si="202"/>
        <v>9.3212532877183351E-3</v>
      </c>
    </row>
    <row r="540" spans="2:13" ht="13" outlineLevel="1" x14ac:dyDescent="0.3">
      <c r="C540" s="353"/>
      <c r="D540" s="130"/>
      <c r="E540" s="130"/>
      <c r="F540" s="130"/>
      <c r="G540" s="1358"/>
      <c r="H540" s="1358"/>
      <c r="I540" s="1358"/>
      <c r="J540" s="1358"/>
      <c r="K540" s="1358"/>
      <c r="L540" s="1358"/>
      <c r="M540" s="1358"/>
    </row>
    <row r="541" spans="2:13" ht="13" outlineLevel="1" x14ac:dyDescent="0.3">
      <c r="B541" s="327" t="s">
        <v>1116</v>
      </c>
      <c r="D541" s="130"/>
      <c r="E541" s="130"/>
      <c r="F541" s="130"/>
      <c r="G541" s="1358"/>
      <c r="H541" s="1358"/>
      <c r="I541" s="1358"/>
      <c r="J541" s="1358"/>
      <c r="K541" s="1358"/>
      <c r="L541" s="1358"/>
      <c r="M541" s="1358"/>
    </row>
    <row r="542" spans="2:13" ht="13" outlineLevel="1" x14ac:dyDescent="0.3">
      <c r="C542" s="353" t="s">
        <v>1609</v>
      </c>
      <c r="D542" s="130"/>
      <c r="E542" s="130"/>
      <c r="F542" s="130"/>
      <c r="G542" s="1358">
        <f t="shared" ref="G542:M542" ca="1" si="203">G249/G$472</f>
        <v>2.3030380679099393E-3</v>
      </c>
      <c r="H542" s="1358">
        <f t="shared" ca="1" si="203"/>
        <v>2.3030380679099393E-3</v>
      </c>
      <c r="I542" s="1358">
        <f t="shared" ca="1" si="203"/>
        <v>2.2814447219423458E-3</v>
      </c>
      <c r="J542" s="1358">
        <f t="shared" ca="1" si="203"/>
        <v>2.2483314822554883E-3</v>
      </c>
      <c r="K542" s="1358">
        <f t="shared" ca="1" si="203"/>
        <v>2.1974904093964138E-3</v>
      </c>
      <c r="L542" s="1358">
        <f t="shared" ca="1" si="203"/>
        <v>2.1019989578910606E-3</v>
      </c>
      <c r="M542" s="1358">
        <f t="shared" ca="1" si="203"/>
        <v>1.8375392762337653E-3</v>
      </c>
    </row>
    <row r="543" spans="2:13" ht="13" outlineLevel="1" x14ac:dyDescent="0.3">
      <c r="C543" s="353" t="s">
        <v>1610</v>
      </c>
      <c r="D543" s="130"/>
      <c r="E543" s="130"/>
      <c r="F543" s="130"/>
      <c r="G543" s="1358">
        <f t="shared" ref="G543:M543" ca="1" si="204">G250/G$472</f>
        <v>1.2985520107144561E-2</v>
      </c>
      <c r="H543" s="1358">
        <f t="shared" ca="1" si="204"/>
        <v>1.2985520107144561E-2</v>
      </c>
      <c r="I543" s="1358">
        <f t="shared" ca="1" si="204"/>
        <v>1.2863767526433999E-2</v>
      </c>
      <c r="J543" s="1358">
        <f t="shared" ca="1" si="204"/>
        <v>1.2677060825508027E-2</v>
      </c>
      <c r="K543" s="1358">
        <f t="shared" ca="1" si="204"/>
        <v>1.239039696915264E-2</v>
      </c>
      <c r="L543" s="1358">
        <f t="shared" ca="1" si="204"/>
        <v>1.1851975055567635E-2</v>
      </c>
      <c r="M543" s="1358">
        <f t="shared" ca="1" si="204"/>
        <v>1.036083751792093E-2</v>
      </c>
    </row>
    <row r="544" spans="2:13" ht="13" outlineLevel="1" x14ac:dyDescent="0.3">
      <c r="C544" s="353" t="s">
        <v>1611</v>
      </c>
      <c r="D544" s="130"/>
      <c r="E544" s="130"/>
      <c r="F544" s="130"/>
      <c r="G544" s="1358">
        <f t="shared" ref="G544:M544" ca="1" si="205">G251/G$472</f>
        <v>7.3983309689081218E-4</v>
      </c>
      <c r="H544" s="1358">
        <f t="shared" ca="1" si="205"/>
        <v>7.3983309689081218E-4</v>
      </c>
      <c r="I544" s="1358">
        <f t="shared" ca="1" si="205"/>
        <v>7.3284413722316541E-4</v>
      </c>
      <c r="J544" s="1358">
        <f t="shared" ca="1" si="205"/>
        <v>7.2214886508450982E-4</v>
      </c>
      <c r="K544" s="1358">
        <f t="shared" ca="1" si="205"/>
        <v>7.0573626068489662E-4</v>
      </c>
      <c r="L544" s="1358">
        <f t="shared" ca="1" si="205"/>
        <v>6.7497447022085114E-4</v>
      </c>
      <c r="M544" s="1358">
        <f t="shared" ca="1" si="205"/>
        <v>5.8989698103873941E-4</v>
      </c>
    </row>
    <row r="545" spans="2:13" ht="13" outlineLevel="1" x14ac:dyDescent="0.3">
      <c r="C545" s="353" t="s">
        <v>1612</v>
      </c>
      <c r="D545" s="130"/>
      <c r="E545" s="130"/>
      <c r="F545" s="130"/>
      <c r="G545" s="1358">
        <f t="shared" ref="G545:M545" ca="1" si="206">G252/G$472</f>
        <v>1.6028391271945313E-2</v>
      </c>
      <c r="H545" s="1358">
        <f t="shared" ca="1" si="206"/>
        <v>1.6028391271945313E-2</v>
      </c>
      <c r="I545" s="1358">
        <f t="shared" ca="1" si="206"/>
        <v>1.5878056385599509E-2</v>
      </c>
      <c r="J545" s="1358">
        <f t="shared" ca="1" si="206"/>
        <v>1.5647541172848025E-2</v>
      </c>
      <c r="K545" s="1358">
        <f t="shared" ca="1" si="206"/>
        <v>1.5293623639233951E-2</v>
      </c>
      <c r="L545" s="1358">
        <f t="shared" ca="1" si="206"/>
        <v>1.4628948483679547E-2</v>
      </c>
      <c r="M545" s="1358">
        <f t="shared" ca="1" si="206"/>
        <v>1.2788273775193435E-2</v>
      </c>
    </row>
    <row r="546" spans="2:13" ht="13" outlineLevel="1" x14ac:dyDescent="0.3">
      <c r="C546" s="353"/>
      <c r="D546" s="130"/>
      <c r="E546" s="130"/>
      <c r="F546" s="130"/>
      <c r="G546" s="1358"/>
      <c r="H546" s="1358"/>
      <c r="I546" s="1358"/>
      <c r="J546" s="1358"/>
      <c r="K546" s="1358"/>
      <c r="L546" s="1358"/>
      <c r="M546" s="1358"/>
    </row>
    <row r="547" spans="2:13" ht="13" outlineLevel="1" x14ac:dyDescent="0.3">
      <c r="B547" s="327" t="s">
        <v>1575</v>
      </c>
      <c r="D547" s="130"/>
      <c r="E547" s="130"/>
      <c r="F547" s="130"/>
      <c r="G547" s="1358"/>
      <c r="H547" s="1358"/>
      <c r="I547" s="1358"/>
      <c r="J547" s="1358"/>
      <c r="K547" s="1358"/>
      <c r="L547" s="1358"/>
      <c r="M547" s="1358"/>
    </row>
    <row r="548" spans="2:13" ht="13" outlineLevel="1" x14ac:dyDescent="0.3">
      <c r="C548" s="353" t="s">
        <v>1609</v>
      </c>
      <c r="D548" s="130"/>
      <c r="E548" s="130"/>
      <c r="F548" s="130"/>
      <c r="G548" s="1358">
        <f t="shared" ref="G548:M548" ca="1" si="207">G255/G$472</f>
        <v>4.0064982007444469E-3</v>
      </c>
      <c r="H548" s="1358">
        <f t="shared" ca="1" si="207"/>
        <v>4.0064982007444469E-3</v>
      </c>
      <c r="I548" s="1358">
        <f t="shared" ca="1" si="207"/>
        <v>3.9692866815077736E-3</v>
      </c>
      <c r="J548" s="1358">
        <f t="shared" ca="1" si="207"/>
        <v>3.9119062434882553E-3</v>
      </c>
      <c r="K548" s="1358">
        <f t="shared" ca="1" si="207"/>
        <v>3.8243900760854305E-3</v>
      </c>
      <c r="L548" s="1358">
        <f t="shared" ca="1" si="207"/>
        <v>3.659251123346541E-3</v>
      </c>
      <c r="M548" s="1358">
        <f t="shared" ca="1" si="207"/>
        <v>3.2020714269359644E-3</v>
      </c>
    </row>
    <row r="549" spans="2:13" ht="13" outlineLevel="1" x14ac:dyDescent="0.3">
      <c r="C549" s="353" t="s">
        <v>1610</v>
      </c>
      <c r="D549" s="130"/>
      <c r="E549" s="130"/>
      <c r="F549" s="130"/>
      <c r="G549" s="1358">
        <f t="shared" ref="G549:M549" ca="1" si="208">G256/G$472</f>
        <v>2.2247331635596963E-2</v>
      </c>
      <c r="H549" s="1358">
        <f t="shared" ca="1" si="208"/>
        <v>2.2247331635596963E-2</v>
      </c>
      <c r="I549" s="1358">
        <f t="shared" ca="1" si="208"/>
        <v>2.2040662141100904E-2</v>
      </c>
      <c r="J549" s="1358">
        <f t="shared" ca="1" si="208"/>
        <v>2.17220132755487E-2</v>
      </c>
      <c r="K549" s="1358">
        <f t="shared" ca="1" si="208"/>
        <v>2.1235944803314706E-2</v>
      </c>
      <c r="L549" s="1358">
        <f t="shared" ca="1" si="208"/>
        <v>2.0318845386558957E-2</v>
      </c>
      <c r="M549" s="1358">
        <f t="shared" ca="1" si="208"/>
        <v>1.7779877952573336E-2</v>
      </c>
    </row>
    <row r="550" spans="2:13" ht="13" outlineLevel="1" x14ac:dyDescent="0.3">
      <c r="C550" s="353" t="s">
        <v>1611</v>
      </c>
      <c r="D550" s="130"/>
      <c r="E550" s="130"/>
      <c r="F550" s="130"/>
      <c r="G550" s="1358">
        <f t="shared" ref="G550:M550" ca="1" si="209">G257/G$472</f>
        <v>1.4113707953489036E-3</v>
      </c>
      <c r="H550" s="1358">
        <f t="shared" ca="1" si="209"/>
        <v>1.4113707953489036E-3</v>
      </c>
      <c r="I550" s="1358">
        <f t="shared" ca="1" si="209"/>
        <v>1.3981851351179868E-3</v>
      </c>
      <c r="J550" s="1358">
        <f t="shared" ca="1" si="209"/>
        <v>1.3778756059152082E-3</v>
      </c>
      <c r="K550" s="1358">
        <f t="shared" ca="1" si="209"/>
        <v>1.3469523090346757E-3</v>
      </c>
      <c r="L550" s="1358">
        <f t="shared" ca="1" si="209"/>
        <v>1.2886774364878973E-3</v>
      </c>
      <c r="M550" s="1358">
        <f t="shared" ca="1" si="209"/>
        <v>1.1275776834024683E-3</v>
      </c>
    </row>
    <row r="551" spans="2:13" ht="13" outlineLevel="1" x14ac:dyDescent="0.3">
      <c r="C551" s="353" t="s">
        <v>1612</v>
      </c>
      <c r="D551" s="130"/>
      <c r="E551" s="130"/>
      <c r="F551" s="130"/>
      <c r="G551" s="1358">
        <f t="shared" ref="G551:M551" ca="1" si="210">G258/G$472</f>
        <v>2.7665200631690316E-2</v>
      </c>
      <c r="H551" s="1358">
        <f t="shared" ca="1" si="210"/>
        <v>2.7665200631690316E-2</v>
      </c>
      <c r="I551" s="1358">
        <f t="shared" ca="1" si="210"/>
        <v>2.7408133957726667E-2</v>
      </c>
      <c r="J551" s="1358">
        <f t="shared" ca="1" si="210"/>
        <v>2.7011795124952161E-2</v>
      </c>
      <c r="K551" s="1358">
        <f t="shared" ca="1" si="210"/>
        <v>2.6407287188434811E-2</v>
      </c>
      <c r="L551" s="1358">
        <f t="shared" ca="1" si="210"/>
        <v>2.5266773946393397E-2</v>
      </c>
      <c r="M551" s="1358">
        <f t="shared" ca="1" si="210"/>
        <v>2.210952706291177E-2</v>
      </c>
    </row>
    <row r="552" spans="2:13" ht="13" outlineLevel="1" x14ac:dyDescent="0.3">
      <c r="C552" s="353"/>
      <c r="D552" s="130"/>
      <c r="E552" s="130"/>
      <c r="F552" s="130"/>
      <c r="G552" s="1358"/>
      <c r="H552" s="1358"/>
      <c r="I552" s="1358"/>
      <c r="J552" s="1358"/>
      <c r="K552" s="1358"/>
      <c r="L552" s="1358"/>
      <c r="M552" s="1358"/>
    </row>
    <row r="553" spans="2:13" ht="14" outlineLevel="1" x14ac:dyDescent="0.3">
      <c r="B553" s="665" t="s">
        <v>1283</v>
      </c>
      <c r="D553" s="130"/>
      <c r="E553" s="130"/>
      <c r="F553" s="130"/>
      <c r="G553" s="1358"/>
      <c r="H553" s="1358"/>
      <c r="I553" s="1358"/>
      <c r="J553" s="1358"/>
      <c r="K553" s="1358"/>
      <c r="L553" s="1358"/>
      <c r="M553" s="1358"/>
    </row>
    <row r="554" spans="2:13" ht="13" outlineLevel="1" x14ac:dyDescent="0.3">
      <c r="B554" s="327" t="s">
        <v>1111</v>
      </c>
      <c r="D554" s="130"/>
      <c r="E554" s="130"/>
      <c r="F554" s="130"/>
      <c r="G554" s="1358"/>
      <c r="H554" s="1358"/>
      <c r="I554" s="1358"/>
      <c r="J554" s="1358"/>
      <c r="K554" s="1358"/>
      <c r="L554" s="1358"/>
      <c r="M554" s="1358"/>
    </row>
    <row r="555" spans="2:13" ht="13" outlineLevel="1" x14ac:dyDescent="0.3">
      <c r="C555" s="353" t="s">
        <v>1609</v>
      </c>
      <c r="D555" s="130"/>
      <c r="E555" s="130"/>
      <c r="F555" s="130"/>
      <c r="G555" s="1358">
        <f t="shared" ref="G555:M555" ca="1" si="211">G262/G$472</f>
        <v>3.4448857127816746E-4</v>
      </c>
      <c r="H555" s="1358">
        <f t="shared" ca="1" si="211"/>
        <v>3.4448857127816746E-4</v>
      </c>
      <c r="I555" s="1358">
        <f t="shared" ca="1" si="211"/>
        <v>3.6686157777406916E-4</v>
      </c>
      <c r="J555" s="1358">
        <f t="shared" ca="1" si="211"/>
        <v>3.9976971153879562E-4</v>
      </c>
      <c r="K555" s="1358">
        <f t="shared" ca="1" si="211"/>
        <v>4.4883238049996934E-4</v>
      </c>
      <c r="L555" s="1358">
        <f t="shared" ca="1" si="211"/>
        <v>5.3110856927033917E-4</v>
      </c>
      <c r="M555" s="1358">
        <f t="shared" ca="1" si="211"/>
        <v>7.2432916248516964E-4</v>
      </c>
    </row>
    <row r="556" spans="2:13" ht="13" outlineLevel="1" x14ac:dyDescent="0.3">
      <c r="C556" s="353" t="s">
        <v>1610</v>
      </c>
      <c r="D556" s="130"/>
      <c r="E556" s="130"/>
      <c r="F556" s="130"/>
      <c r="G556" s="1358">
        <f t="shared" ref="G556:M556" ca="1" si="212">G263/G$472</f>
        <v>2.6379387035358878E-3</v>
      </c>
      <c r="H556" s="1358">
        <f t="shared" ca="1" si="212"/>
        <v>2.6379387035358878E-3</v>
      </c>
      <c r="I556" s="1358">
        <f t="shared" ca="1" si="212"/>
        <v>2.808590608501129E-3</v>
      </c>
      <c r="J556" s="1358">
        <f t="shared" ca="1" si="212"/>
        <v>3.0596261207740129E-3</v>
      </c>
      <c r="K556" s="1358">
        <f t="shared" ca="1" si="212"/>
        <v>3.433956736990232E-3</v>
      </c>
      <c r="L556" s="1358">
        <f t="shared" ca="1" si="212"/>
        <v>4.0617819950199609E-3</v>
      </c>
      <c r="M556" s="1358">
        <f t="shared" ca="1" si="212"/>
        <v>5.5364943870484474E-3</v>
      </c>
    </row>
    <row r="557" spans="2:13" ht="13" outlineLevel="1" x14ac:dyDescent="0.3">
      <c r="C557" s="353" t="s">
        <v>1611</v>
      </c>
      <c r="D557" s="130"/>
      <c r="E557" s="130"/>
      <c r="F557" s="130"/>
      <c r="G557" s="1358">
        <f t="shared" ref="G557:M557" ca="1" si="213">G264/G$472</f>
        <v>8.0570884638181981E-4</v>
      </c>
      <c r="H557" s="1358">
        <f t="shared" ca="1" si="213"/>
        <v>8.0570884638181981E-4</v>
      </c>
      <c r="I557" s="1358">
        <f t="shared" ca="1" si="213"/>
        <v>8.800905518295863E-4</v>
      </c>
      <c r="J557" s="1358">
        <f t="shared" ca="1" si="213"/>
        <v>9.9357378115359015E-4</v>
      </c>
      <c r="K557" s="1358">
        <f t="shared" ca="1" si="213"/>
        <v>1.1712500641320569E-3</v>
      </c>
      <c r="L557" s="1358">
        <f t="shared" ca="1" si="213"/>
        <v>1.4940218450458372E-3</v>
      </c>
      <c r="M557" s="1358">
        <f t="shared" ca="1" si="213"/>
        <v>2.3842399750196247E-3</v>
      </c>
    </row>
    <row r="558" spans="2:13" ht="13" outlineLevel="1" x14ac:dyDescent="0.3">
      <c r="C558" s="353" t="s">
        <v>1612</v>
      </c>
      <c r="D558" s="130"/>
      <c r="E558" s="130"/>
      <c r="F558" s="130"/>
      <c r="G558" s="1358">
        <f t="shared" ref="G558:M558" ca="1" si="214">G265/G$472</f>
        <v>3.7881361211958751E-3</v>
      </c>
      <c r="H558" s="1358">
        <f t="shared" ca="1" si="214"/>
        <v>3.7881361211958751E-3</v>
      </c>
      <c r="I558" s="1358">
        <f t="shared" ca="1" si="214"/>
        <v>4.0555427381047844E-3</v>
      </c>
      <c r="J558" s="1358">
        <f t="shared" ca="1" si="214"/>
        <v>4.4529696134663994E-3</v>
      </c>
      <c r="K558" s="1358">
        <f t="shared" ca="1" si="214"/>
        <v>5.0540391816222578E-3</v>
      </c>
      <c r="L558" s="1358">
        <f t="shared" ca="1" si="214"/>
        <v>6.0869124093361378E-3</v>
      </c>
      <c r="M558" s="1358">
        <f t="shared" ca="1" si="214"/>
        <v>8.6450635245532426E-3</v>
      </c>
    </row>
    <row r="559" spans="2:13" ht="13" outlineLevel="1" x14ac:dyDescent="0.3">
      <c r="C559" s="353"/>
      <c r="D559" s="130"/>
      <c r="E559" s="130"/>
      <c r="F559" s="130"/>
      <c r="G559" s="1358"/>
      <c r="H559" s="1358"/>
      <c r="I559" s="1358"/>
      <c r="J559" s="1358"/>
      <c r="K559" s="1358"/>
      <c r="L559" s="1358"/>
      <c r="M559" s="1358"/>
    </row>
    <row r="560" spans="2:13" ht="13" outlineLevel="1" x14ac:dyDescent="0.3">
      <c r="B560" s="327" t="s">
        <v>1116</v>
      </c>
      <c r="D560" s="130"/>
      <c r="E560" s="130"/>
      <c r="F560" s="130"/>
      <c r="G560" s="1358"/>
      <c r="H560" s="1358"/>
      <c r="I560" s="1358"/>
      <c r="J560" s="1358"/>
      <c r="K560" s="1358"/>
      <c r="L560" s="1358"/>
      <c r="M560" s="1358"/>
    </row>
    <row r="561" spans="2:13" ht="13" outlineLevel="1" x14ac:dyDescent="0.3">
      <c r="C561" s="353" t="s">
        <v>1609</v>
      </c>
      <c r="D561" s="130"/>
      <c r="E561" s="130"/>
      <c r="F561" s="130"/>
      <c r="G561" s="1358">
        <f t="shared" ref="G561:M561" ca="1" si="215">G268/G$472</f>
        <v>3.4469539755424859E-4</v>
      </c>
      <c r="H561" s="1358">
        <f t="shared" ca="1" si="215"/>
        <v>3.4469539755424859E-4</v>
      </c>
      <c r="I561" s="1358">
        <f t="shared" ca="1" si="215"/>
        <v>3.6702203618438475E-4</v>
      </c>
      <c r="J561" s="1358">
        <f t="shared" ca="1" si="215"/>
        <v>3.9990148081377495E-4</v>
      </c>
      <c r="K561" s="1358">
        <f t="shared" ca="1" si="215"/>
        <v>4.4877789955969928E-4</v>
      </c>
      <c r="L561" s="1358">
        <f t="shared" ca="1" si="215"/>
        <v>5.3076583598426585E-4</v>
      </c>
      <c r="M561" s="1358">
        <f t="shared" ca="1" si="215"/>
        <v>7.2253975726711839E-4</v>
      </c>
    </row>
    <row r="562" spans="2:13" ht="13" outlineLevel="1" x14ac:dyDescent="0.3">
      <c r="C562" s="353" t="s">
        <v>1610</v>
      </c>
      <c r="D562" s="130"/>
      <c r="E562" s="130"/>
      <c r="F562" s="130"/>
      <c r="G562" s="1358">
        <f t="shared" ref="G562:M562" ca="1" si="216">G269/G$472</f>
        <v>2.7271232954970874E-3</v>
      </c>
      <c r="H562" s="1358">
        <f t="shared" ca="1" si="216"/>
        <v>2.7271232954970874E-3</v>
      </c>
      <c r="I562" s="1358">
        <f t="shared" ca="1" si="216"/>
        <v>2.9029365352812838E-3</v>
      </c>
      <c r="J562" s="1358">
        <f t="shared" ca="1" si="216"/>
        <v>3.1619668277485793E-3</v>
      </c>
      <c r="K562" s="1358">
        <f t="shared" ca="1" si="216"/>
        <v>3.546761357899744E-3</v>
      </c>
      <c r="L562" s="1358">
        <f t="shared" ca="1" si="216"/>
        <v>4.1923843749468899E-3</v>
      </c>
      <c r="M562" s="1358">
        <f t="shared" ca="1" si="216"/>
        <v>5.7010999157000811E-3</v>
      </c>
    </row>
    <row r="563" spans="2:13" ht="13" outlineLevel="1" x14ac:dyDescent="0.3">
      <c r="C563" s="353" t="s">
        <v>1611</v>
      </c>
      <c r="D563" s="130"/>
      <c r="E563" s="130"/>
      <c r="F563" s="130"/>
      <c r="G563" s="1358">
        <f t="shared" ref="G563:M563" ca="1" si="217">G270/G$472</f>
        <v>8.0636541654732243E-4</v>
      </c>
      <c r="H563" s="1358">
        <f t="shared" ca="1" si="217"/>
        <v>8.0636541654732243E-4</v>
      </c>
      <c r="I563" s="1358">
        <f t="shared" ca="1" si="217"/>
        <v>8.806130046707302E-4</v>
      </c>
      <c r="J563" s="1358">
        <f t="shared" ca="1" si="217"/>
        <v>9.94018264524035E-4</v>
      </c>
      <c r="K563" s="1358">
        <f t="shared" ca="1" si="217"/>
        <v>1.1710571223914076E-3</v>
      </c>
      <c r="L563" s="1358">
        <f t="shared" ca="1" si="217"/>
        <v>1.4927135507937577E-3</v>
      </c>
      <c r="M563" s="1358">
        <f t="shared" ca="1" si="217"/>
        <v>2.3762497956837663E-3</v>
      </c>
    </row>
    <row r="564" spans="2:13" ht="13" outlineLevel="1" x14ac:dyDescent="0.3">
      <c r="C564" s="353" t="s">
        <v>1612</v>
      </c>
      <c r="D564" s="130"/>
      <c r="E564" s="130"/>
      <c r="F564" s="130"/>
      <c r="G564" s="1358">
        <f t="shared" ref="G564:M564" ca="1" si="218">G271/G$472</f>
        <v>3.8781841095986585E-3</v>
      </c>
      <c r="H564" s="1358">
        <f t="shared" ca="1" si="218"/>
        <v>3.8781841095986585E-3</v>
      </c>
      <c r="I564" s="1358">
        <f t="shared" ca="1" si="218"/>
        <v>4.1505715761363986E-3</v>
      </c>
      <c r="J564" s="1358">
        <f t="shared" ca="1" si="218"/>
        <v>4.5558865730863894E-3</v>
      </c>
      <c r="K564" s="1358">
        <f t="shared" ca="1" si="218"/>
        <v>5.1665963798508512E-3</v>
      </c>
      <c r="L564" s="1358">
        <f t="shared" ca="1" si="218"/>
        <v>6.2158637617249126E-3</v>
      </c>
      <c r="M564" s="1358">
        <f t="shared" ca="1" si="218"/>
        <v>8.7998894686509652E-3</v>
      </c>
    </row>
    <row r="565" spans="2:13" ht="13" outlineLevel="1" x14ac:dyDescent="0.3">
      <c r="C565" s="353"/>
      <c r="D565" s="130"/>
      <c r="E565" s="130"/>
      <c r="F565" s="130"/>
      <c r="G565" s="1358"/>
      <c r="H565" s="1358"/>
      <c r="I565" s="1358"/>
      <c r="J565" s="1358"/>
      <c r="K565" s="1358"/>
      <c r="L565" s="1358"/>
      <c r="M565" s="1358"/>
    </row>
    <row r="566" spans="2:13" ht="13" outlineLevel="1" x14ac:dyDescent="0.3">
      <c r="B566" s="327" t="s">
        <v>1576</v>
      </c>
      <c r="D566" s="130"/>
      <c r="E566" s="130"/>
      <c r="F566" s="130"/>
      <c r="G566" s="1358"/>
      <c r="H566" s="1358"/>
      <c r="I566" s="1358"/>
      <c r="J566" s="1358"/>
      <c r="K566" s="1358"/>
      <c r="L566" s="1358"/>
      <c r="M566" s="1358"/>
    </row>
    <row r="567" spans="2:13" ht="13" outlineLevel="1" x14ac:dyDescent="0.3">
      <c r="C567" s="353" t="s">
        <v>1609</v>
      </c>
      <c r="D567" s="130"/>
      <c r="E567" s="130"/>
      <c r="F567" s="130"/>
      <c r="G567" s="1358">
        <f t="shared" ref="G567:M567" ca="1" si="219">G274/G$472</f>
        <v>6.8918396883241599E-4</v>
      </c>
      <c r="H567" s="1358">
        <f t="shared" ca="1" si="219"/>
        <v>6.8918396883241599E-4</v>
      </c>
      <c r="I567" s="1358">
        <f t="shared" ca="1" si="219"/>
        <v>7.3388361395845402E-4</v>
      </c>
      <c r="J567" s="1358">
        <f t="shared" ca="1" si="219"/>
        <v>7.9967119235257067E-4</v>
      </c>
      <c r="K567" s="1358">
        <f t="shared" ca="1" si="219"/>
        <v>8.9761028005966856E-4</v>
      </c>
      <c r="L567" s="1358">
        <f t="shared" ca="1" si="219"/>
        <v>1.061874405254605E-3</v>
      </c>
      <c r="M567" s="1358">
        <f t="shared" ca="1" si="219"/>
        <v>1.446868919752288E-3</v>
      </c>
    </row>
    <row r="568" spans="2:13" ht="13" outlineLevel="1" x14ac:dyDescent="0.3">
      <c r="C568" s="353" t="s">
        <v>1610</v>
      </c>
      <c r="D568" s="130"/>
      <c r="E568" s="130"/>
      <c r="F568" s="130"/>
      <c r="G568" s="1358">
        <f t="shared" ref="G568:M568" ca="1" si="220">G275/G$472</f>
        <v>5.3650619990329752E-3</v>
      </c>
      <c r="H568" s="1358">
        <f t="shared" ca="1" si="220"/>
        <v>5.3650619990329752E-3</v>
      </c>
      <c r="I568" s="1358">
        <f t="shared" ca="1" si="220"/>
        <v>5.7115271437824123E-3</v>
      </c>
      <c r="J568" s="1358">
        <f t="shared" ca="1" si="220"/>
        <v>6.2215929485225927E-3</v>
      </c>
      <c r="K568" s="1358">
        <f t="shared" ca="1" si="220"/>
        <v>6.9807180948899764E-3</v>
      </c>
      <c r="L568" s="1358">
        <f t="shared" ca="1" si="220"/>
        <v>8.2541663699668508E-3</v>
      </c>
      <c r="M568" s="1358">
        <f t="shared" ca="1" si="220"/>
        <v>1.1237594302748528E-2</v>
      </c>
    </row>
    <row r="569" spans="2:13" ht="13" outlineLevel="1" x14ac:dyDescent="0.3">
      <c r="C569" s="353" t="s">
        <v>1611</v>
      </c>
      <c r="D569" s="130"/>
      <c r="E569" s="130"/>
      <c r="F569" s="130"/>
      <c r="G569" s="1358">
        <f t="shared" ref="G569:M569" ca="1" si="221">G276/G$472</f>
        <v>1.612074262929142E-3</v>
      </c>
      <c r="H569" s="1358">
        <f t="shared" ca="1" si="221"/>
        <v>1.612074262929142E-3</v>
      </c>
      <c r="I569" s="1358">
        <f t="shared" ca="1" si="221"/>
        <v>1.7607035565003167E-3</v>
      </c>
      <c r="J569" s="1358">
        <f t="shared" ca="1" si="221"/>
        <v>1.9875920456776251E-3</v>
      </c>
      <c r="K569" s="1358">
        <f t="shared" ca="1" si="221"/>
        <v>2.3423071865234647E-3</v>
      </c>
      <c r="L569" s="1358">
        <f t="shared" ca="1" si="221"/>
        <v>2.986735395839595E-3</v>
      </c>
      <c r="M569" s="1358">
        <f t="shared" ca="1" si="221"/>
        <v>4.7604897707033914E-3</v>
      </c>
    </row>
    <row r="570" spans="2:13" ht="13" outlineLevel="1" x14ac:dyDescent="0.3">
      <c r="C570" s="353" t="s">
        <v>1612</v>
      </c>
      <c r="D570" s="130"/>
      <c r="E570" s="130"/>
      <c r="F570" s="130"/>
      <c r="G570" s="1358">
        <f t="shared" ref="G570:M570" ca="1" si="222">G277/G$472</f>
        <v>7.6663202307945344E-3</v>
      </c>
      <c r="H570" s="1358">
        <f t="shared" ca="1" si="222"/>
        <v>7.6663202307945344E-3</v>
      </c>
      <c r="I570" s="1358">
        <f t="shared" ca="1" si="222"/>
        <v>8.2061143142411822E-3</v>
      </c>
      <c r="J570" s="1358">
        <f t="shared" ca="1" si="222"/>
        <v>9.008856186552788E-3</v>
      </c>
      <c r="K570" s="1358">
        <f t="shared" ca="1" si="222"/>
        <v>1.022063556147311E-2</v>
      </c>
      <c r="L570" s="1358">
        <f t="shared" ca="1" si="222"/>
        <v>1.230277617106105E-2</v>
      </c>
      <c r="M570" s="1358">
        <f t="shared" ca="1" si="222"/>
        <v>1.744495299320421E-2</v>
      </c>
    </row>
    <row r="571" spans="2:13" ht="13" outlineLevel="1" x14ac:dyDescent="0.3">
      <c r="C571" s="353"/>
      <c r="D571" s="130"/>
      <c r="E571" s="130"/>
      <c r="F571" s="130"/>
      <c r="G571" s="1358"/>
      <c r="H571" s="1358"/>
      <c r="I571" s="1358"/>
      <c r="J571" s="1358"/>
      <c r="K571" s="1358"/>
      <c r="L571" s="1358"/>
      <c r="M571" s="1358"/>
    </row>
    <row r="572" spans="2:13" ht="14" outlineLevel="1" x14ac:dyDescent="0.3">
      <c r="B572" s="665" t="s">
        <v>1122</v>
      </c>
      <c r="D572" s="130"/>
      <c r="E572" s="130"/>
      <c r="F572" s="130"/>
      <c r="G572" s="1358"/>
      <c r="H572" s="1358"/>
      <c r="I572" s="1358"/>
      <c r="J572" s="1358"/>
      <c r="K572" s="1358"/>
      <c r="L572" s="1358"/>
      <c r="M572" s="1358"/>
    </row>
    <row r="573" spans="2:13" ht="13" outlineLevel="1" x14ac:dyDescent="0.3">
      <c r="B573" s="327" t="s">
        <v>1111</v>
      </c>
      <c r="D573" s="130"/>
      <c r="E573" s="130"/>
      <c r="F573" s="130"/>
      <c r="G573" s="1358"/>
      <c r="H573" s="1358"/>
      <c r="I573" s="1358"/>
      <c r="J573" s="1358"/>
      <c r="K573" s="1358"/>
      <c r="L573" s="1358"/>
      <c r="M573" s="1358"/>
    </row>
    <row r="574" spans="2:13" ht="13" outlineLevel="1" x14ac:dyDescent="0.3">
      <c r="C574" s="353" t="s">
        <v>1609</v>
      </c>
      <c r="D574" s="130"/>
      <c r="E574" s="130"/>
      <c r="F574" s="130"/>
      <c r="G574" s="1358">
        <f t="shared" ref="G574:M574" ca="1" si="223">G281/G$472</f>
        <v>3.5616614996556291E-4</v>
      </c>
      <c r="H574" s="1358">
        <f t="shared" ca="1" si="223"/>
        <v>3.5616614996556291E-4</v>
      </c>
      <c r="I574" s="1358">
        <f t="shared" ca="1" si="223"/>
        <v>3.7929756346132573E-4</v>
      </c>
      <c r="J574" s="1358">
        <f t="shared" ca="1" si="223"/>
        <v>4.133212271841785E-4</v>
      </c>
      <c r="K574" s="1358">
        <f t="shared" ca="1" si="223"/>
        <v>4.6404703746606994E-4</v>
      </c>
      <c r="L574" s="1358">
        <f t="shared" ca="1" si="223"/>
        <v>5.4911224958458806E-4</v>
      </c>
      <c r="M574" s="1358">
        <f t="shared" ca="1" si="223"/>
        <v>7.4888269341687045E-4</v>
      </c>
    </row>
    <row r="575" spans="2:13" ht="13" outlineLevel="1" x14ac:dyDescent="0.3">
      <c r="C575" s="353" t="s">
        <v>1610</v>
      </c>
      <c r="D575" s="130"/>
      <c r="E575" s="130"/>
      <c r="F575" s="130"/>
      <c r="G575" s="1358">
        <f t="shared" ref="G575:M575" ca="1" si="224">G282/G$472</f>
        <v>7.1345043925926342E-4</v>
      </c>
      <c r="H575" s="1358">
        <f t="shared" ca="1" si="224"/>
        <v>7.1345043925926342E-4</v>
      </c>
      <c r="I575" s="1358">
        <f t="shared" ca="1" si="224"/>
        <v>7.7536942793163233E-4</v>
      </c>
      <c r="J575" s="1358">
        <f t="shared" ca="1" si="224"/>
        <v>8.6917738075364362E-4</v>
      </c>
      <c r="K575" s="1358">
        <f t="shared" ca="1" si="224"/>
        <v>1.0146654642185387E-3</v>
      </c>
      <c r="L575" s="1358">
        <f t="shared" ca="1" si="224"/>
        <v>1.2749952305801827E-3</v>
      </c>
      <c r="M575" s="1358">
        <f t="shared" ca="1" si="224"/>
        <v>1.9717575239941265E-3</v>
      </c>
    </row>
    <row r="576" spans="2:13" ht="13" outlineLevel="1" x14ac:dyDescent="0.3">
      <c r="C576" s="353" t="s">
        <v>1611</v>
      </c>
      <c r="D576" s="130"/>
      <c r="E576" s="130"/>
      <c r="F576" s="130"/>
      <c r="G576" s="1358">
        <f t="shared" ref="G576:M576" ca="1" si="225">G283/G$472</f>
        <v>1.0574928608761387E-4</v>
      </c>
      <c r="H576" s="1358">
        <f t="shared" ca="1" si="225"/>
        <v>1.0574928608761387E-4</v>
      </c>
      <c r="I576" s="1358">
        <f t="shared" ca="1" si="225"/>
        <v>1.1551188492763318E-4</v>
      </c>
      <c r="J576" s="1358">
        <f t="shared" ca="1" si="225"/>
        <v>1.3040655877640873E-4</v>
      </c>
      <c r="K576" s="1358">
        <f t="shared" ca="1" si="225"/>
        <v>1.5372657091733245E-4</v>
      </c>
      <c r="L576" s="1358">
        <f t="shared" ca="1" si="225"/>
        <v>1.9609036716226614E-4</v>
      </c>
      <c r="M576" s="1358">
        <f t="shared" ca="1" si="225"/>
        <v>3.1293149672132582E-4</v>
      </c>
    </row>
    <row r="577" spans="2:13" ht="13" outlineLevel="1" x14ac:dyDescent="0.3">
      <c r="C577" s="353" t="s">
        <v>1612</v>
      </c>
      <c r="D577" s="130"/>
      <c r="E577" s="130"/>
      <c r="F577" s="130"/>
      <c r="G577" s="1369">
        <f t="shared" ref="G577:M577" ca="1" si="226">G284/G$472</f>
        <v>1.1753658753124402E-3</v>
      </c>
      <c r="H577" s="1369">
        <f t="shared" ca="1" si="226"/>
        <v>1.1753658753124402E-3</v>
      </c>
      <c r="I577" s="1369">
        <f t="shared" ca="1" si="226"/>
        <v>1.2701788763205912E-3</v>
      </c>
      <c r="J577" s="1369">
        <f t="shared" ca="1" si="226"/>
        <v>1.4129051667142311E-3</v>
      </c>
      <c r="K577" s="1369">
        <f t="shared" ca="1" si="226"/>
        <v>1.632439072601941E-3</v>
      </c>
      <c r="L577" s="1369">
        <f t="shared" ca="1" si="226"/>
        <v>2.0201978473270371E-3</v>
      </c>
      <c r="M577" s="1369">
        <f t="shared" ca="1" si="226"/>
        <v>3.0335717141323228E-3</v>
      </c>
    </row>
    <row r="578" spans="2:13" ht="13" outlineLevel="1" x14ac:dyDescent="0.3">
      <c r="C578" s="353"/>
      <c r="D578" s="130"/>
      <c r="E578" s="130"/>
      <c r="F578" s="130"/>
      <c r="G578" s="1358"/>
      <c r="H578" s="1358"/>
      <c r="I578" s="1358"/>
      <c r="J578" s="1358"/>
      <c r="K578" s="1358"/>
      <c r="L578" s="1358"/>
      <c r="M578" s="1358"/>
    </row>
    <row r="579" spans="2:13" ht="13" outlineLevel="1" x14ac:dyDescent="0.3">
      <c r="B579" s="327" t="s">
        <v>1116</v>
      </c>
      <c r="D579" s="130"/>
      <c r="E579" s="130"/>
      <c r="F579" s="130"/>
      <c r="G579" s="1358"/>
      <c r="H579" s="1358"/>
      <c r="I579" s="1358"/>
      <c r="J579" s="1358"/>
      <c r="K579" s="1358"/>
      <c r="L579" s="1358"/>
      <c r="M579" s="1358"/>
    </row>
    <row r="580" spans="2:13" ht="13" outlineLevel="1" x14ac:dyDescent="0.3">
      <c r="C580" s="353" t="s">
        <v>1609</v>
      </c>
      <c r="D580" s="130"/>
      <c r="E580" s="130"/>
      <c r="F580" s="130"/>
      <c r="G580" s="1358">
        <f t="shared" ref="G580:M580" ca="1" si="227">G287/G$472</f>
        <v>4.0311834629225686E-4</v>
      </c>
      <c r="H580" s="1358">
        <f t="shared" ca="1" si="227"/>
        <v>4.0311834629225686E-4</v>
      </c>
      <c r="I580" s="1358">
        <f t="shared" ca="1" si="227"/>
        <v>4.2922916096139926E-4</v>
      </c>
      <c r="J580" s="1358">
        <f t="shared" ca="1" si="227"/>
        <v>4.6768139281610967E-4</v>
      </c>
      <c r="K580" s="1358">
        <f t="shared" ca="1" si="227"/>
        <v>5.2484195033252964E-4</v>
      </c>
      <c r="L580" s="1358">
        <f t="shared" ca="1" si="227"/>
        <v>6.2072614716803985E-4</v>
      </c>
      <c r="M580" s="1358">
        <f t="shared" ca="1" si="227"/>
        <v>8.4500412290561288E-4</v>
      </c>
    </row>
    <row r="581" spans="2:13" ht="13" outlineLevel="1" x14ac:dyDescent="0.3">
      <c r="C581" s="353" t="s">
        <v>1610</v>
      </c>
      <c r="D581" s="130"/>
      <c r="E581" s="130"/>
      <c r="F581" s="130"/>
      <c r="G581" s="1358">
        <f t="shared" ref="G581:M581" ca="1" si="228">G288/G$472</f>
        <v>7.1400121704477389E-4</v>
      </c>
      <c r="H581" s="1358">
        <f t="shared" ca="1" si="228"/>
        <v>7.1400121704477389E-4</v>
      </c>
      <c r="I581" s="1358">
        <f t="shared" ca="1" si="228"/>
        <v>7.7580548218871405E-4</v>
      </c>
      <c r="J581" s="1358">
        <f t="shared" ca="1" si="228"/>
        <v>8.695457451118766E-4</v>
      </c>
      <c r="K581" s="1358">
        <f t="shared" ca="1" si="228"/>
        <v>1.0145071134300525E-3</v>
      </c>
      <c r="L581" s="1358">
        <f t="shared" ca="1" si="228"/>
        <v>1.2739374734511066E-3</v>
      </c>
      <c r="M581" s="1358">
        <f t="shared" ca="1" si="228"/>
        <v>1.9654969043906936E-3</v>
      </c>
    </row>
    <row r="582" spans="2:13" ht="13" outlineLevel="1" x14ac:dyDescent="0.3">
      <c r="C582" s="353" t="s">
        <v>1611</v>
      </c>
      <c r="D582" s="130"/>
      <c r="E582" s="130"/>
      <c r="F582" s="130"/>
      <c r="G582" s="1358">
        <f t="shared" ref="G582:M582" ca="1" si="229">G289/G$472</f>
        <v>1.0583546092183606E-4</v>
      </c>
      <c r="H582" s="1358">
        <f t="shared" ca="1" si="229"/>
        <v>1.0583546092183606E-4</v>
      </c>
      <c r="I582" s="1358">
        <f t="shared" ca="1" si="229"/>
        <v>1.1558045686303331E-4</v>
      </c>
      <c r="J582" s="1358">
        <f t="shared" ca="1" si="229"/>
        <v>1.3046489721877961E-4</v>
      </c>
      <c r="K582" s="1358">
        <f t="shared" ca="1" si="229"/>
        <v>1.5370124731387227E-4</v>
      </c>
      <c r="L582" s="1358">
        <f t="shared" ca="1" si="229"/>
        <v>1.9591865354168071E-4</v>
      </c>
      <c r="M582" s="1358">
        <f t="shared" ca="1" si="229"/>
        <v>3.1188278568349432E-4</v>
      </c>
    </row>
    <row r="583" spans="2:13" ht="13" outlineLevel="1" x14ac:dyDescent="0.3">
      <c r="C583" s="353" t="s">
        <v>1612</v>
      </c>
      <c r="D583" s="130"/>
      <c r="E583" s="130"/>
      <c r="F583" s="130"/>
      <c r="G583" s="1369">
        <f t="shared" ref="G583:M583" ca="1" si="230">G290/G$472</f>
        <v>1.2229550242588668E-3</v>
      </c>
      <c r="H583" s="1369">
        <f t="shared" ca="1" si="230"/>
        <v>1.2229550242588668E-3</v>
      </c>
      <c r="I583" s="1369">
        <f t="shared" ca="1" si="230"/>
        <v>1.3206151000131467E-3</v>
      </c>
      <c r="J583" s="1369">
        <f t="shared" ca="1" si="230"/>
        <v>1.467692035146766E-3</v>
      </c>
      <c r="K583" s="1369">
        <f t="shared" ca="1" si="230"/>
        <v>1.6930503110764543E-3</v>
      </c>
      <c r="L583" s="1369">
        <f t="shared" ca="1" si="230"/>
        <v>2.0905822741608274E-3</v>
      </c>
      <c r="M583" s="1369">
        <f t="shared" ca="1" si="230"/>
        <v>3.1223838129798005E-3</v>
      </c>
    </row>
    <row r="584" spans="2:13" ht="13" outlineLevel="1" x14ac:dyDescent="0.3">
      <c r="C584" s="353"/>
      <c r="D584" s="130"/>
      <c r="E584" s="130"/>
      <c r="F584" s="130"/>
      <c r="G584" s="1358"/>
      <c r="H584" s="1358"/>
      <c r="I584" s="1358"/>
      <c r="J584" s="1358"/>
      <c r="K584" s="1358"/>
      <c r="L584" s="1358"/>
      <c r="M584" s="1358"/>
    </row>
    <row r="585" spans="2:13" ht="13" outlineLevel="1" x14ac:dyDescent="0.3">
      <c r="B585" s="327" t="s">
        <v>1577</v>
      </c>
      <c r="D585" s="130"/>
      <c r="E585" s="130"/>
      <c r="F585" s="130"/>
      <c r="G585" s="1358"/>
      <c r="H585" s="1358"/>
      <c r="I585" s="1358"/>
      <c r="J585" s="1358"/>
      <c r="K585" s="1358"/>
      <c r="L585" s="1358"/>
      <c r="M585" s="1358"/>
    </row>
    <row r="586" spans="2:13" ht="13" outlineLevel="1" x14ac:dyDescent="0.3">
      <c r="C586" s="353" t="s">
        <v>1609</v>
      </c>
      <c r="D586" s="130"/>
      <c r="E586" s="130"/>
      <c r="F586" s="130"/>
      <c r="G586" s="1358">
        <f t="shared" ref="G586:M586" ca="1" si="231">G293/G$472</f>
        <v>7.5928449625781982E-4</v>
      </c>
      <c r="H586" s="1358">
        <f t="shared" ca="1" si="231"/>
        <v>7.5928449625781982E-4</v>
      </c>
      <c r="I586" s="1358">
        <f t="shared" ca="1" si="231"/>
        <v>8.0852672442272499E-4</v>
      </c>
      <c r="J586" s="1358">
        <f t="shared" ca="1" si="231"/>
        <v>8.8100262000028818E-4</v>
      </c>
      <c r="K586" s="1358">
        <f t="shared" ca="1" si="231"/>
        <v>9.8888898779859969E-4</v>
      </c>
      <c r="L586" s="1358">
        <f t="shared" ca="1" si="231"/>
        <v>1.1698383967526278E-3</v>
      </c>
      <c r="M586" s="1358">
        <f t="shared" ca="1" si="231"/>
        <v>1.5938868163224834E-3</v>
      </c>
    </row>
    <row r="587" spans="2:13" ht="13" outlineLevel="1" x14ac:dyDescent="0.3">
      <c r="C587" s="353" t="s">
        <v>1610</v>
      </c>
      <c r="D587" s="130"/>
      <c r="E587" s="130"/>
      <c r="F587" s="130"/>
      <c r="G587" s="1358">
        <f t="shared" ref="G587:M587" ca="1" si="232">G294/G$472</f>
        <v>1.4274516563040373E-3</v>
      </c>
      <c r="H587" s="1358">
        <f t="shared" ca="1" si="232"/>
        <v>1.4274516563040373E-3</v>
      </c>
      <c r="I587" s="1358">
        <f t="shared" ca="1" si="232"/>
        <v>1.5511749101203463E-3</v>
      </c>
      <c r="J587" s="1358">
        <f t="shared" ca="1" si="232"/>
        <v>1.7387231258655204E-3</v>
      </c>
      <c r="K587" s="1358">
        <f t="shared" ca="1" si="232"/>
        <v>2.0291725776485909E-3</v>
      </c>
      <c r="L587" s="1358">
        <f t="shared" ca="1" si="232"/>
        <v>2.5489327040312893E-3</v>
      </c>
      <c r="M587" s="1358">
        <f t="shared" ca="1" si="232"/>
        <v>3.9372544283848201E-3</v>
      </c>
    </row>
    <row r="588" spans="2:13" ht="13" outlineLevel="1" x14ac:dyDescent="0.3">
      <c r="C588" s="353" t="s">
        <v>1611</v>
      </c>
      <c r="D588" s="130"/>
      <c r="E588" s="130"/>
      <c r="F588" s="130"/>
      <c r="G588" s="1358">
        <f t="shared" ref="G588:M588" ca="1" si="233">G295/G$472</f>
        <v>2.1158474700944992E-4</v>
      </c>
      <c r="H588" s="1358">
        <f t="shared" ca="1" si="233"/>
        <v>2.1158474700944992E-4</v>
      </c>
      <c r="I588" s="1358">
        <f t="shared" ca="1" si="233"/>
        <v>2.310923417906665E-4</v>
      </c>
      <c r="J588" s="1358">
        <f t="shared" ca="1" si="233"/>
        <v>2.6087145599518831E-4</v>
      </c>
      <c r="K588" s="1358">
        <f t="shared" ca="1" si="233"/>
        <v>3.0742781823120472E-4</v>
      </c>
      <c r="L588" s="1358">
        <f t="shared" ca="1" si="233"/>
        <v>3.9200902070394682E-4</v>
      </c>
      <c r="M588" s="1358">
        <f t="shared" ca="1" si="233"/>
        <v>6.2481428240482014E-4</v>
      </c>
    </row>
    <row r="589" spans="2:13" ht="13" outlineLevel="1" x14ac:dyDescent="0.3">
      <c r="C589" s="353" t="s">
        <v>1612</v>
      </c>
      <c r="D589" s="130"/>
      <c r="E589" s="130"/>
      <c r="F589" s="130"/>
      <c r="G589" s="1358">
        <f t="shared" ref="G589:M589" ca="1" si="234">G296/G$472</f>
        <v>2.398320899571307E-3</v>
      </c>
      <c r="H589" s="1358">
        <f t="shared" ca="1" si="234"/>
        <v>2.398320899571307E-3</v>
      </c>
      <c r="I589" s="1358">
        <f t="shared" ca="1" si="234"/>
        <v>2.5907939763337379E-3</v>
      </c>
      <c r="J589" s="1358">
        <f t="shared" ca="1" si="234"/>
        <v>2.880597201860997E-3</v>
      </c>
      <c r="K589" s="1358">
        <f t="shared" ca="1" si="234"/>
        <v>3.3254893836783951E-3</v>
      </c>
      <c r="L589" s="1358">
        <f t="shared" ca="1" si="234"/>
        <v>4.1107801214878645E-3</v>
      </c>
      <c r="M589" s="1358">
        <f t="shared" ca="1" si="234"/>
        <v>6.1559555271121242E-3</v>
      </c>
    </row>
    <row r="590" spans="2:13" ht="13" outlineLevel="1" x14ac:dyDescent="0.3">
      <c r="C590" s="353"/>
      <c r="D590" s="130"/>
      <c r="E590" s="130"/>
      <c r="F590" s="130"/>
      <c r="G590" s="1358"/>
      <c r="H590" s="1358"/>
      <c r="I590" s="1358"/>
      <c r="J590" s="1358"/>
      <c r="K590" s="1358"/>
      <c r="L590" s="1358"/>
      <c r="M590" s="1358"/>
    </row>
    <row r="591" spans="2:13" ht="14" outlineLevel="1" x14ac:dyDescent="0.3">
      <c r="B591" s="665" t="s">
        <v>1123</v>
      </c>
      <c r="D591" s="130"/>
      <c r="E591" s="130"/>
      <c r="F591" s="130"/>
      <c r="G591" s="1358"/>
      <c r="H591" s="1358"/>
      <c r="I591" s="1358"/>
      <c r="J591" s="1358"/>
      <c r="K591" s="1358"/>
      <c r="L591" s="1358"/>
      <c r="M591" s="1358"/>
    </row>
    <row r="592" spans="2:13" ht="13" outlineLevel="1" x14ac:dyDescent="0.3">
      <c r="B592" s="327" t="s">
        <v>1111</v>
      </c>
      <c r="D592" s="130"/>
      <c r="E592" s="130"/>
      <c r="F592" s="130"/>
      <c r="G592" s="1358"/>
      <c r="H592" s="1358"/>
      <c r="I592" s="1358"/>
      <c r="J592" s="1358"/>
      <c r="K592" s="1358"/>
      <c r="L592" s="1358"/>
      <c r="M592" s="1358"/>
    </row>
    <row r="593" spans="2:13" ht="13" outlineLevel="1" x14ac:dyDescent="0.3">
      <c r="C593" s="353" t="s">
        <v>1609</v>
      </c>
      <c r="D593" s="130"/>
      <c r="E593" s="130"/>
      <c r="F593" s="130"/>
      <c r="G593" s="1358">
        <f t="shared" ref="G593:M593" ca="1" si="235">G300/G$472</f>
        <v>1.4596973359244383E-3</v>
      </c>
      <c r="H593" s="1358">
        <f t="shared" ca="1" si="235"/>
        <v>1.4596973359244383E-3</v>
      </c>
      <c r="I593" s="1358">
        <f t="shared" ca="1" si="235"/>
        <v>1.5544982109070723E-3</v>
      </c>
      <c r="J593" s="1358">
        <f t="shared" ca="1" si="235"/>
        <v>1.6939394556728627E-3</v>
      </c>
      <c r="K593" s="1358">
        <f t="shared" ca="1" si="235"/>
        <v>1.901832120762582E-3</v>
      </c>
      <c r="L593" s="1358">
        <f t="shared" ca="1" si="235"/>
        <v>2.2504600392810985E-3</v>
      </c>
      <c r="M593" s="1358">
        <f t="shared" ca="1" si="235"/>
        <v>3.0691913664625831E-3</v>
      </c>
    </row>
    <row r="594" spans="2:13" ht="13" outlineLevel="1" x14ac:dyDescent="0.3">
      <c r="C594" s="353" t="s">
        <v>1610</v>
      </c>
      <c r="D594" s="130"/>
      <c r="E594" s="130"/>
      <c r="F594" s="130"/>
      <c r="G594" s="1358">
        <f t="shared" ref="G594:M594" ca="1" si="236">G301/G$472</f>
        <v>8.2760250954074562E-4</v>
      </c>
      <c r="H594" s="1358">
        <f t="shared" ca="1" si="236"/>
        <v>8.2760250954074562E-4</v>
      </c>
      <c r="I594" s="1358">
        <f t="shared" ca="1" si="236"/>
        <v>8.9942853640069336E-4</v>
      </c>
      <c r="J594" s="1358">
        <f t="shared" ca="1" si="236"/>
        <v>1.0082457616742266E-3</v>
      </c>
      <c r="K594" s="1358">
        <f t="shared" ca="1" si="236"/>
        <v>1.1770119384935049E-3</v>
      </c>
      <c r="L594" s="1358">
        <f t="shared" ca="1" si="236"/>
        <v>1.4789944674730119E-3</v>
      </c>
      <c r="M594" s="1358">
        <f t="shared" ca="1" si="236"/>
        <v>2.287238727833187E-3</v>
      </c>
    </row>
    <row r="595" spans="2:13" ht="13" outlineLevel="1" x14ac:dyDescent="0.3">
      <c r="C595" s="353" t="s">
        <v>1611</v>
      </c>
      <c r="D595" s="130"/>
      <c r="E595" s="130"/>
      <c r="F595" s="130"/>
      <c r="G595" s="1358">
        <f t="shared" ref="G595:M595" ca="1" si="237">G302/G$472</f>
        <v>1.61141769276364E-4</v>
      </c>
      <c r="H595" s="1358">
        <f t="shared" ca="1" si="237"/>
        <v>1.61141769276364E-4</v>
      </c>
      <c r="I595" s="1358">
        <f t="shared" ca="1" si="237"/>
        <v>1.7601811036591726E-4</v>
      </c>
      <c r="J595" s="1358">
        <f t="shared" ca="1" si="237"/>
        <v>1.98714756230718E-4</v>
      </c>
      <c r="K595" s="1358">
        <f t="shared" ca="1" si="237"/>
        <v>2.3425001282641135E-4</v>
      </c>
      <c r="L595" s="1358">
        <f t="shared" ca="1" si="237"/>
        <v>2.9880436900916747E-4</v>
      </c>
      <c r="M595" s="1358">
        <f t="shared" ca="1" si="237"/>
        <v>4.7684799500392498E-4</v>
      </c>
    </row>
    <row r="596" spans="2:13" ht="13" outlineLevel="1" x14ac:dyDescent="0.3">
      <c r="C596" s="353" t="s">
        <v>1612</v>
      </c>
      <c r="D596" s="130"/>
      <c r="E596" s="130"/>
      <c r="F596" s="130"/>
      <c r="G596" s="1358">
        <f t="shared" ref="G596:M596" ca="1" si="238">G303/G$472</f>
        <v>2.4484416147415476E-3</v>
      </c>
      <c r="H596" s="1358">
        <f t="shared" ca="1" si="238"/>
        <v>2.4484416147415476E-3</v>
      </c>
      <c r="I596" s="1358">
        <f t="shared" ca="1" si="238"/>
        <v>2.6299448576736833E-3</v>
      </c>
      <c r="J596" s="1358">
        <f t="shared" ca="1" si="238"/>
        <v>2.9008999735778075E-3</v>
      </c>
      <c r="K596" s="1358">
        <f t="shared" ca="1" si="238"/>
        <v>3.3130940720824979E-3</v>
      </c>
      <c r="L596" s="1358">
        <f t="shared" ca="1" si="238"/>
        <v>4.0282588757632777E-3</v>
      </c>
      <c r="M596" s="1358">
        <f t="shared" ca="1" si="238"/>
        <v>5.8332780892996951E-3</v>
      </c>
    </row>
    <row r="597" spans="2:13" ht="13" outlineLevel="1" x14ac:dyDescent="0.3">
      <c r="C597" s="353"/>
      <c r="D597" s="130"/>
      <c r="E597" s="130"/>
      <c r="F597" s="130"/>
      <c r="G597" s="1358"/>
      <c r="H597" s="1358"/>
      <c r="I597" s="1358"/>
      <c r="J597" s="1358"/>
      <c r="K597" s="1358"/>
      <c r="L597" s="1358"/>
      <c r="M597" s="1358"/>
    </row>
    <row r="598" spans="2:13" ht="13" outlineLevel="1" x14ac:dyDescent="0.3">
      <c r="B598" s="327" t="s">
        <v>1116</v>
      </c>
      <c r="D598" s="130"/>
      <c r="E598" s="130"/>
      <c r="F598" s="130"/>
      <c r="G598" s="1358"/>
      <c r="H598" s="1358"/>
      <c r="I598" s="1358"/>
      <c r="J598" s="1358"/>
      <c r="K598" s="1358"/>
      <c r="L598" s="1358"/>
      <c r="M598" s="1358"/>
    </row>
    <row r="599" spans="2:13" ht="13" outlineLevel="1" x14ac:dyDescent="0.3">
      <c r="C599" s="353" t="s">
        <v>1609</v>
      </c>
      <c r="D599" s="130"/>
      <c r="E599" s="130"/>
      <c r="F599" s="130"/>
      <c r="G599" s="1358">
        <f t="shared" ref="G599:M599" ca="1" si="239">G306/G$472</f>
        <v>1.4605737184502057E-3</v>
      </c>
      <c r="H599" s="1358">
        <f t="shared" ca="1" si="239"/>
        <v>1.4605737184502057E-3</v>
      </c>
      <c r="I599" s="1358">
        <f t="shared" ca="1" si="239"/>
        <v>1.5551781194253595E-3</v>
      </c>
      <c r="J599" s="1358">
        <f t="shared" ca="1" si="239"/>
        <v>1.6944978000583682E-3</v>
      </c>
      <c r="K599" s="1358">
        <f t="shared" ca="1" si="239"/>
        <v>1.9016012693207596E-3</v>
      </c>
      <c r="L599" s="1358">
        <f t="shared" ca="1" si="239"/>
        <v>2.2490077795943473E-3</v>
      </c>
      <c r="M599" s="1358">
        <f t="shared" ca="1" si="239"/>
        <v>3.0616091409623653E-3</v>
      </c>
    </row>
    <row r="600" spans="2:13" ht="13" outlineLevel="1" x14ac:dyDescent="0.3">
      <c r="C600" s="353" t="s">
        <v>1610</v>
      </c>
      <c r="D600" s="130"/>
      <c r="E600" s="130"/>
      <c r="F600" s="130"/>
      <c r="G600" s="1358">
        <f t="shared" ref="G600:M600" ca="1" si="240">G307/G$472</f>
        <v>8.2824141177193769E-4</v>
      </c>
      <c r="H600" s="1358">
        <f t="shared" ca="1" si="240"/>
        <v>8.2824141177193769E-4</v>
      </c>
      <c r="I600" s="1358">
        <f t="shared" ca="1" si="240"/>
        <v>8.9993435933890826E-4</v>
      </c>
      <c r="J600" s="1358">
        <f t="shared" ca="1" si="240"/>
        <v>1.0086730643297768E-3</v>
      </c>
      <c r="K600" s="1358">
        <f t="shared" ca="1" si="240"/>
        <v>1.1768282515788606E-3</v>
      </c>
      <c r="L600" s="1358">
        <f t="shared" ca="1" si="240"/>
        <v>1.4777674692032837E-3</v>
      </c>
      <c r="M600" s="1358">
        <f t="shared" ca="1" si="240"/>
        <v>2.2799764090932046E-3</v>
      </c>
    </row>
    <row r="601" spans="2:13" ht="13" outlineLevel="1" x14ac:dyDescent="0.3">
      <c r="C601" s="353" t="s">
        <v>1611</v>
      </c>
      <c r="D601" s="130"/>
      <c r="E601" s="130"/>
      <c r="F601" s="130"/>
      <c r="G601" s="1358">
        <f t="shared" ref="G601:M601" ca="1" si="241">G308/G$472</f>
        <v>1.6127308330946444E-4</v>
      </c>
      <c r="H601" s="1358">
        <f t="shared" ca="1" si="241"/>
        <v>1.6127308330946444E-4</v>
      </c>
      <c r="I601" s="1358">
        <f t="shared" ca="1" si="241"/>
        <v>1.7612260093414602E-4</v>
      </c>
      <c r="J601" s="1358">
        <f t="shared" ca="1" si="241"/>
        <v>1.9880365290480702E-4</v>
      </c>
      <c r="K601" s="1358">
        <f t="shared" ca="1" si="241"/>
        <v>2.342114244782815E-4</v>
      </c>
      <c r="L601" s="1358">
        <f t="shared" ca="1" si="241"/>
        <v>2.9854271015875158E-4</v>
      </c>
      <c r="M601" s="1358">
        <f t="shared" ca="1" si="241"/>
        <v>4.7524995913675322E-4</v>
      </c>
    </row>
    <row r="602" spans="2:13" ht="13" outlineLevel="1" x14ac:dyDescent="0.3">
      <c r="C602" s="353" t="s">
        <v>1612</v>
      </c>
      <c r="D602" s="130"/>
      <c r="E602" s="130"/>
      <c r="F602" s="130"/>
      <c r="G602" s="1358">
        <f t="shared" ref="G602:M602" ca="1" si="242">G309/G$472</f>
        <v>2.4500882135316078E-3</v>
      </c>
      <c r="H602" s="1358">
        <f t="shared" ca="1" si="242"/>
        <v>2.4500882135316078E-3</v>
      </c>
      <c r="I602" s="1358">
        <f t="shared" ca="1" si="242"/>
        <v>2.6312350796984141E-3</v>
      </c>
      <c r="J602" s="1358">
        <f t="shared" ca="1" si="242"/>
        <v>2.9019745172929523E-3</v>
      </c>
      <c r="K602" s="1358">
        <f t="shared" ca="1" si="242"/>
        <v>3.3126409453779022E-3</v>
      </c>
      <c r="L602" s="1358">
        <f t="shared" ca="1" si="242"/>
        <v>4.0253179589563818E-3</v>
      </c>
      <c r="M602" s="1358">
        <f t="shared" ca="1" si="242"/>
        <v>5.8168355091923231E-3</v>
      </c>
    </row>
    <row r="603" spans="2:13" ht="13" outlineLevel="1" x14ac:dyDescent="0.3">
      <c r="C603" s="353"/>
      <c r="D603" s="130"/>
      <c r="E603" s="130"/>
      <c r="F603" s="130"/>
      <c r="G603" s="1358"/>
      <c r="H603" s="1358"/>
      <c r="I603" s="1358"/>
      <c r="J603" s="1358"/>
      <c r="K603" s="1358"/>
      <c r="L603" s="1358"/>
      <c r="M603" s="1358"/>
    </row>
    <row r="604" spans="2:13" ht="13" outlineLevel="1" x14ac:dyDescent="0.3">
      <c r="B604" s="327" t="s">
        <v>1578</v>
      </c>
      <c r="D604" s="130"/>
      <c r="E604" s="130"/>
      <c r="F604" s="130"/>
      <c r="G604" s="1358"/>
      <c r="H604" s="1358"/>
      <c r="I604" s="1358"/>
      <c r="J604" s="1358"/>
      <c r="K604" s="1358"/>
      <c r="L604" s="1358"/>
      <c r="M604" s="1358"/>
    </row>
    <row r="605" spans="2:13" ht="13" outlineLevel="1" x14ac:dyDescent="0.3">
      <c r="C605" s="353" t="s">
        <v>1609</v>
      </c>
      <c r="D605" s="130"/>
      <c r="E605" s="130"/>
      <c r="F605" s="130"/>
      <c r="G605" s="1358">
        <f t="shared" ref="G605:M605" ca="1" si="243">G312/G$472</f>
        <v>2.9202710543746444E-3</v>
      </c>
      <c r="H605" s="1358">
        <f t="shared" ca="1" si="243"/>
        <v>2.9202710543746444E-3</v>
      </c>
      <c r="I605" s="1358">
        <f t="shared" ca="1" si="243"/>
        <v>3.1096763303324324E-3</v>
      </c>
      <c r="J605" s="1358">
        <f t="shared" ca="1" si="243"/>
        <v>3.3884372557312307E-3</v>
      </c>
      <c r="K605" s="1358">
        <f t="shared" ca="1" si="243"/>
        <v>3.8034333900833417E-3</v>
      </c>
      <c r="L605" s="1358">
        <f t="shared" ca="1" si="243"/>
        <v>4.4994678188754458E-3</v>
      </c>
      <c r="M605" s="1358">
        <f t="shared" ca="1" si="243"/>
        <v>6.1308005074249489E-3</v>
      </c>
    </row>
    <row r="606" spans="2:13" ht="13" outlineLevel="1" x14ac:dyDescent="0.3">
      <c r="C606" s="353" t="s">
        <v>1610</v>
      </c>
      <c r="D606" s="130"/>
      <c r="E606" s="130"/>
      <c r="F606" s="130"/>
      <c r="G606" s="1358">
        <f t="shared" ref="G606:M606" ca="1" si="244">G313/G$472</f>
        <v>1.6558439213126834E-3</v>
      </c>
      <c r="H606" s="1358">
        <f t="shared" ca="1" si="244"/>
        <v>1.6558439213126834E-3</v>
      </c>
      <c r="I606" s="1358">
        <f t="shared" ca="1" si="244"/>
        <v>1.7993628957396017E-3</v>
      </c>
      <c r="J606" s="1358">
        <f t="shared" ca="1" si="244"/>
        <v>2.0169188260040034E-3</v>
      </c>
      <c r="K606" s="1358">
        <f t="shared" ca="1" si="244"/>
        <v>2.3538401900723657E-3</v>
      </c>
      <c r="L606" s="1358">
        <f t="shared" ca="1" si="244"/>
        <v>2.9567619366762956E-3</v>
      </c>
      <c r="M606" s="1358">
        <f t="shared" ca="1" si="244"/>
        <v>4.5672151369263916E-3</v>
      </c>
    </row>
    <row r="607" spans="2:13" ht="13" outlineLevel="1" x14ac:dyDescent="0.3">
      <c r="C607" s="353" t="s">
        <v>1611</v>
      </c>
      <c r="D607" s="130"/>
      <c r="E607" s="130"/>
      <c r="F607" s="130"/>
      <c r="G607" s="1358">
        <f t="shared" ref="G607:M607" ca="1" si="245">G314/G$472</f>
        <v>3.2241485258582841E-4</v>
      </c>
      <c r="H607" s="1358">
        <f t="shared" ca="1" si="245"/>
        <v>3.2241485258582841E-4</v>
      </c>
      <c r="I607" s="1358">
        <f t="shared" ca="1" si="245"/>
        <v>3.5214071130006326E-4</v>
      </c>
      <c r="J607" s="1358">
        <f t="shared" ca="1" si="245"/>
        <v>3.9751840913552496E-4</v>
      </c>
      <c r="K607" s="1358">
        <f t="shared" ca="1" si="245"/>
        <v>4.6846143730469282E-4</v>
      </c>
      <c r="L607" s="1358">
        <f t="shared" ca="1" si="245"/>
        <v>5.9734707916791899E-4</v>
      </c>
      <c r="M607" s="1358">
        <f t="shared" ca="1" si="245"/>
        <v>9.5209795414067809E-4</v>
      </c>
    </row>
    <row r="608" spans="2:13" ht="13" outlineLevel="1" x14ac:dyDescent="0.3">
      <c r="C608" s="353" t="s">
        <v>1612</v>
      </c>
      <c r="D608" s="130"/>
      <c r="E608" s="130"/>
      <c r="F608" s="130"/>
      <c r="G608" s="1358">
        <f t="shared" ref="G608:M608" ca="1" si="246">G315/G$472</f>
        <v>4.8985298282731553E-3</v>
      </c>
      <c r="H608" s="1358">
        <f t="shared" ca="1" si="246"/>
        <v>4.8985298282731553E-3</v>
      </c>
      <c r="I608" s="1358">
        <f t="shared" ca="1" si="246"/>
        <v>5.261179937372097E-3</v>
      </c>
      <c r="J608" s="1358">
        <f t="shared" ca="1" si="246"/>
        <v>5.8028744908707594E-3</v>
      </c>
      <c r="K608" s="1358">
        <f t="shared" ca="1" si="246"/>
        <v>6.625735017460401E-3</v>
      </c>
      <c r="L608" s="1358">
        <f t="shared" ca="1" si="246"/>
        <v>8.0535768347196612E-3</v>
      </c>
      <c r="M608" s="1358">
        <f t="shared" ca="1" si="246"/>
        <v>1.1650113598492016E-2</v>
      </c>
    </row>
    <row r="609" spans="2:13" ht="13" outlineLevel="1" x14ac:dyDescent="0.3">
      <c r="C609" s="353"/>
      <c r="D609" s="130"/>
      <c r="E609" s="130"/>
      <c r="F609" s="130"/>
      <c r="G609" s="1358"/>
      <c r="H609" s="1358"/>
      <c r="I609" s="1358"/>
      <c r="J609" s="1358"/>
      <c r="K609" s="1358"/>
      <c r="L609" s="1358"/>
      <c r="M609" s="1358"/>
    </row>
    <row r="610" spans="2:13" ht="14" outlineLevel="1" x14ac:dyDescent="0.3">
      <c r="B610" s="665" t="s">
        <v>1124</v>
      </c>
      <c r="C610" s="353"/>
      <c r="D610" s="130"/>
      <c r="E610" s="130"/>
      <c r="F610" s="130"/>
      <c r="G610" s="1358"/>
      <c r="H610" s="1358"/>
      <c r="I610" s="1358"/>
      <c r="J610" s="1358"/>
      <c r="K610" s="1358"/>
      <c r="L610" s="1358"/>
      <c r="M610" s="1358"/>
    </row>
    <row r="611" spans="2:13" ht="13" outlineLevel="1" x14ac:dyDescent="0.3">
      <c r="B611" s="327" t="s">
        <v>1111</v>
      </c>
      <c r="D611" s="130"/>
      <c r="E611" s="130"/>
      <c r="F611" s="130"/>
      <c r="G611" s="1358"/>
      <c r="H611" s="1358"/>
      <c r="I611" s="1358"/>
      <c r="J611" s="1358"/>
      <c r="K611" s="1358"/>
      <c r="L611" s="1358"/>
      <c r="M611" s="1358"/>
    </row>
    <row r="612" spans="2:13" ht="13" outlineLevel="1" x14ac:dyDescent="0.3">
      <c r="C612" s="353" t="s">
        <v>1609</v>
      </c>
      <c r="D612" s="130"/>
      <c r="E612" s="130"/>
      <c r="F612" s="130"/>
      <c r="G612" s="1358">
        <f t="shared" ref="G612:M612" ca="1" si="247">G319/G$472</f>
        <v>2.3939036309160786E-4</v>
      </c>
      <c r="H612" s="1358">
        <f t="shared" ca="1" si="247"/>
        <v>2.3939036309160786E-4</v>
      </c>
      <c r="I612" s="1358">
        <f t="shared" ca="1" si="247"/>
        <v>2.5493770658875994E-4</v>
      </c>
      <c r="J612" s="1358">
        <f t="shared" ca="1" si="247"/>
        <v>2.7780607073034949E-4</v>
      </c>
      <c r="K612" s="1358">
        <f t="shared" ca="1" si="247"/>
        <v>3.119004678050634E-4</v>
      </c>
      <c r="L612" s="1358">
        <f t="shared" ca="1" si="247"/>
        <v>3.6907544644210021E-4</v>
      </c>
      <c r="M612" s="1358">
        <f t="shared" ca="1" si="247"/>
        <v>5.0334738409986369E-4</v>
      </c>
    </row>
    <row r="613" spans="2:13" ht="13" outlineLevel="1" x14ac:dyDescent="0.3">
      <c r="C613" s="353" t="s">
        <v>1610</v>
      </c>
      <c r="D613" s="130"/>
      <c r="E613" s="130"/>
      <c r="F613" s="130"/>
      <c r="G613" s="1358">
        <f t="shared" ref="G613:M613" ca="1" si="248">G320/G$472</f>
        <v>3.9953224598518748E-4</v>
      </c>
      <c r="H613" s="1358">
        <f t="shared" ca="1" si="248"/>
        <v>3.9953224598518748E-4</v>
      </c>
      <c r="I613" s="1358">
        <f t="shared" ca="1" si="248"/>
        <v>4.3420687964171404E-4</v>
      </c>
      <c r="J613" s="1358">
        <f t="shared" ca="1" si="248"/>
        <v>4.8673933322204043E-4</v>
      </c>
      <c r="K613" s="1358">
        <f t="shared" ca="1" si="248"/>
        <v>5.6821265996238163E-4</v>
      </c>
      <c r="L613" s="1358">
        <f t="shared" ca="1" si="248"/>
        <v>7.1399732912490231E-4</v>
      </c>
      <c r="M613" s="1358">
        <f t="shared" ca="1" si="248"/>
        <v>1.1041842134367108E-3</v>
      </c>
    </row>
    <row r="614" spans="2:13" ht="13" outlineLevel="1" x14ac:dyDescent="0.3">
      <c r="C614" s="353" t="s">
        <v>1611</v>
      </c>
      <c r="D614" s="130"/>
      <c r="E614" s="130"/>
      <c r="F614" s="130"/>
      <c r="G614" s="1358">
        <f t="shared" ref="G614:M614" ca="1" si="249">G321/G$472</f>
        <v>1.0071360579772748E-4</v>
      </c>
      <c r="H614" s="1358">
        <f t="shared" ca="1" si="249"/>
        <v>1.0071360579772748E-4</v>
      </c>
      <c r="I614" s="1358">
        <f t="shared" ca="1" si="249"/>
        <v>1.1001131897869829E-4</v>
      </c>
      <c r="J614" s="1358">
        <f t="shared" ca="1" si="249"/>
        <v>1.2419672264419877E-4</v>
      </c>
      <c r="K614" s="1358">
        <f t="shared" ca="1" si="249"/>
        <v>1.4640625801650711E-4</v>
      </c>
      <c r="L614" s="1358">
        <f t="shared" ca="1" si="249"/>
        <v>1.8675273063072965E-4</v>
      </c>
      <c r="M614" s="1358">
        <f t="shared" ca="1" si="249"/>
        <v>2.9802999687745309E-4</v>
      </c>
    </row>
    <row r="615" spans="2:13" ht="13" outlineLevel="1" x14ac:dyDescent="0.3">
      <c r="C615" s="353" t="s">
        <v>1612</v>
      </c>
      <c r="D615" s="130"/>
      <c r="E615" s="130"/>
      <c r="F615" s="130"/>
      <c r="G615" s="1358">
        <f t="shared" ref="G615:M615" ca="1" si="250">G322/G$472</f>
        <v>7.396362148745228E-4</v>
      </c>
      <c r="H615" s="1358">
        <f t="shared" ca="1" si="250"/>
        <v>7.396362148745228E-4</v>
      </c>
      <c r="I615" s="1358">
        <f t="shared" ca="1" si="250"/>
        <v>7.9915590520917223E-4</v>
      </c>
      <c r="J615" s="1358">
        <f t="shared" ca="1" si="250"/>
        <v>8.8874212659658855E-4</v>
      </c>
      <c r="K615" s="1358">
        <f t="shared" ca="1" si="250"/>
        <v>1.0265193857839524E-3</v>
      </c>
      <c r="L615" s="1358">
        <f t="shared" ca="1" si="250"/>
        <v>1.2698255061977322E-3</v>
      </c>
      <c r="M615" s="1358">
        <f t="shared" ca="1" si="250"/>
        <v>1.9055615944140276E-3</v>
      </c>
    </row>
    <row r="616" spans="2:13" ht="13" outlineLevel="1" x14ac:dyDescent="0.3">
      <c r="C616" s="353"/>
      <c r="D616" s="130"/>
      <c r="E616" s="130"/>
      <c r="F616" s="130"/>
      <c r="G616" s="1358"/>
      <c r="H616" s="1358"/>
      <c r="I616" s="1358"/>
      <c r="J616" s="1358"/>
      <c r="K616" s="1358"/>
      <c r="L616" s="1358"/>
      <c r="M616" s="1358"/>
    </row>
    <row r="617" spans="2:13" ht="13" outlineLevel="1" x14ac:dyDescent="0.3">
      <c r="B617" s="327" t="s">
        <v>1116</v>
      </c>
      <c r="D617" s="130"/>
      <c r="E617" s="130"/>
      <c r="F617" s="130"/>
      <c r="G617" s="1358"/>
      <c r="H617" s="1358"/>
      <c r="I617" s="1358"/>
      <c r="J617" s="1358"/>
      <c r="K617" s="1358"/>
      <c r="L617" s="1358"/>
      <c r="M617" s="1358"/>
    </row>
    <row r="618" spans="2:13" ht="13" outlineLevel="1" x14ac:dyDescent="0.3">
      <c r="C618" s="353" t="s">
        <v>1609</v>
      </c>
      <c r="D618" s="130"/>
      <c r="E618" s="130"/>
      <c r="F618" s="130"/>
      <c r="G618" s="1358">
        <f t="shared" ref="G618:M618" ca="1" si="251">G325/G$472</f>
        <v>2.0448032058302881E-4</v>
      </c>
      <c r="H618" s="1358">
        <f t="shared" ca="1" si="251"/>
        <v>2.0448032058302881E-4</v>
      </c>
      <c r="I618" s="1358">
        <f t="shared" ca="1" si="251"/>
        <v>2.1772493671955032E-4</v>
      </c>
      <c r="J618" s="1358">
        <f t="shared" ca="1" si="251"/>
        <v>2.3722969200817157E-4</v>
      </c>
      <c r="K618" s="1358">
        <f t="shared" ca="1" si="251"/>
        <v>2.6622417770490636E-4</v>
      </c>
      <c r="L618" s="1358">
        <f t="shared" ca="1" si="251"/>
        <v>3.148610891432086E-4</v>
      </c>
      <c r="M618" s="1358">
        <f t="shared" ca="1" si="251"/>
        <v>4.2862527973473112E-4</v>
      </c>
    </row>
    <row r="619" spans="2:13" ht="13" outlineLevel="1" x14ac:dyDescent="0.3">
      <c r="C619" s="353" t="s">
        <v>1610</v>
      </c>
      <c r="D619" s="130"/>
      <c r="E619" s="130"/>
      <c r="F619" s="130"/>
      <c r="G619" s="1358">
        <f t="shared" ref="G619:M619" ca="1" si="252">G326/G$472</f>
        <v>3.1416053549970053E-4</v>
      </c>
      <c r="H619" s="1358">
        <f t="shared" ca="1" si="252"/>
        <v>3.1416053549970053E-4</v>
      </c>
      <c r="I619" s="1358">
        <f t="shared" ca="1" si="252"/>
        <v>3.413544121630341E-4</v>
      </c>
      <c r="J619" s="1358">
        <f t="shared" ca="1" si="252"/>
        <v>3.826001278492257E-4</v>
      </c>
      <c r="K619" s="1358">
        <f t="shared" ca="1" si="252"/>
        <v>4.4638312990922299E-4</v>
      </c>
      <c r="L619" s="1358">
        <f t="shared" ca="1" si="252"/>
        <v>5.6053248831848686E-4</v>
      </c>
      <c r="M619" s="1358">
        <f t="shared" ca="1" si="252"/>
        <v>8.6481863793190538E-4</v>
      </c>
    </row>
    <row r="620" spans="2:13" ht="13" outlineLevel="1" x14ac:dyDescent="0.3">
      <c r="C620" s="353" t="s">
        <v>1611</v>
      </c>
      <c r="D620" s="130"/>
      <c r="E620" s="130"/>
      <c r="F620" s="130"/>
      <c r="G620" s="1358">
        <f t="shared" ref="G620:M620" ca="1" si="253">G327/G$472</f>
        <v>8.0636541654732221E-5</v>
      </c>
      <c r="H620" s="1358">
        <f t="shared" ca="1" si="253"/>
        <v>8.0636541654732221E-5</v>
      </c>
      <c r="I620" s="1358">
        <f t="shared" ca="1" si="253"/>
        <v>8.8061300467073012E-5</v>
      </c>
      <c r="J620" s="1358">
        <f t="shared" ca="1" si="253"/>
        <v>9.9401826452403508E-5</v>
      </c>
      <c r="K620" s="1358">
        <f t="shared" ca="1" si="253"/>
        <v>1.1710571223914075E-4</v>
      </c>
      <c r="L620" s="1358">
        <f t="shared" ca="1" si="253"/>
        <v>1.4927135507937579E-4</v>
      </c>
      <c r="M620" s="1358">
        <f t="shared" ca="1" si="253"/>
        <v>2.3762497956837661E-4</v>
      </c>
    </row>
    <row r="621" spans="2:13" ht="13" outlineLevel="1" x14ac:dyDescent="0.3">
      <c r="C621" s="353" t="s">
        <v>1612</v>
      </c>
      <c r="D621" s="130"/>
      <c r="E621" s="130"/>
      <c r="F621" s="130"/>
      <c r="G621" s="1358">
        <f t="shared" ref="G621:M621" ca="1" si="254">G328/G$472</f>
        <v>5.9927739773746162E-4</v>
      </c>
      <c r="H621" s="1358">
        <f t="shared" ca="1" si="254"/>
        <v>5.9927739773746162E-4</v>
      </c>
      <c r="I621" s="1358">
        <f t="shared" ca="1" si="254"/>
        <v>6.4714064934965753E-4</v>
      </c>
      <c r="J621" s="1358">
        <f t="shared" ca="1" si="254"/>
        <v>7.1923164630980068E-4</v>
      </c>
      <c r="K621" s="1358">
        <f t="shared" ca="1" si="254"/>
        <v>8.2971301985327011E-4</v>
      </c>
      <c r="L621" s="1358">
        <f t="shared" ca="1" si="254"/>
        <v>1.0246649325410715E-3</v>
      </c>
      <c r="M621" s="1358">
        <f t="shared" ca="1" si="254"/>
        <v>1.5310688972350133E-3</v>
      </c>
    </row>
    <row r="622" spans="2:13" ht="13" outlineLevel="1" x14ac:dyDescent="0.3">
      <c r="C622" s="353"/>
      <c r="D622" s="130"/>
      <c r="E622" s="130"/>
      <c r="F622" s="130"/>
      <c r="G622" s="1358"/>
      <c r="H622" s="1358"/>
      <c r="I622" s="1358"/>
      <c r="J622" s="1358"/>
      <c r="K622" s="1358"/>
      <c r="L622" s="1358"/>
      <c r="M622" s="1358"/>
    </row>
    <row r="623" spans="2:13" ht="13" outlineLevel="1" x14ac:dyDescent="0.3">
      <c r="B623" s="327" t="s">
        <v>1579</v>
      </c>
      <c r="D623" s="130"/>
      <c r="E623" s="130"/>
      <c r="F623" s="130"/>
      <c r="G623" s="1358"/>
      <c r="H623" s="1358"/>
      <c r="I623" s="1358"/>
      <c r="J623" s="1358"/>
      <c r="K623" s="1358"/>
      <c r="L623" s="1358"/>
      <c r="M623" s="1358"/>
    </row>
    <row r="624" spans="2:13" ht="13" outlineLevel="1" x14ac:dyDescent="0.3">
      <c r="C624" s="353" t="s">
        <v>1609</v>
      </c>
      <c r="D624" s="130"/>
      <c r="E624" s="130"/>
      <c r="F624" s="130"/>
      <c r="G624" s="1358">
        <f t="shared" ref="G624:M624" ca="1" si="255">G331/G$472</f>
        <v>4.4387068367463667E-4</v>
      </c>
      <c r="H624" s="1358">
        <f t="shared" ca="1" si="255"/>
        <v>4.4387068367463667E-4</v>
      </c>
      <c r="I624" s="1358">
        <f t="shared" ca="1" si="255"/>
        <v>4.7266264330831026E-4</v>
      </c>
      <c r="J624" s="1358">
        <f t="shared" ca="1" si="255"/>
        <v>5.1503576273852106E-4</v>
      </c>
      <c r="K624" s="1358">
        <f t="shared" ca="1" si="255"/>
        <v>5.7812464550996987E-4</v>
      </c>
      <c r="L624" s="1358">
        <f t="shared" ca="1" si="255"/>
        <v>6.8393653558530875E-4</v>
      </c>
      <c r="M624" s="1358">
        <f t="shared" ca="1" si="255"/>
        <v>9.3197266383459481E-4</v>
      </c>
    </row>
    <row r="625" spans="2:13" ht="13" outlineLevel="1" x14ac:dyDescent="0.3">
      <c r="C625" s="353" t="s">
        <v>1610</v>
      </c>
      <c r="D625" s="130"/>
      <c r="E625" s="130"/>
      <c r="F625" s="130"/>
      <c r="G625" s="1358">
        <f t="shared" ref="G625:M625" ca="1" si="256">G332/G$472</f>
        <v>7.1369278148488802E-4</v>
      </c>
      <c r="H625" s="1358">
        <f t="shared" ca="1" si="256"/>
        <v>7.1369278148488802E-4</v>
      </c>
      <c r="I625" s="1358">
        <f t="shared" ca="1" si="256"/>
        <v>7.7556129180474814E-4</v>
      </c>
      <c r="J625" s="1358">
        <f t="shared" ca="1" si="256"/>
        <v>8.6933946107126603E-4</v>
      </c>
      <c r="K625" s="1358">
        <f t="shared" ca="1" si="256"/>
        <v>1.0145957898716046E-3</v>
      </c>
      <c r="L625" s="1358">
        <f t="shared" ca="1" si="256"/>
        <v>1.2745298174433892E-3</v>
      </c>
      <c r="M625" s="1358">
        <f t="shared" ca="1" si="256"/>
        <v>1.9690028513686163E-3</v>
      </c>
    </row>
    <row r="626" spans="2:13" ht="13" outlineLevel="1" x14ac:dyDescent="0.3">
      <c r="C626" s="353" t="s">
        <v>1611</v>
      </c>
      <c r="D626" s="130"/>
      <c r="E626" s="130"/>
      <c r="F626" s="130"/>
      <c r="G626" s="1358">
        <f t="shared" ref="G626:M626" ca="1" si="257">G333/G$472</f>
        <v>1.8135014745245968E-4</v>
      </c>
      <c r="H626" s="1358">
        <f t="shared" ca="1" si="257"/>
        <v>1.8135014745245968E-4</v>
      </c>
      <c r="I626" s="1358">
        <f t="shared" ca="1" si="257"/>
        <v>1.9807261944577127E-4</v>
      </c>
      <c r="J626" s="1358">
        <f t="shared" ca="1" si="257"/>
        <v>2.2359854909660229E-4</v>
      </c>
      <c r="K626" s="1358">
        <f t="shared" ca="1" si="257"/>
        <v>2.6351197025564787E-4</v>
      </c>
      <c r="L626" s="1358">
        <f t="shared" ca="1" si="257"/>
        <v>3.3602408571010544E-4</v>
      </c>
      <c r="M626" s="1358">
        <f t="shared" ca="1" si="257"/>
        <v>5.3565497644582967E-4</v>
      </c>
    </row>
    <row r="627" spans="2:13" ht="13" outlineLevel="1" x14ac:dyDescent="0.3">
      <c r="C627" s="353" t="s">
        <v>1612</v>
      </c>
      <c r="D627" s="130"/>
      <c r="E627" s="130"/>
      <c r="F627" s="130"/>
      <c r="G627" s="1358">
        <f t="shared" ref="G627:M627" ca="1" si="258">G334/G$472</f>
        <v>1.3389136126119845E-3</v>
      </c>
      <c r="H627" s="1358">
        <f t="shared" ca="1" si="258"/>
        <v>1.3389136126119845E-3</v>
      </c>
      <c r="I627" s="1358">
        <f t="shared" ca="1" si="258"/>
        <v>1.4462965545588295E-3</v>
      </c>
      <c r="J627" s="1358">
        <f t="shared" ca="1" si="258"/>
        <v>1.607973772906389E-3</v>
      </c>
      <c r="K627" s="1358">
        <f t="shared" ca="1" si="258"/>
        <v>1.8562324056372224E-3</v>
      </c>
      <c r="L627" s="1358">
        <f t="shared" ca="1" si="258"/>
        <v>2.2944904387388037E-3</v>
      </c>
      <c r="M627" s="1358">
        <f t="shared" ca="1" si="258"/>
        <v>3.4366304916490409E-3</v>
      </c>
    </row>
    <row r="628" spans="2:13" ht="13" outlineLevel="1" x14ac:dyDescent="0.3">
      <c r="C628" s="353"/>
      <c r="D628" s="130"/>
      <c r="E628" s="130"/>
      <c r="F628" s="130"/>
      <c r="G628" s="1358"/>
      <c r="H628" s="1358"/>
      <c r="I628" s="1358"/>
      <c r="J628" s="1358"/>
      <c r="K628" s="1358"/>
      <c r="L628" s="1358"/>
      <c r="M628" s="1358"/>
    </row>
    <row r="629" spans="2:13" ht="14" outlineLevel="1" x14ac:dyDescent="0.3">
      <c r="B629" s="665" t="s">
        <v>1580</v>
      </c>
      <c r="C629" s="353"/>
      <c r="D629" s="130"/>
      <c r="E629" s="130"/>
      <c r="F629" s="130"/>
      <c r="G629" s="1358"/>
      <c r="H629" s="1358"/>
      <c r="I629" s="1358"/>
      <c r="J629" s="1358"/>
      <c r="K629" s="1358"/>
      <c r="L629" s="1358"/>
      <c r="M629" s="1358"/>
    </row>
    <row r="630" spans="2:13" ht="13" outlineLevel="1" x14ac:dyDescent="0.3">
      <c r="C630" s="353" t="s">
        <v>1609</v>
      </c>
      <c r="D630" s="130"/>
      <c r="E630" s="130"/>
      <c r="F630" s="130"/>
      <c r="G630" s="1358">
        <f t="shared" ref="G630:M630" ca="1" si="259">G337/G$472</f>
        <v>8.8191084038839636E-3</v>
      </c>
      <c r="H630" s="1358">
        <f t="shared" ca="1" si="259"/>
        <v>8.8191084038839636E-3</v>
      </c>
      <c r="I630" s="1358">
        <f t="shared" ca="1" si="259"/>
        <v>9.0940359935296963E-3</v>
      </c>
      <c r="J630" s="1358">
        <f t="shared" ca="1" si="259"/>
        <v>9.4960530743108656E-3</v>
      </c>
      <c r="K630" s="1358">
        <f t="shared" ca="1" si="259"/>
        <v>1.009244737953701E-2</v>
      </c>
      <c r="L630" s="1358">
        <f t="shared" ca="1" si="259"/>
        <v>1.1074368279814529E-2</v>
      </c>
      <c r="M630" s="1358">
        <f t="shared" ca="1" si="259"/>
        <v>1.3305600334270279E-2</v>
      </c>
    </row>
    <row r="631" spans="2:13" ht="13" outlineLevel="1" x14ac:dyDescent="0.3">
      <c r="C631" s="353" t="s">
        <v>1610</v>
      </c>
      <c r="D631" s="130"/>
      <c r="E631" s="130"/>
      <c r="F631" s="130"/>
      <c r="G631" s="1358">
        <f t="shared" ref="G631:M631" ca="1" si="260">G338/G$472</f>
        <v>3.1409381993731542E-2</v>
      </c>
      <c r="H631" s="1358">
        <f t="shared" ca="1" si="260"/>
        <v>3.1409381993731542E-2</v>
      </c>
      <c r="I631" s="1358">
        <f t="shared" ca="1" si="260"/>
        <v>3.1878288382548019E-2</v>
      </c>
      <c r="J631" s="1358">
        <f t="shared" ca="1" si="260"/>
        <v>3.2568587637012078E-2</v>
      </c>
      <c r="K631" s="1358">
        <f t="shared" ca="1" si="260"/>
        <v>3.3614271455797241E-2</v>
      </c>
      <c r="L631" s="1358">
        <f t="shared" ca="1" si="260"/>
        <v>3.5353236214676786E-2</v>
      </c>
      <c r="M631" s="1358">
        <f t="shared" ca="1" si="260"/>
        <v>3.949094467200169E-2</v>
      </c>
    </row>
    <row r="632" spans="2:13" ht="13" outlineLevel="1" x14ac:dyDescent="0.3">
      <c r="C632" s="353" t="s">
        <v>1611</v>
      </c>
      <c r="D632" s="130"/>
      <c r="E632" s="130"/>
      <c r="F632" s="130"/>
      <c r="G632" s="1358">
        <f t="shared" ref="G632:M632" ca="1" si="261">G339/G$472</f>
        <v>3.7387948053257836E-3</v>
      </c>
      <c r="H632" s="1358">
        <f t="shared" ca="1" si="261"/>
        <v>3.7387948053257836E-3</v>
      </c>
      <c r="I632" s="1358">
        <f t="shared" ca="1" si="261"/>
        <v>3.9401943641548037E-3</v>
      </c>
      <c r="J632" s="1358">
        <f t="shared" ca="1" si="261"/>
        <v>4.247456065820149E-3</v>
      </c>
      <c r="K632" s="1358">
        <f t="shared" ca="1" si="261"/>
        <v>4.7286607213496857E-3</v>
      </c>
      <c r="L632" s="1358">
        <f t="shared" ca="1" si="261"/>
        <v>5.6007930179094636E-3</v>
      </c>
      <c r="M632" s="1358">
        <f t="shared" ca="1" si="261"/>
        <v>8.0006346670971878E-3</v>
      </c>
    </row>
    <row r="633" spans="2:13" ht="13" outlineLevel="1" x14ac:dyDescent="0.3">
      <c r="C633" s="353" t="s">
        <v>1612</v>
      </c>
      <c r="D633" s="130"/>
      <c r="E633" s="130"/>
      <c r="F633" s="130"/>
      <c r="G633" s="1358">
        <f t="shared" ref="G633:M633" ca="1" si="262">G340/G$472</f>
        <v>4.3967285202941304E-2</v>
      </c>
      <c r="H633" s="1358">
        <f t="shared" ca="1" si="262"/>
        <v>4.3967285202941304E-2</v>
      </c>
      <c r="I633" s="1358">
        <f t="shared" ca="1" si="262"/>
        <v>4.4912518740232506E-2</v>
      </c>
      <c r="J633" s="1358">
        <f t="shared" ca="1" si="262"/>
        <v>4.6312096777143097E-2</v>
      </c>
      <c r="K633" s="1358">
        <f t="shared" ca="1" si="262"/>
        <v>4.8435379556683943E-2</v>
      </c>
      <c r="L633" s="1358">
        <f t="shared" ca="1" si="262"/>
        <v>5.2028397512400786E-2</v>
      </c>
      <c r="M633" s="1358">
        <f t="shared" ca="1" si="262"/>
        <v>6.0797179673369166E-2</v>
      </c>
    </row>
    <row r="634" spans="2:13" ht="13" outlineLevel="1" x14ac:dyDescent="0.3">
      <c r="C634" s="353"/>
      <c r="D634" s="130"/>
      <c r="E634" s="130"/>
      <c r="F634" s="130"/>
      <c r="G634" s="1358"/>
      <c r="H634" s="1358"/>
      <c r="I634" s="1358"/>
      <c r="J634" s="1358"/>
      <c r="K634" s="1358"/>
      <c r="L634" s="1358"/>
      <c r="M634" s="1358"/>
    </row>
    <row r="635" spans="2:13" ht="15.5" outlineLevel="1" x14ac:dyDescent="0.35">
      <c r="B635" s="6" t="s">
        <v>1613</v>
      </c>
      <c r="C635" s="353"/>
      <c r="D635" s="130"/>
      <c r="E635" s="130"/>
      <c r="F635" s="130"/>
      <c r="G635" s="1358"/>
      <c r="H635" s="1358"/>
      <c r="I635" s="1358"/>
      <c r="J635" s="1358"/>
      <c r="K635" s="1358"/>
      <c r="L635" s="1358"/>
      <c r="M635" s="1358"/>
    </row>
    <row r="636" spans="2:13" ht="14" outlineLevel="1" x14ac:dyDescent="0.3">
      <c r="B636" s="665" t="s">
        <v>1614</v>
      </c>
      <c r="D636" s="130"/>
      <c r="E636" s="130"/>
      <c r="F636" s="130"/>
      <c r="G636" s="1358"/>
      <c r="H636" s="1358"/>
      <c r="I636" s="1358"/>
      <c r="J636" s="1358"/>
      <c r="K636" s="1358"/>
      <c r="L636" s="1358"/>
      <c r="M636" s="1358"/>
    </row>
    <row r="637" spans="2:13" ht="13" outlineLevel="1" x14ac:dyDescent="0.3">
      <c r="C637" s="353" t="s">
        <v>1609</v>
      </c>
      <c r="D637" s="130"/>
      <c r="E637" s="130"/>
      <c r="F637" s="130"/>
      <c r="G637" s="1358">
        <f t="shared" ref="G637:M637" ca="1" si="263">G344/G$472</f>
        <v>1.5185498264808875E-3</v>
      </c>
      <c r="H637" s="1358">
        <f t="shared" ca="1" si="263"/>
        <v>1.5185498264808875E-3</v>
      </c>
      <c r="I637" s="1358">
        <f t="shared" ca="1" si="263"/>
        <v>1.6170385734269469E-3</v>
      </c>
      <c r="J637" s="1358">
        <f t="shared" ca="1" si="263"/>
        <v>1.7619930208802332E-3</v>
      </c>
      <c r="K637" s="1358">
        <f t="shared" ca="1" si="263"/>
        <v>1.9777830334768692E-3</v>
      </c>
      <c r="L637" s="1358">
        <f t="shared" ca="1" si="263"/>
        <v>2.3397086544332635E-3</v>
      </c>
      <c r="M637" s="1358">
        <f t="shared" ca="1" si="263"/>
        <v>3.1879407499844701E-3</v>
      </c>
    </row>
    <row r="638" spans="2:13" ht="13" outlineLevel="1" x14ac:dyDescent="0.3">
      <c r="C638" s="353" t="s">
        <v>1610</v>
      </c>
      <c r="D638" s="130"/>
      <c r="E638" s="130"/>
      <c r="F638" s="130"/>
      <c r="G638" s="1358">
        <f t="shared" ref="G638:M638" ca="1" si="264">G345/G$472</f>
        <v>8.5647741769216224E-4</v>
      </c>
      <c r="H638" s="1358">
        <f t="shared" ca="1" si="264"/>
        <v>8.5647741769216224E-4</v>
      </c>
      <c r="I638" s="1358">
        <f t="shared" ca="1" si="264"/>
        <v>9.3071003040043603E-4</v>
      </c>
      <c r="J638" s="1358">
        <f t="shared" ca="1" si="264"/>
        <v>1.0432381697432966E-3</v>
      </c>
      <c r="K638" s="1358">
        <f t="shared" ca="1" si="264"/>
        <v>1.2175017021373523E-3</v>
      </c>
      <c r="L638" s="1358">
        <f t="shared" ca="1" si="264"/>
        <v>1.5293473136608934E-3</v>
      </c>
      <c r="M638" s="1358">
        <f t="shared" ca="1" si="264"/>
        <v>2.3622800494857987E-3</v>
      </c>
    </row>
    <row r="639" spans="2:13" ht="13" outlineLevel="1" x14ac:dyDescent="0.3">
      <c r="C639" s="353" t="s">
        <v>1611</v>
      </c>
      <c r="D639" s="130"/>
      <c r="E639" s="130"/>
      <c r="F639" s="130"/>
      <c r="G639" s="1358">
        <f t="shared" ref="G639:M639" ca="1" si="265">G346/G$472</f>
        <v>0</v>
      </c>
      <c r="H639" s="1358">
        <f t="shared" ca="1" si="265"/>
        <v>0</v>
      </c>
      <c r="I639" s="1358">
        <f t="shared" ca="1" si="265"/>
        <v>0</v>
      </c>
      <c r="J639" s="1358">
        <f t="shared" ca="1" si="265"/>
        <v>0</v>
      </c>
      <c r="K639" s="1358">
        <f t="shared" ca="1" si="265"/>
        <v>0</v>
      </c>
      <c r="L639" s="1358">
        <f t="shared" ca="1" si="265"/>
        <v>0</v>
      </c>
      <c r="M639" s="1358">
        <f t="shared" ca="1" si="265"/>
        <v>0</v>
      </c>
    </row>
    <row r="640" spans="2:13" ht="13" outlineLevel="1" x14ac:dyDescent="0.3">
      <c r="C640" s="353" t="s">
        <v>1612</v>
      </c>
      <c r="D640" s="130"/>
      <c r="E640" s="130"/>
      <c r="F640" s="130"/>
      <c r="G640" s="1358">
        <f t="shared" ref="G640:M640" ca="1" si="266">G347/G$472</f>
        <v>2.3750272441730499E-3</v>
      </c>
      <c r="H640" s="1358">
        <f t="shared" ca="1" si="266"/>
        <v>2.3750272441730499E-3</v>
      </c>
      <c r="I640" s="1358">
        <f t="shared" ca="1" si="266"/>
        <v>2.5477486038273829E-3</v>
      </c>
      <c r="J640" s="1358">
        <f t="shared" ca="1" si="266"/>
        <v>2.80523119062353E-3</v>
      </c>
      <c r="K640" s="1358">
        <f t="shared" ca="1" si="266"/>
        <v>3.1952847356142215E-3</v>
      </c>
      <c r="L640" s="1358">
        <f t="shared" ca="1" si="266"/>
        <v>3.8690559680941571E-3</v>
      </c>
      <c r="M640" s="1358">
        <f t="shared" ca="1" si="266"/>
        <v>5.5502207994702693E-3</v>
      </c>
    </row>
    <row r="641" spans="2:13" ht="13" outlineLevel="1" x14ac:dyDescent="0.3">
      <c r="C641" s="353"/>
      <c r="D641" s="130"/>
      <c r="E641" s="130"/>
      <c r="F641" s="130"/>
      <c r="G641" s="1358"/>
      <c r="H641" s="1358"/>
      <c r="I641" s="1358"/>
      <c r="J641" s="1358"/>
      <c r="K641" s="1358"/>
      <c r="L641" s="1358"/>
      <c r="M641" s="1358"/>
    </row>
    <row r="642" spans="2:13" ht="14" outlineLevel="1" x14ac:dyDescent="0.3">
      <c r="B642" s="665" t="s">
        <v>1615</v>
      </c>
      <c r="C642" s="353"/>
      <c r="D642" s="130"/>
      <c r="E642" s="130"/>
      <c r="F642" s="130"/>
      <c r="G642" s="1358"/>
      <c r="H642" s="1358"/>
      <c r="I642" s="1358"/>
      <c r="J642" s="1358"/>
      <c r="K642" s="1358"/>
      <c r="L642" s="1358"/>
      <c r="M642" s="1358"/>
    </row>
    <row r="643" spans="2:13" ht="13" outlineLevel="1" x14ac:dyDescent="0.3">
      <c r="C643" s="353" t="s">
        <v>1609</v>
      </c>
      <c r="D643" s="130"/>
      <c r="E643" s="130"/>
      <c r="F643" s="130"/>
      <c r="G643" s="1358">
        <f t="shared" ref="G643:M643" ca="1" si="267">G350/G$472</f>
        <v>5.9367404926977283E-3</v>
      </c>
      <c r="H643" s="1358">
        <f t="shared" ca="1" si="267"/>
        <v>5.9367404926977283E-3</v>
      </c>
      <c r="I643" s="1358">
        <f t="shared" ca="1" si="267"/>
        <v>5.8819584555320475E-3</v>
      </c>
      <c r="J643" s="1358">
        <f t="shared" ca="1" si="267"/>
        <v>5.7969634517506686E-3</v>
      </c>
      <c r="K643" s="1358">
        <f t="shared" ca="1" si="267"/>
        <v>5.6686814270387915E-3</v>
      </c>
      <c r="L643" s="1358">
        <f t="shared" ca="1" si="267"/>
        <v>5.425451554978717E-3</v>
      </c>
      <c r="M643" s="1358">
        <f t="shared" ca="1" si="267"/>
        <v>4.7533754325247493E-3</v>
      </c>
    </row>
    <row r="644" spans="2:13" ht="13" outlineLevel="1" x14ac:dyDescent="0.3">
      <c r="C644" s="353" t="s">
        <v>1610</v>
      </c>
      <c r="D644" s="130"/>
      <c r="E644" s="130"/>
      <c r="F644" s="130"/>
      <c r="G644" s="1358">
        <f t="shared" ref="G644:M644" ca="1" si="268">G351/G$472</f>
        <v>7.8390405681311604E-3</v>
      </c>
      <c r="H644" s="1358">
        <f t="shared" ca="1" si="268"/>
        <v>7.8390405681311604E-3</v>
      </c>
      <c r="I644" s="1358">
        <f t="shared" ca="1" si="268"/>
        <v>7.7667048121258459E-3</v>
      </c>
      <c r="J644" s="1358">
        <f t="shared" ca="1" si="268"/>
        <v>7.6544749978784132E-3</v>
      </c>
      <c r="K644" s="1358">
        <f t="shared" ca="1" si="268"/>
        <v>7.4850877731689391E-3</v>
      </c>
      <c r="L644" s="1358">
        <f t="shared" ca="1" si="268"/>
        <v>7.1639201498231789E-3</v>
      </c>
      <c r="M644" s="1358">
        <f t="shared" ca="1" si="268"/>
        <v>6.2764917713604203E-3</v>
      </c>
    </row>
    <row r="645" spans="2:13" ht="13" outlineLevel="1" x14ac:dyDescent="0.3">
      <c r="C645" s="353" t="s">
        <v>1611</v>
      </c>
      <c r="D645" s="130"/>
      <c r="E645" s="130"/>
      <c r="F645" s="130"/>
      <c r="G645" s="1358">
        <f t="shared" ref="G645:M645" ca="1" si="269">G352/G$472</f>
        <v>0</v>
      </c>
      <c r="H645" s="1358">
        <f t="shared" ca="1" si="269"/>
        <v>0</v>
      </c>
      <c r="I645" s="1358">
        <f t="shared" ca="1" si="269"/>
        <v>0</v>
      </c>
      <c r="J645" s="1358">
        <f t="shared" ca="1" si="269"/>
        <v>0</v>
      </c>
      <c r="K645" s="1358">
        <f t="shared" ca="1" si="269"/>
        <v>0</v>
      </c>
      <c r="L645" s="1358">
        <f t="shared" ca="1" si="269"/>
        <v>0</v>
      </c>
      <c r="M645" s="1358">
        <f t="shared" ca="1" si="269"/>
        <v>0</v>
      </c>
    </row>
    <row r="646" spans="2:13" ht="13" outlineLevel="1" x14ac:dyDescent="0.3">
      <c r="C646" s="353" t="s">
        <v>1612</v>
      </c>
      <c r="D646" s="130"/>
      <c r="E646" s="130"/>
      <c r="F646" s="130"/>
      <c r="G646" s="1358">
        <f t="shared" ref="G646:M646" ca="1" si="270">G353/G$472</f>
        <v>1.3775781060828888E-2</v>
      </c>
      <c r="H646" s="1358">
        <f t="shared" ca="1" si="270"/>
        <v>1.3775781060828888E-2</v>
      </c>
      <c r="I646" s="1358">
        <f t="shared" ca="1" si="270"/>
        <v>1.3648663267657892E-2</v>
      </c>
      <c r="J646" s="1358">
        <f t="shared" ca="1" si="270"/>
        <v>1.3451438449629082E-2</v>
      </c>
      <c r="K646" s="1358">
        <f t="shared" ca="1" si="270"/>
        <v>1.315376920020773E-2</v>
      </c>
      <c r="L646" s="1358">
        <f t="shared" ca="1" si="270"/>
        <v>1.2589371704801896E-2</v>
      </c>
      <c r="M646" s="1358">
        <f t="shared" ca="1" si="270"/>
        <v>1.1029867203885168E-2</v>
      </c>
    </row>
    <row r="647" spans="2:13" ht="13" outlineLevel="1" x14ac:dyDescent="0.3">
      <c r="C647" s="353"/>
      <c r="D647" s="130"/>
      <c r="E647" s="130"/>
      <c r="F647" s="130"/>
      <c r="G647" s="1358"/>
      <c r="H647" s="1358"/>
      <c r="I647" s="1358"/>
      <c r="J647" s="1358"/>
      <c r="K647" s="1358"/>
      <c r="L647" s="1358"/>
      <c r="M647" s="1358"/>
    </row>
    <row r="648" spans="2:13" ht="14" outlineLevel="1" x14ac:dyDescent="0.3">
      <c r="B648" s="665" t="s">
        <v>1616</v>
      </c>
      <c r="C648" s="353"/>
      <c r="D648" s="130"/>
      <c r="E648" s="130"/>
      <c r="F648" s="130"/>
      <c r="G648" s="1358"/>
      <c r="H648" s="1358"/>
      <c r="I648" s="1358"/>
      <c r="J648" s="1358"/>
      <c r="K648" s="1358"/>
      <c r="L648" s="1358"/>
      <c r="M648" s="1358"/>
    </row>
    <row r="649" spans="2:13" ht="13" outlineLevel="1" x14ac:dyDescent="0.3">
      <c r="C649" s="353" t="s">
        <v>1609</v>
      </c>
      <c r="D649" s="130"/>
      <c r="E649" s="130"/>
      <c r="F649" s="130"/>
      <c r="G649" s="1358">
        <f t="shared" ref="G649:M649" ca="1" si="271">G356/G$472</f>
        <v>1.6073792123538606E-3</v>
      </c>
      <c r="H649" s="1358">
        <f t="shared" ca="1" si="271"/>
        <v>1.6073792123538606E-3</v>
      </c>
      <c r="I649" s="1358">
        <f t="shared" ca="1" si="271"/>
        <v>1.5943537049115991E-3</v>
      </c>
      <c r="J649" s="1358">
        <f t="shared" ca="1" si="271"/>
        <v>1.5735119080026593E-3</v>
      </c>
      <c r="K649" s="1358">
        <f t="shared" ca="1" si="271"/>
        <v>1.5411813252661272E-3</v>
      </c>
      <c r="L649" s="1358">
        <f t="shared" ca="1" si="271"/>
        <v>1.4779165996783245E-3</v>
      </c>
      <c r="M649" s="1358">
        <f t="shared" ca="1" si="271"/>
        <v>1.2981640975448607E-3</v>
      </c>
    </row>
    <row r="650" spans="2:13" ht="13" outlineLevel="1" x14ac:dyDescent="0.3">
      <c r="C650" s="353" t="s">
        <v>1610</v>
      </c>
      <c r="D650" s="130"/>
      <c r="E650" s="130"/>
      <c r="F650" s="130"/>
      <c r="G650" s="1358">
        <f t="shared" ref="G650:M650" ca="1" si="272">G357/G$472</f>
        <v>8.73941399192113E-3</v>
      </c>
      <c r="H650" s="1358">
        <f t="shared" ca="1" si="272"/>
        <v>8.73941399192113E-3</v>
      </c>
      <c r="I650" s="1358">
        <f t="shared" ca="1" si="272"/>
        <v>8.6685935525886645E-3</v>
      </c>
      <c r="J650" s="1358">
        <f t="shared" ca="1" si="272"/>
        <v>8.5552754941474133E-3</v>
      </c>
      <c r="K650" s="1358">
        <f t="shared" ca="1" si="272"/>
        <v>8.3794922409094648E-3</v>
      </c>
      <c r="L650" s="1358">
        <f t="shared" ca="1" si="272"/>
        <v>8.0355182590713982E-3</v>
      </c>
      <c r="M650" s="1358">
        <f t="shared" ca="1" si="272"/>
        <v>7.0581934808521133E-3</v>
      </c>
    </row>
    <row r="651" spans="2:13" ht="13" outlineLevel="1" x14ac:dyDescent="0.3">
      <c r="C651" s="353" t="s">
        <v>1611</v>
      </c>
      <c r="D651" s="130"/>
      <c r="E651" s="130"/>
      <c r="F651" s="130"/>
      <c r="G651" s="1358">
        <f t="shared" ref="G651:M651" ca="1" si="273">G358/G$472</f>
        <v>0</v>
      </c>
      <c r="H651" s="1358">
        <f t="shared" ca="1" si="273"/>
        <v>0</v>
      </c>
      <c r="I651" s="1358">
        <f t="shared" ca="1" si="273"/>
        <v>0</v>
      </c>
      <c r="J651" s="1358">
        <f t="shared" ca="1" si="273"/>
        <v>0</v>
      </c>
      <c r="K651" s="1358">
        <f t="shared" ca="1" si="273"/>
        <v>0</v>
      </c>
      <c r="L651" s="1358">
        <f t="shared" ca="1" si="273"/>
        <v>0</v>
      </c>
      <c r="M651" s="1358">
        <f t="shared" ca="1" si="273"/>
        <v>0</v>
      </c>
    </row>
    <row r="652" spans="2:13" ht="13" outlineLevel="1" x14ac:dyDescent="0.3">
      <c r="C652" s="353" t="s">
        <v>1612</v>
      </c>
      <c r="D652" s="130"/>
      <c r="E652" s="130"/>
      <c r="F652" s="130"/>
      <c r="G652" s="1358">
        <f t="shared" ref="G652:M652" ca="1" si="274">G359/G$472</f>
        <v>1.0346793204274991E-2</v>
      </c>
      <c r="H652" s="1358">
        <f t="shared" ca="1" si="274"/>
        <v>1.0346793204274991E-2</v>
      </c>
      <c r="I652" s="1358">
        <f t="shared" ca="1" si="274"/>
        <v>1.0262947257500264E-2</v>
      </c>
      <c r="J652" s="1358">
        <f t="shared" ca="1" si="274"/>
        <v>1.0128787402150074E-2</v>
      </c>
      <c r="K652" s="1358">
        <f t="shared" ca="1" si="274"/>
        <v>9.9206735661755922E-3</v>
      </c>
      <c r="L652" s="1358">
        <f t="shared" ca="1" si="274"/>
        <v>9.5134348587497235E-3</v>
      </c>
      <c r="M652" s="1358">
        <f t="shared" ca="1" si="274"/>
        <v>8.3563575783969744E-3</v>
      </c>
    </row>
    <row r="653" spans="2:13" ht="13" outlineLevel="1" x14ac:dyDescent="0.3">
      <c r="C653" s="353"/>
      <c r="D653" s="130"/>
      <c r="E653" s="130"/>
      <c r="F653" s="130"/>
      <c r="G653" s="1358"/>
      <c r="H653" s="1358"/>
      <c r="I653" s="1358"/>
      <c r="J653" s="1358"/>
      <c r="K653" s="1358"/>
      <c r="L653" s="1358"/>
      <c r="M653" s="1358"/>
    </row>
    <row r="654" spans="2:13" ht="14" outlineLevel="1" x14ac:dyDescent="0.3">
      <c r="B654" s="665" t="s">
        <v>1617</v>
      </c>
      <c r="D654" s="130"/>
      <c r="E654" s="130"/>
      <c r="F654" s="130"/>
      <c r="G654" s="1358"/>
      <c r="H654" s="1358"/>
      <c r="I654" s="1358"/>
      <c r="J654" s="1358"/>
      <c r="K654" s="1358"/>
      <c r="L654" s="1358"/>
      <c r="M654" s="1358"/>
    </row>
    <row r="655" spans="2:13" ht="13" outlineLevel="1" x14ac:dyDescent="0.3">
      <c r="C655" s="353" t="s">
        <v>1609</v>
      </c>
      <c r="D655" s="130"/>
      <c r="E655" s="130"/>
      <c r="F655" s="130"/>
      <c r="G655" s="1358">
        <f t="shared" ref="G655:M655" ca="1" si="275">G362/G$472</f>
        <v>1.6073792123538606E-3</v>
      </c>
      <c r="H655" s="1358">
        <f t="shared" ca="1" si="275"/>
        <v>1.6073792123538606E-3</v>
      </c>
      <c r="I655" s="1358">
        <f t="shared" ca="1" si="275"/>
        <v>1.5943537049115991E-3</v>
      </c>
      <c r="J655" s="1358">
        <f t="shared" ca="1" si="275"/>
        <v>1.5735119080026593E-3</v>
      </c>
      <c r="K655" s="1358">
        <f t="shared" ca="1" si="275"/>
        <v>1.5411813252661272E-3</v>
      </c>
      <c r="L655" s="1358">
        <f t="shared" ca="1" si="275"/>
        <v>1.4779165996783245E-3</v>
      </c>
      <c r="M655" s="1358">
        <f t="shared" ca="1" si="275"/>
        <v>1.2981640975448607E-3</v>
      </c>
    </row>
    <row r="656" spans="2:13" ht="13" outlineLevel="1" x14ac:dyDescent="0.3">
      <c r="C656" s="353" t="s">
        <v>1610</v>
      </c>
      <c r="D656" s="130"/>
      <c r="E656" s="130"/>
      <c r="F656" s="130"/>
      <c r="G656" s="1358">
        <f t="shared" ref="G656:M656" ca="1" si="276">G363/G$472</f>
        <v>6.4395682045734648E-4</v>
      </c>
      <c r="H656" s="1358">
        <f t="shared" ca="1" si="276"/>
        <v>6.4395682045734648E-4</v>
      </c>
      <c r="I656" s="1358">
        <f t="shared" ca="1" si="276"/>
        <v>6.3873847229600691E-4</v>
      </c>
      <c r="J656" s="1358">
        <f t="shared" ca="1" si="276"/>
        <v>6.3038872062138836E-4</v>
      </c>
      <c r="K656" s="1358">
        <f t="shared" ca="1" si="276"/>
        <v>6.174362703828027E-4</v>
      </c>
      <c r="L656" s="1358">
        <f t="shared" ca="1" si="276"/>
        <v>5.9209081908947146E-4</v>
      </c>
      <c r="M656" s="1358">
        <f t="shared" ca="1" si="276"/>
        <v>5.2007741437857678E-4</v>
      </c>
    </row>
    <row r="657" spans="2:13" ht="13" outlineLevel="1" x14ac:dyDescent="0.3">
      <c r="C657" s="353" t="s">
        <v>1611</v>
      </c>
      <c r="D657" s="130"/>
      <c r="E657" s="130"/>
      <c r="F657" s="130"/>
      <c r="G657" s="1358">
        <f t="shared" ref="G657:M657" ca="1" si="277">G364/G$472</f>
        <v>0</v>
      </c>
      <c r="H657" s="1358">
        <f t="shared" ca="1" si="277"/>
        <v>0</v>
      </c>
      <c r="I657" s="1358">
        <f t="shared" ca="1" si="277"/>
        <v>0</v>
      </c>
      <c r="J657" s="1358">
        <f t="shared" ca="1" si="277"/>
        <v>0</v>
      </c>
      <c r="K657" s="1358">
        <f t="shared" ca="1" si="277"/>
        <v>0</v>
      </c>
      <c r="L657" s="1358">
        <f t="shared" ca="1" si="277"/>
        <v>0</v>
      </c>
      <c r="M657" s="1358">
        <f t="shared" ca="1" si="277"/>
        <v>0</v>
      </c>
    </row>
    <row r="658" spans="2:13" ht="13" outlineLevel="1" x14ac:dyDescent="0.3">
      <c r="C658" s="353" t="s">
        <v>1612</v>
      </c>
      <c r="D658" s="130"/>
      <c r="E658" s="130"/>
      <c r="F658" s="130"/>
      <c r="G658" s="1358">
        <f t="shared" ref="G658:M658" ca="1" si="278">G365/G$472</f>
        <v>2.2513360328112069E-3</v>
      </c>
      <c r="H658" s="1358">
        <f t="shared" ca="1" si="278"/>
        <v>2.2513360328112069E-3</v>
      </c>
      <c r="I658" s="1358">
        <f t="shared" ca="1" si="278"/>
        <v>2.2330921772076057E-3</v>
      </c>
      <c r="J658" s="1358">
        <f t="shared" ca="1" si="278"/>
        <v>2.2039006286240477E-3</v>
      </c>
      <c r="K658" s="1358">
        <f t="shared" ca="1" si="278"/>
        <v>2.1586175956489297E-3</v>
      </c>
      <c r="L658" s="1358">
        <f t="shared" ca="1" si="278"/>
        <v>2.0700074187677961E-3</v>
      </c>
      <c r="M658" s="1358">
        <f t="shared" ca="1" si="278"/>
        <v>1.8182415119234376E-3</v>
      </c>
    </row>
    <row r="659" spans="2:13" ht="13" outlineLevel="1" x14ac:dyDescent="0.3">
      <c r="C659" s="353"/>
      <c r="D659" s="130"/>
      <c r="E659" s="130"/>
      <c r="F659" s="130"/>
      <c r="G659" s="1358"/>
      <c r="H659" s="1358"/>
      <c r="I659" s="1358"/>
      <c r="J659" s="1358"/>
      <c r="K659" s="1358"/>
      <c r="L659" s="1358"/>
      <c r="M659" s="1358"/>
    </row>
    <row r="660" spans="2:13" ht="14" outlineLevel="1" x14ac:dyDescent="0.3">
      <c r="B660" s="665" t="s">
        <v>1618</v>
      </c>
      <c r="C660" s="353"/>
      <c r="D660" s="130"/>
      <c r="E660" s="130"/>
      <c r="F660" s="130"/>
      <c r="G660" s="1358"/>
      <c r="H660" s="1358"/>
      <c r="I660" s="1358"/>
      <c r="J660" s="1358"/>
      <c r="K660" s="1358"/>
      <c r="L660" s="1358"/>
      <c r="M660" s="1358"/>
    </row>
    <row r="661" spans="2:13" ht="13" outlineLevel="1" x14ac:dyDescent="0.3">
      <c r="C661" s="353" t="s">
        <v>1609</v>
      </c>
      <c r="D661" s="130"/>
      <c r="E661" s="130"/>
      <c r="F661" s="130"/>
      <c r="G661" s="1358">
        <f t="shared" ref="G661:M661" ca="1" si="279">G368/G$472</f>
        <v>4.1453463897546926E-4</v>
      </c>
      <c r="H661" s="1358">
        <f t="shared" ca="1" si="279"/>
        <v>4.1453463897546926E-4</v>
      </c>
      <c r="I661" s="1358">
        <f t="shared" ca="1" si="279"/>
        <v>4.1117542916141236E-4</v>
      </c>
      <c r="J661" s="1358">
        <f t="shared" ca="1" si="279"/>
        <v>4.0580043943226477E-4</v>
      </c>
      <c r="K661" s="1358">
        <f t="shared" ca="1" si="279"/>
        <v>3.9746255230547486E-4</v>
      </c>
      <c r="L661" s="1358">
        <f t="shared" ca="1" si="279"/>
        <v>3.811469125486205E-4</v>
      </c>
      <c r="M661" s="1358">
        <f t="shared" ca="1" si="279"/>
        <v>3.3478968831420093E-4</v>
      </c>
    </row>
    <row r="662" spans="2:13" ht="13" outlineLevel="1" x14ac:dyDescent="0.3">
      <c r="C662" s="353" t="s">
        <v>1610</v>
      </c>
      <c r="D662" s="130"/>
      <c r="E662" s="130"/>
      <c r="F662" s="130"/>
      <c r="G662" s="1358">
        <f t="shared" ref="G662:M662" ca="1" si="280">G369/G$472</f>
        <v>5.0596607321648664E-4</v>
      </c>
      <c r="H662" s="1358">
        <f t="shared" ca="1" si="280"/>
        <v>5.0596607321648664E-4</v>
      </c>
      <c r="I662" s="1358">
        <f t="shared" ca="1" si="280"/>
        <v>5.0186594251829127E-4</v>
      </c>
      <c r="J662" s="1358">
        <f t="shared" ca="1" si="280"/>
        <v>4.9530542334537669E-4</v>
      </c>
      <c r="K662" s="1358">
        <f t="shared" ca="1" si="280"/>
        <v>4.8512849815791654E-4</v>
      </c>
      <c r="L662" s="1358">
        <f t="shared" ca="1" si="280"/>
        <v>4.6521421499887052E-4</v>
      </c>
      <c r="M662" s="1358">
        <f t="shared" ca="1" si="280"/>
        <v>4.086322541545961E-4</v>
      </c>
    </row>
    <row r="663" spans="2:13" ht="13" outlineLevel="1" x14ac:dyDescent="0.3">
      <c r="C663" s="353" t="s">
        <v>1611</v>
      </c>
      <c r="D663" s="130"/>
      <c r="E663" s="130"/>
      <c r="F663" s="130"/>
      <c r="G663" s="1358">
        <f t="shared" ref="G663:M663" ca="1" si="281">G370/G$472</f>
        <v>0</v>
      </c>
      <c r="H663" s="1358">
        <f t="shared" ca="1" si="281"/>
        <v>0</v>
      </c>
      <c r="I663" s="1358">
        <f t="shared" ca="1" si="281"/>
        <v>0</v>
      </c>
      <c r="J663" s="1358">
        <f t="shared" ca="1" si="281"/>
        <v>0</v>
      </c>
      <c r="K663" s="1358">
        <f t="shared" ca="1" si="281"/>
        <v>0</v>
      </c>
      <c r="L663" s="1358">
        <f t="shared" ca="1" si="281"/>
        <v>0</v>
      </c>
      <c r="M663" s="1358">
        <f t="shared" ca="1" si="281"/>
        <v>0</v>
      </c>
    </row>
    <row r="664" spans="2:13" ht="13" outlineLevel="1" x14ac:dyDescent="0.3">
      <c r="C664" s="353" t="s">
        <v>1612</v>
      </c>
      <c r="D664" s="130"/>
      <c r="E664" s="130"/>
      <c r="F664" s="130"/>
      <c r="G664" s="1358">
        <f t="shared" ref="G664:M664" ca="1" si="282">G371/G$472</f>
        <v>9.2050071219195589E-4</v>
      </c>
      <c r="H664" s="1358">
        <f t="shared" ca="1" si="282"/>
        <v>9.2050071219195589E-4</v>
      </c>
      <c r="I664" s="1358">
        <f t="shared" ca="1" si="282"/>
        <v>9.1304137167970358E-4</v>
      </c>
      <c r="J664" s="1358">
        <f t="shared" ca="1" si="282"/>
        <v>9.0110586277764146E-4</v>
      </c>
      <c r="K664" s="1358">
        <f t="shared" ca="1" si="282"/>
        <v>8.8259105046339145E-4</v>
      </c>
      <c r="L664" s="1358">
        <f t="shared" ca="1" si="282"/>
        <v>8.4636112754749103E-4</v>
      </c>
      <c r="M664" s="1358">
        <f t="shared" ca="1" si="282"/>
        <v>7.4342194246879709E-4</v>
      </c>
    </row>
    <row r="665" spans="2:13" ht="13" outlineLevel="1" x14ac:dyDescent="0.3">
      <c r="C665" s="353"/>
      <c r="D665" s="130"/>
      <c r="E665" s="130"/>
      <c r="F665" s="130"/>
      <c r="G665" s="1358"/>
      <c r="H665" s="1358"/>
      <c r="I665" s="1358"/>
      <c r="J665" s="1358"/>
      <c r="K665" s="1358"/>
      <c r="L665" s="1358"/>
      <c r="M665" s="1358"/>
    </row>
    <row r="666" spans="2:13" ht="14" outlineLevel="1" x14ac:dyDescent="0.3">
      <c r="B666" s="665" t="s">
        <v>1619</v>
      </c>
      <c r="C666" s="353"/>
      <c r="D666" s="130"/>
      <c r="E666" s="130"/>
      <c r="F666" s="130"/>
      <c r="G666" s="1358"/>
      <c r="H666" s="1358"/>
      <c r="I666" s="1358"/>
      <c r="J666" s="1358"/>
      <c r="K666" s="1358"/>
      <c r="L666" s="1358"/>
      <c r="M666" s="1358"/>
    </row>
    <row r="667" spans="2:13" ht="13" outlineLevel="1" x14ac:dyDescent="0.3">
      <c r="C667" s="353" t="s">
        <v>1609</v>
      </c>
      <c r="D667" s="130"/>
      <c r="E667" s="130"/>
      <c r="F667" s="130"/>
      <c r="G667" s="1358">
        <f t="shared" ref="G667:M667" ca="1" si="283">G374/G$472</f>
        <v>1.1167055580563663E-3</v>
      </c>
      <c r="H667" s="1358">
        <f t="shared" ca="1" si="283"/>
        <v>1.1167055580563663E-3</v>
      </c>
      <c r="I667" s="1358">
        <f t="shared" ca="1" si="283"/>
        <v>1.1076562581491109E-3</v>
      </c>
      <c r="J667" s="1358">
        <f t="shared" ca="1" si="283"/>
        <v>1.0931766939807949E-3</v>
      </c>
      <c r="K667" s="1358">
        <f t="shared" ca="1" si="283"/>
        <v>1.0707154470269936E-3</v>
      </c>
      <c r="L667" s="1358">
        <f t="shared" ca="1" si="283"/>
        <v>1.0267631113554676E-3</v>
      </c>
      <c r="M667" s="1358">
        <f t="shared" ca="1" si="283"/>
        <v>9.018824256627454E-4</v>
      </c>
    </row>
    <row r="668" spans="2:13" ht="13" outlineLevel="1" x14ac:dyDescent="0.3">
      <c r="C668" s="353" t="s">
        <v>1610</v>
      </c>
      <c r="D668" s="130"/>
      <c r="E668" s="130"/>
      <c r="F668" s="130"/>
      <c r="G668" s="1358">
        <f t="shared" ref="G668:M668" ca="1" si="284">G375/G$472</f>
        <v>1.1499228936738329E-3</v>
      </c>
      <c r="H668" s="1358">
        <f t="shared" ca="1" si="284"/>
        <v>1.1499228936738329E-3</v>
      </c>
      <c r="I668" s="1358">
        <f t="shared" ca="1" si="284"/>
        <v>1.1406044148142981E-3</v>
      </c>
      <c r="J668" s="1358">
        <f t="shared" ca="1" si="284"/>
        <v>1.1256941439667649E-3</v>
      </c>
      <c r="K668" s="1358">
        <f t="shared" ca="1" si="284"/>
        <v>1.1025647685407192E-3</v>
      </c>
      <c r="L668" s="1358">
        <f t="shared" ca="1" si="284"/>
        <v>1.0573050340883419E-3</v>
      </c>
      <c r="M668" s="1358">
        <f t="shared" ca="1" si="284"/>
        <v>9.2870966853317283E-4</v>
      </c>
    </row>
    <row r="669" spans="2:13" ht="13" outlineLevel="1" x14ac:dyDescent="0.3">
      <c r="C669" s="353" t="s">
        <v>1611</v>
      </c>
      <c r="D669" s="130"/>
      <c r="E669" s="130"/>
      <c r="F669" s="130"/>
      <c r="G669" s="1358">
        <f t="shared" ref="G669:M669" ca="1" si="285">G376/G$472</f>
        <v>0</v>
      </c>
      <c r="H669" s="1358">
        <f t="shared" ca="1" si="285"/>
        <v>0</v>
      </c>
      <c r="I669" s="1358">
        <f t="shared" ca="1" si="285"/>
        <v>0</v>
      </c>
      <c r="J669" s="1358">
        <f t="shared" ca="1" si="285"/>
        <v>0</v>
      </c>
      <c r="K669" s="1358">
        <f t="shared" ca="1" si="285"/>
        <v>0</v>
      </c>
      <c r="L669" s="1358">
        <f t="shared" ca="1" si="285"/>
        <v>0</v>
      </c>
      <c r="M669" s="1358">
        <f t="shared" ca="1" si="285"/>
        <v>0</v>
      </c>
    </row>
    <row r="670" spans="2:13" ht="13" outlineLevel="1" x14ac:dyDescent="0.3">
      <c r="C670" s="353" t="s">
        <v>1612</v>
      </c>
      <c r="D670" s="130"/>
      <c r="E670" s="130"/>
      <c r="F670" s="130"/>
      <c r="G670" s="1358">
        <f t="shared" ref="G670:M670" ca="1" si="286">G377/G$472</f>
        <v>2.2666284517301994E-3</v>
      </c>
      <c r="H670" s="1358">
        <f t="shared" ca="1" si="286"/>
        <v>2.2666284517301994E-3</v>
      </c>
      <c r="I670" s="1358">
        <f t="shared" ca="1" si="286"/>
        <v>2.2482606729634091E-3</v>
      </c>
      <c r="J670" s="1358">
        <f t="shared" ca="1" si="286"/>
        <v>2.2188708379475603E-3</v>
      </c>
      <c r="K670" s="1358">
        <f t="shared" ca="1" si="286"/>
        <v>2.1732802155677131E-3</v>
      </c>
      <c r="L670" s="1358">
        <f t="shared" ca="1" si="286"/>
        <v>2.0840681454438099E-3</v>
      </c>
      <c r="M670" s="1358">
        <f t="shared" ca="1" si="286"/>
        <v>1.8305920941959185E-3</v>
      </c>
    </row>
    <row r="671" spans="2:13" ht="13" outlineLevel="1" x14ac:dyDescent="0.3">
      <c r="C671" s="353"/>
      <c r="D671" s="130"/>
      <c r="E671" s="130"/>
      <c r="F671" s="130"/>
      <c r="G671" s="1358"/>
      <c r="H671" s="1358"/>
      <c r="I671" s="1358"/>
      <c r="J671" s="1358"/>
      <c r="K671" s="1358"/>
      <c r="L671" s="1358"/>
      <c r="M671" s="1358"/>
    </row>
    <row r="672" spans="2:13" ht="14" outlineLevel="1" x14ac:dyDescent="0.3">
      <c r="B672" s="665" t="s">
        <v>1620</v>
      </c>
      <c r="C672" s="353"/>
      <c r="D672" s="130"/>
      <c r="E672" s="130"/>
      <c r="F672" s="130"/>
      <c r="G672" s="1358"/>
      <c r="H672" s="1358"/>
      <c r="I672" s="1358"/>
      <c r="J672" s="1358"/>
      <c r="K672" s="1358"/>
      <c r="L672" s="1358"/>
      <c r="M672" s="1358"/>
    </row>
    <row r="673" spans="2:13" ht="13" outlineLevel="1" x14ac:dyDescent="0.3">
      <c r="C673" s="353" t="s">
        <v>1609</v>
      </c>
      <c r="D673" s="130"/>
      <c r="E673" s="130"/>
      <c r="F673" s="130"/>
      <c r="G673" s="1358">
        <f t="shared" ref="G673:M673" ca="1" si="287">G380/G$472</f>
        <v>6.7816159552822888E-5</v>
      </c>
      <c r="H673" s="1358">
        <f t="shared" ca="1" si="287"/>
        <v>6.7816159552822888E-5</v>
      </c>
      <c r="I673" s="1358">
        <f t="shared" ca="1" si="287"/>
        <v>6.7266606663142725E-5</v>
      </c>
      <c r="J673" s="1358">
        <f t="shared" ca="1" si="287"/>
        <v>6.6387280481939744E-5</v>
      </c>
      <c r="K673" s="1358">
        <f t="shared" ca="1" si="287"/>
        <v>6.5023236490052073E-5</v>
      </c>
      <c r="L673" s="1358">
        <f t="shared" ca="1" si="287"/>
        <v>6.2354065026620542E-5</v>
      </c>
      <c r="M673" s="1358">
        <f t="shared" ca="1" si="287"/>
        <v>5.4770214077813764E-5</v>
      </c>
    </row>
    <row r="674" spans="2:13" ht="13" outlineLevel="1" x14ac:dyDescent="0.3">
      <c r="C674" s="353" t="s">
        <v>1610</v>
      </c>
      <c r="D674" s="130"/>
      <c r="E674" s="130"/>
      <c r="F674" s="130"/>
      <c r="G674" s="1358">
        <f t="shared" ref="G674:M674" ca="1" si="288">G381/G$472</f>
        <v>3.357774849527592E-4</v>
      </c>
      <c r="H674" s="1358">
        <f t="shared" ca="1" si="288"/>
        <v>3.357774849527592E-4</v>
      </c>
      <c r="I674" s="1358">
        <f t="shared" ca="1" si="288"/>
        <v>3.3305648912577502E-4</v>
      </c>
      <c r="J674" s="1358">
        <f t="shared" ca="1" si="288"/>
        <v>3.2870269003829538E-4</v>
      </c>
      <c r="K674" s="1358">
        <f t="shared" ca="1" si="288"/>
        <v>3.2194891241388995E-4</v>
      </c>
      <c r="L674" s="1358">
        <f t="shared" ca="1" si="288"/>
        <v>3.7214117965748397E-4</v>
      </c>
      <c r="M674" s="1358">
        <f t="shared" ca="1" si="288"/>
        <v>5.7482147870821097E-4</v>
      </c>
    </row>
    <row r="675" spans="2:13" ht="13" outlineLevel="1" x14ac:dyDescent="0.3">
      <c r="C675" s="353" t="s">
        <v>1611</v>
      </c>
      <c r="D675" s="130"/>
      <c r="E675" s="130"/>
      <c r="F675" s="130"/>
      <c r="G675" s="1358">
        <f t="shared" ref="G675:M675" ca="1" si="289">G382/G$472</f>
        <v>5.0840502522056744E-3</v>
      </c>
      <c r="H675" s="1358">
        <f t="shared" ca="1" si="289"/>
        <v>5.0840502522056744E-3</v>
      </c>
      <c r="I675" s="1358">
        <f t="shared" ca="1" si="289"/>
        <v>5.0428513030790646E-3</v>
      </c>
      <c r="J675" s="1358">
        <f t="shared" ca="1" si="289"/>
        <v>4.9769298689725829E-3</v>
      </c>
      <c r="K675" s="1358">
        <f t="shared" ca="1" si="289"/>
        <v>4.8746700499750989E-3</v>
      </c>
      <c r="L675" s="1358">
        <f t="shared" ca="1" si="289"/>
        <v>5.6934159511165053E-3</v>
      </c>
      <c r="M675" s="1358">
        <f t="shared" ca="1" si="289"/>
        <v>9.0743885449169372E-3</v>
      </c>
    </row>
    <row r="676" spans="2:13" ht="13" outlineLevel="1" x14ac:dyDescent="0.3">
      <c r="C676" s="353" t="s">
        <v>1612</v>
      </c>
      <c r="D676" s="130"/>
      <c r="E676" s="130"/>
      <c r="F676" s="130"/>
      <c r="G676" s="1358">
        <f t="shared" ref="G676:M676" ca="1" si="290">G383/G$472</f>
        <v>5.487643896711256E-3</v>
      </c>
      <c r="H676" s="1358">
        <f t="shared" ca="1" si="290"/>
        <v>5.487643896711256E-3</v>
      </c>
      <c r="I676" s="1358">
        <f t="shared" ca="1" si="290"/>
        <v>5.4431743988679823E-3</v>
      </c>
      <c r="J676" s="1358">
        <f t="shared" ca="1" si="290"/>
        <v>5.3720198394928177E-3</v>
      </c>
      <c r="K676" s="1358">
        <f t="shared" ca="1" si="290"/>
        <v>5.2616421988790412E-3</v>
      </c>
      <c r="L676" s="1358">
        <f t="shared" ca="1" si="290"/>
        <v>6.1279111958006099E-3</v>
      </c>
      <c r="M676" s="1358">
        <f t="shared" ca="1" si="290"/>
        <v>9.7039802377029624E-3</v>
      </c>
    </row>
    <row r="677" spans="2:13" ht="13" outlineLevel="1" x14ac:dyDescent="0.3">
      <c r="C677" s="353"/>
      <c r="D677" s="130"/>
      <c r="E677" s="130"/>
      <c r="F677" s="130"/>
      <c r="G677" s="1358"/>
      <c r="H677" s="1358"/>
      <c r="I677" s="1358"/>
      <c r="J677" s="1358"/>
      <c r="K677" s="1358"/>
      <c r="L677" s="1358"/>
      <c r="M677" s="1358"/>
    </row>
    <row r="678" spans="2:13" ht="14" outlineLevel="1" x14ac:dyDescent="0.3">
      <c r="B678" s="665" t="s">
        <v>1582</v>
      </c>
      <c r="C678" s="353"/>
      <c r="D678" s="130"/>
      <c r="E678" s="130"/>
      <c r="F678" s="130"/>
      <c r="G678" s="1358"/>
      <c r="H678" s="1358"/>
      <c r="I678" s="1358"/>
      <c r="J678" s="1358"/>
      <c r="K678" s="1358"/>
      <c r="L678" s="1358"/>
      <c r="M678" s="1358"/>
    </row>
    <row r="679" spans="2:13" ht="13" outlineLevel="1" x14ac:dyDescent="0.3">
      <c r="C679" s="353" t="s">
        <v>1609</v>
      </c>
      <c r="D679" s="130"/>
      <c r="E679" s="130"/>
      <c r="F679" s="130"/>
      <c r="G679" s="1358">
        <f t="shared" ref="G679:M679" ca="1" si="291">G386/G$472</f>
        <v>1.2269105100470997E-2</v>
      </c>
      <c r="H679" s="1358">
        <f t="shared" ca="1" si="291"/>
        <v>1.2269105100470997E-2</v>
      </c>
      <c r="I679" s="1358">
        <f t="shared" ca="1" si="291"/>
        <v>1.2273802732755858E-2</v>
      </c>
      <c r="J679" s="1358">
        <f t="shared" ca="1" si="291"/>
        <v>1.2271344702531221E-2</v>
      </c>
      <c r="K679" s="1358">
        <f t="shared" ca="1" si="291"/>
        <v>1.2262028346870435E-2</v>
      </c>
      <c r="L679" s="1358">
        <f t="shared" ca="1" si="291"/>
        <v>1.2191257497699339E-2</v>
      </c>
      <c r="M679" s="1358">
        <f t="shared" ca="1" si="291"/>
        <v>1.1829086705653701E-2</v>
      </c>
    </row>
    <row r="680" spans="2:13" ht="13" outlineLevel="1" x14ac:dyDescent="0.3">
      <c r="C680" s="353" t="s">
        <v>1610</v>
      </c>
      <c r="D680" s="130"/>
      <c r="E680" s="130"/>
      <c r="F680" s="130"/>
      <c r="G680" s="1358">
        <f t="shared" ref="G680:M680" ca="1" si="292">G387/G$472</f>
        <v>2.0070555250044878E-2</v>
      </c>
      <c r="H680" s="1358">
        <f t="shared" ca="1" si="292"/>
        <v>2.0070555250044878E-2</v>
      </c>
      <c r="I680" s="1358">
        <f t="shared" ca="1" si="292"/>
        <v>1.9980273713869318E-2</v>
      </c>
      <c r="J680" s="1358">
        <f t="shared" ca="1" si="292"/>
        <v>1.9833079639740948E-2</v>
      </c>
      <c r="K680" s="1358">
        <f t="shared" ca="1" si="292"/>
        <v>1.9609160165711084E-2</v>
      </c>
      <c r="L680" s="1358">
        <f t="shared" ca="1" si="292"/>
        <v>1.9215536970389639E-2</v>
      </c>
      <c r="M680" s="1358">
        <f t="shared" ca="1" si="292"/>
        <v>1.8129206117472887E-2</v>
      </c>
    </row>
    <row r="681" spans="2:13" ht="13" outlineLevel="1" x14ac:dyDescent="0.3">
      <c r="C681" s="353" t="s">
        <v>1611</v>
      </c>
      <c r="D681" s="130"/>
      <c r="E681" s="130"/>
      <c r="F681" s="130"/>
      <c r="G681" s="1358">
        <f t="shared" ref="G681:M681" ca="1" si="293">G388/G$472</f>
        <v>5.0840502522056744E-3</v>
      </c>
      <c r="H681" s="1358">
        <f t="shared" ca="1" si="293"/>
        <v>5.0840502522056744E-3</v>
      </c>
      <c r="I681" s="1358">
        <f t="shared" ca="1" si="293"/>
        <v>5.0428513030790646E-3</v>
      </c>
      <c r="J681" s="1358">
        <f t="shared" ca="1" si="293"/>
        <v>4.9769298689725829E-3</v>
      </c>
      <c r="K681" s="1358">
        <f t="shared" ca="1" si="293"/>
        <v>4.8746700499750989E-3</v>
      </c>
      <c r="L681" s="1358">
        <f t="shared" ca="1" si="293"/>
        <v>5.6934159511165053E-3</v>
      </c>
      <c r="M681" s="1358">
        <f t="shared" ca="1" si="293"/>
        <v>9.0743885449169372E-3</v>
      </c>
    </row>
    <row r="682" spans="2:13" ht="13" outlineLevel="1" x14ac:dyDescent="0.3">
      <c r="C682" s="353" t="s">
        <v>1612</v>
      </c>
      <c r="D682" s="130"/>
      <c r="E682" s="130"/>
      <c r="F682" s="130"/>
      <c r="G682" s="1358">
        <f t="shared" ref="G682:M682" ca="1" si="294">G389/G$472</f>
        <v>3.7423710602721538E-2</v>
      </c>
      <c r="H682" s="1358">
        <f t="shared" ca="1" si="294"/>
        <v>3.7423710602721538E-2</v>
      </c>
      <c r="I682" s="1358">
        <f t="shared" ca="1" si="294"/>
        <v>3.7296927749704237E-2</v>
      </c>
      <c r="J682" s="1358">
        <f t="shared" ca="1" si="294"/>
        <v>3.7081354211244748E-2</v>
      </c>
      <c r="K682" s="1358">
        <f t="shared" ca="1" si="294"/>
        <v>3.6745858562556612E-2</v>
      </c>
      <c r="L682" s="1358">
        <f t="shared" ca="1" si="294"/>
        <v>3.7100210419205477E-2</v>
      </c>
      <c r="M682" s="1358">
        <f t="shared" ca="1" si="294"/>
        <v>3.9032681368043519E-2</v>
      </c>
    </row>
    <row r="683" spans="2:13" ht="13" outlineLevel="1" x14ac:dyDescent="0.3">
      <c r="C683" s="353"/>
      <c r="D683" s="130"/>
      <c r="E683" s="130"/>
      <c r="F683" s="130"/>
      <c r="G683" s="1358"/>
      <c r="H683" s="1358"/>
      <c r="I683" s="1358"/>
      <c r="J683" s="1358"/>
      <c r="K683" s="1358"/>
      <c r="L683" s="1358"/>
      <c r="M683" s="1358"/>
    </row>
    <row r="684" spans="2:13" ht="15.5" outlineLevel="1" x14ac:dyDescent="0.35">
      <c r="B684" s="6" t="s">
        <v>1583</v>
      </c>
      <c r="C684" s="353"/>
      <c r="D684" s="130"/>
      <c r="E684" s="130"/>
      <c r="F684" s="130"/>
      <c r="G684" s="1358"/>
      <c r="H684" s="1358"/>
      <c r="I684" s="1358"/>
      <c r="J684" s="1358"/>
      <c r="K684" s="1358"/>
      <c r="L684" s="1358"/>
      <c r="M684" s="1358"/>
    </row>
    <row r="685" spans="2:13" ht="14" outlineLevel="1" x14ac:dyDescent="0.3">
      <c r="B685" s="665" t="s">
        <v>1621</v>
      </c>
      <c r="C685" s="130"/>
      <c r="D685" s="130"/>
      <c r="E685" s="130"/>
      <c r="F685" s="130"/>
      <c r="G685" s="1358"/>
      <c r="H685" s="1358"/>
      <c r="I685" s="1358"/>
      <c r="J685" s="1358"/>
      <c r="K685" s="1358"/>
      <c r="L685" s="1358"/>
      <c r="M685" s="1358"/>
    </row>
    <row r="686" spans="2:13" ht="13" outlineLevel="1" x14ac:dyDescent="0.3">
      <c r="C686" s="353" t="s">
        <v>1609</v>
      </c>
      <c r="D686" s="130"/>
      <c r="E686" s="130"/>
      <c r="F686" s="130"/>
      <c r="G686" s="1358">
        <f t="shared" ref="G686:M686" ca="1" si="295">G393/G$472</f>
        <v>4.7434104513444982E-3</v>
      </c>
      <c r="H686" s="1358">
        <f t="shared" ca="1" si="295"/>
        <v>4.7434104513444982E-3</v>
      </c>
      <c r="I686" s="1358">
        <f t="shared" ca="1" si="295"/>
        <v>4.7032874955797634E-3</v>
      </c>
      <c r="J686" s="1358">
        <f t="shared" ca="1" si="295"/>
        <v>4.6397574747482238E-3</v>
      </c>
      <c r="K686" s="1358">
        <f t="shared" ca="1" si="295"/>
        <v>4.5421056514921374E-3</v>
      </c>
      <c r="L686" s="1358">
        <f t="shared" ca="1" si="295"/>
        <v>4.3529874567791631E-3</v>
      </c>
      <c r="M686" s="1358">
        <f t="shared" ca="1" si="295"/>
        <v>3.8204583560059804E-3</v>
      </c>
    </row>
    <row r="687" spans="2:13" ht="13" outlineLevel="1" x14ac:dyDescent="0.3">
      <c r="C687" s="353" t="s">
        <v>1610</v>
      </c>
      <c r="D687" s="130"/>
      <c r="E687" s="130"/>
      <c r="F687" s="130"/>
      <c r="G687" s="1358">
        <f t="shared" ref="G687:M687" ca="1" si="296">G394/G$472</f>
        <v>3.8203286067060575E-2</v>
      </c>
      <c r="H687" s="1358">
        <f t="shared" ca="1" si="296"/>
        <v>3.8203286067060575E-2</v>
      </c>
      <c r="I687" s="1358">
        <f t="shared" ca="1" si="296"/>
        <v>3.7880136979993546E-2</v>
      </c>
      <c r="J687" s="1358">
        <f t="shared" ca="1" si="296"/>
        <v>3.7368468090158022E-2</v>
      </c>
      <c r="K687" s="1358">
        <f t="shared" ca="1" si="296"/>
        <v>3.6581983222974568E-2</v>
      </c>
      <c r="L687" s="1358">
        <f t="shared" ca="1" si="296"/>
        <v>3.5058830932609752E-2</v>
      </c>
      <c r="M687" s="1358">
        <f t="shared" ca="1" si="296"/>
        <v>3.0769857464141306E-2</v>
      </c>
    </row>
    <row r="688" spans="2:13" ht="13" outlineLevel="1" x14ac:dyDescent="0.3">
      <c r="C688" s="353" t="s">
        <v>1611</v>
      </c>
      <c r="D688" s="130"/>
      <c r="E688" s="130"/>
      <c r="F688" s="130"/>
      <c r="G688" s="1358">
        <f t="shared" ref="G688:M688" ca="1" si="297">G395/G$472</f>
        <v>9.1751971408252676E-3</v>
      </c>
      <c r="H688" s="1358">
        <f t="shared" ca="1" si="297"/>
        <v>9.1751971408252676E-3</v>
      </c>
      <c r="I688" s="1358">
        <f t="shared" ca="1" si="297"/>
        <v>9.0975871526553214E-3</v>
      </c>
      <c r="J688" s="1358">
        <f t="shared" ca="1" si="297"/>
        <v>8.9747007881989423E-3</v>
      </c>
      <c r="K688" s="1358">
        <f t="shared" ca="1" si="297"/>
        <v>8.785812489636953E-3</v>
      </c>
      <c r="L688" s="1358">
        <f t="shared" ca="1" si="297"/>
        <v>8.4200004357977854E-3</v>
      </c>
      <c r="M688" s="1358">
        <f t="shared" ca="1" si="297"/>
        <v>7.3899273411459319E-3</v>
      </c>
    </row>
    <row r="689" spans="2:13" outlineLevel="1" x14ac:dyDescent="0.25">
      <c r="C689" s="353" t="s">
        <v>1612</v>
      </c>
      <c r="G689" s="1358">
        <f t="shared" ref="G689:M689" ca="1" si="298">G396/G$472</f>
        <v>5.2121893659230339E-2</v>
      </c>
      <c r="H689" s="1358">
        <f t="shared" ca="1" si="298"/>
        <v>5.2121893659230339E-2</v>
      </c>
      <c r="I689" s="1358">
        <f t="shared" ca="1" si="298"/>
        <v>5.1681011628228628E-2</v>
      </c>
      <c r="J689" s="1358">
        <f t="shared" ca="1" si="298"/>
        <v>5.0982926353105189E-2</v>
      </c>
      <c r="K689" s="1358">
        <f t="shared" ca="1" si="298"/>
        <v>4.9909901364103663E-2</v>
      </c>
      <c r="L689" s="1358">
        <f t="shared" ca="1" si="298"/>
        <v>4.7831818825186702E-2</v>
      </c>
      <c r="M689" s="1358">
        <f t="shared" ca="1" si="298"/>
        <v>4.1980243161293222E-2</v>
      </c>
    </row>
    <row r="690" spans="2:13" ht="13" outlineLevel="1" x14ac:dyDescent="0.3">
      <c r="C690" s="353"/>
      <c r="D690" s="130"/>
      <c r="E690" s="130"/>
      <c r="F690" s="130"/>
      <c r="G690" s="1358"/>
      <c r="H690" s="1358"/>
      <c r="I690" s="1358"/>
      <c r="J690" s="1358"/>
      <c r="K690" s="1358"/>
      <c r="L690" s="1358"/>
      <c r="M690" s="1358"/>
    </row>
    <row r="691" spans="2:13" ht="15.5" outlineLevel="1" x14ac:dyDescent="0.35">
      <c r="B691" s="6" t="s">
        <v>1622</v>
      </c>
      <c r="C691" s="130"/>
      <c r="D691" s="130"/>
      <c r="E691" s="130"/>
      <c r="F691" s="130"/>
      <c r="G691" s="1358"/>
      <c r="H691" s="1358"/>
      <c r="I691" s="1358"/>
      <c r="J691" s="1358"/>
      <c r="K691" s="1358"/>
      <c r="L691" s="1358"/>
      <c r="M691" s="1358"/>
    </row>
    <row r="692" spans="2:13" ht="14" outlineLevel="1" x14ac:dyDescent="0.3">
      <c r="B692" s="665" t="s">
        <v>1140</v>
      </c>
      <c r="C692" s="130"/>
      <c r="D692" s="130"/>
      <c r="E692" s="130"/>
      <c r="F692" s="130"/>
      <c r="G692" s="1358"/>
      <c r="H692" s="1358"/>
      <c r="I692" s="1358"/>
      <c r="J692" s="1358"/>
      <c r="K692" s="1358"/>
      <c r="L692" s="1358"/>
      <c r="M692" s="1358"/>
    </row>
    <row r="693" spans="2:13" ht="13" outlineLevel="1" x14ac:dyDescent="0.3">
      <c r="C693" s="353" t="s">
        <v>1609</v>
      </c>
      <c r="D693" s="130"/>
      <c r="E693" s="130"/>
      <c r="F693" s="130"/>
      <c r="G693" s="1358">
        <f t="shared" ref="G693:M693" ca="1" si="299">G400/G$472</f>
        <v>1.4410933904974866E-3</v>
      </c>
      <c r="H693" s="1358">
        <f t="shared" ca="1" si="299"/>
        <v>1.4410933904974866E-3</v>
      </c>
      <c r="I693" s="1358">
        <f t="shared" ca="1" si="299"/>
        <v>1.4294153915917832E-3</v>
      </c>
      <c r="J693" s="1358">
        <f t="shared" ca="1" si="299"/>
        <v>1.4107297102412197E-3</v>
      </c>
      <c r="K693" s="1358">
        <f t="shared" ca="1" si="299"/>
        <v>1.3817437754136068E-3</v>
      </c>
      <c r="L693" s="1358">
        <f t="shared" ca="1" si="299"/>
        <v>1.3250238818156867E-3</v>
      </c>
      <c r="M693" s="1358">
        <f t="shared" ca="1" si="299"/>
        <v>1.1638670491535426E-3</v>
      </c>
    </row>
    <row r="694" spans="2:13" ht="13" outlineLevel="1" x14ac:dyDescent="0.3">
      <c r="C694" s="353" t="s">
        <v>1610</v>
      </c>
      <c r="D694" s="130"/>
      <c r="E694" s="130"/>
      <c r="F694" s="130"/>
      <c r="G694" s="1358">
        <f t="shared" ref="G694:M694" ca="1" si="300">G401/G$472</f>
        <v>4.3324646089425052E-3</v>
      </c>
      <c r="H694" s="1358">
        <f t="shared" ca="1" si="300"/>
        <v>4.3324646089425052E-3</v>
      </c>
      <c r="I694" s="1358">
        <f t="shared" ca="1" si="300"/>
        <v>4.2973561855080156E-3</v>
      </c>
      <c r="J694" s="1358">
        <f t="shared" ca="1" si="300"/>
        <v>4.2411800530802995E-3</v>
      </c>
      <c r="K694" s="1358">
        <f t="shared" ca="1" si="300"/>
        <v>4.1540375142095926E-3</v>
      </c>
      <c r="L694" s="1358">
        <f t="shared" ca="1" si="300"/>
        <v>3.9835163437869445E-3</v>
      </c>
      <c r="M694" s="1358">
        <f t="shared" ca="1" si="300"/>
        <v>3.4990187542469787E-3</v>
      </c>
    </row>
    <row r="695" spans="2:13" ht="13" outlineLevel="1" x14ac:dyDescent="0.3">
      <c r="C695" s="353" t="s">
        <v>1611</v>
      </c>
      <c r="D695" s="130"/>
      <c r="E695" s="130"/>
      <c r="F695" s="130"/>
      <c r="G695" s="1358">
        <f t="shared" ref="G695:M695" ca="1" si="301">G402/G$472</f>
        <v>2.2551271076757485E-3</v>
      </c>
      <c r="H695" s="1358">
        <f t="shared" ca="1" si="301"/>
        <v>2.2551271076757485E-3</v>
      </c>
      <c r="I695" s="1358">
        <f t="shared" ca="1" si="301"/>
        <v>2.2368525308375546E-3</v>
      </c>
      <c r="J695" s="1358">
        <f t="shared" ca="1" si="301"/>
        <v>2.2076118259554789E-3</v>
      </c>
      <c r="K695" s="1358">
        <f t="shared" ca="1" si="301"/>
        <v>2.1622525398730503E-3</v>
      </c>
      <c r="L695" s="1358">
        <f t="shared" ca="1" si="301"/>
        <v>2.0734931503424404E-3</v>
      </c>
      <c r="M695" s="1358">
        <f t="shared" ca="1" si="301"/>
        <v>1.8213032892827735E-3</v>
      </c>
    </row>
    <row r="696" spans="2:13" ht="15.5" outlineLevel="1" x14ac:dyDescent="0.35">
      <c r="B696" s="6"/>
      <c r="C696" s="353" t="s">
        <v>1612</v>
      </c>
      <c r="D696" s="130"/>
      <c r="E696" s="130"/>
      <c r="F696" s="130"/>
      <c r="G696" s="1358">
        <f t="shared" ref="G696:M696" ca="1" si="302">G403/G$472</f>
        <v>8.0286851071157406E-3</v>
      </c>
      <c r="H696" s="1358">
        <f t="shared" ca="1" si="302"/>
        <v>8.0286851071157406E-3</v>
      </c>
      <c r="I696" s="1358">
        <f t="shared" ca="1" si="302"/>
        <v>7.9636241079373542E-3</v>
      </c>
      <c r="J696" s="1358">
        <f t="shared" ca="1" si="302"/>
        <v>7.8595215892769982E-3</v>
      </c>
      <c r="K696" s="1358">
        <f t="shared" ca="1" si="302"/>
        <v>7.6980338294962494E-3</v>
      </c>
      <c r="L696" s="1358">
        <f t="shared" ca="1" si="302"/>
        <v>7.3820333759450716E-3</v>
      </c>
      <c r="M696" s="1358">
        <f t="shared" ca="1" si="302"/>
        <v>6.4841890926832955E-3</v>
      </c>
    </row>
    <row r="697" spans="2:13" ht="15.5" outlineLevel="1" x14ac:dyDescent="0.35">
      <c r="B697" s="6"/>
      <c r="C697" s="353"/>
      <c r="D697" s="130"/>
      <c r="E697" s="130"/>
      <c r="F697" s="130"/>
      <c r="G697" s="1358"/>
      <c r="H697" s="1358"/>
      <c r="I697" s="1358"/>
      <c r="J697" s="1358"/>
      <c r="K697" s="1358"/>
      <c r="L697" s="1358"/>
      <c r="M697" s="1358"/>
    </row>
    <row r="698" spans="2:13" ht="15.5" outlineLevel="1" x14ac:dyDescent="0.35">
      <c r="B698" s="6" t="s">
        <v>1623</v>
      </c>
      <c r="C698" s="130"/>
      <c r="D698" s="130"/>
      <c r="E698" s="130"/>
      <c r="F698" s="130"/>
      <c r="G698" s="1358"/>
      <c r="H698" s="1358"/>
      <c r="I698" s="1358"/>
      <c r="J698" s="1358"/>
      <c r="K698" s="1358"/>
      <c r="L698" s="1358"/>
      <c r="M698" s="1358"/>
    </row>
    <row r="699" spans="2:13" ht="14" outlineLevel="1" x14ac:dyDescent="0.3">
      <c r="B699" s="665" t="s">
        <v>1624</v>
      </c>
      <c r="C699" s="130"/>
      <c r="D699" s="130"/>
      <c r="E699" s="130"/>
      <c r="F699" s="130"/>
      <c r="G699" s="1358"/>
      <c r="H699" s="1358"/>
      <c r="I699" s="1358"/>
      <c r="J699" s="1358"/>
      <c r="K699" s="1358"/>
      <c r="L699" s="1358"/>
      <c r="M699" s="1358"/>
    </row>
    <row r="700" spans="2:13" ht="13" outlineLevel="1" x14ac:dyDescent="0.3">
      <c r="C700" s="353" t="s">
        <v>1609</v>
      </c>
      <c r="D700" s="130"/>
      <c r="E700" s="130"/>
      <c r="F700" s="130"/>
      <c r="G700" s="1358">
        <f t="shared" ref="G700:M700" ca="1" si="303">G407/G$472</f>
        <v>1.2715529916154293E-3</v>
      </c>
      <c r="H700" s="1358">
        <f t="shared" ca="1" si="303"/>
        <v>1.2715529916154293E-3</v>
      </c>
      <c r="I700" s="1358">
        <f t="shared" ca="1" si="303"/>
        <v>1.2612488749339263E-3</v>
      </c>
      <c r="J700" s="1358">
        <f t="shared" ca="1" si="303"/>
        <v>1.2447615090363702E-3</v>
      </c>
      <c r="K700" s="1358">
        <f t="shared" ca="1" si="303"/>
        <v>1.2191856841884765E-3</v>
      </c>
      <c r="L700" s="1358">
        <f t="shared" ca="1" si="303"/>
        <v>1.1691387192491352E-3</v>
      </c>
      <c r="M700" s="1358">
        <f t="shared" ca="1" si="303"/>
        <v>1.0269415139590081E-3</v>
      </c>
    </row>
    <row r="701" spans="2:13" ht="13" outlineLevel="1" x14ac:dyDescent="0.3">
      <c r="C701" s="353" t="s">
        <v>1610</v>
      </c>
      <c r="D701" s="130"/>
      <c r="E701" s="130"/>
      <c r="F701" s="130"/>
      <c r="G701" s="1358">
        <f t="shared" ref="G701:M701" ca="1" si="304">G408/G$472</f>
        <v>4.3324646089425052E-3</v>
      </c>
      <c r="H701" s="1358">
        <f t="shared" ca="1" si="304"/>
        <v>4.3324646089425052E-3</v>
      </c>
      <c r="I701" s="1358">
        <f t="shared" ca="1" si="304"/>
        <v>4.2973561855080156E-3</v>
      </c>
      <c r="J701" s="1358">
        <f t="shared" ca="1" si="304"/>
        <v>4.2411800530802995E-3</v>
      </c>
      <c r="K701" s="1358">
        <f t="shared" ca="1" si="304"/>
        <v>4.1540375142095926E-3</v>
      </c>
      <c r="L701" s="1358">
        <f t="shared" ca="1" si="304"/>
        <v>3.9835163437869445E-3</v>
      </c>
      <c r="M701" s="1358">
        <f t="shared" ca="1" si="304"/>
        <v>3.4990187542469787E-3</v>
      </c>
    </row>
    <row r="702" spans="2:13" ht="13" outlineLevel="1" x14ac:dyDescent="0.3">
      <c r="C702" s="353" t="s">
        <v>1611</v>
      </c>
      <c r="D702" s="130"/>
      <c r="E702" s="130"/>
      <c r="F702" s="130"/>
      <c r="G702" s="1358">
        <f t="shared" ref="G702:M702" ca="1" si="305">G409/G$472</f>
        <v>2.2551271076757485E-3</v>
      </c>
      <c r="H702" s="1358">
        <f t="shared" ca="1" si="305"/>
        <v>2.2551271076757485E-3</v>
      </c>
      <c r="I702" s="1358">
        <f t="shared" ca="1" si="305"/>
        <v>2.2368525308375546E-3</v>
      </c>
      <c r="J702" s="1358">
        <f t="shared" ca="1" si="305"/>
        <v>2.2076118259554789E-3</v>
      </c>
      <c r="K702" s="1358">
        <f t="shared" ca="1" si="305"/>
        <v>2.1622525398730503E-3</v>
      </c>
      <c r="L702" s="1358">
        <f t="shared" ca="1" si="305"/>
        <v>2.0734931503424404E-3</v>
      </c>
      <c r="M702" s="1358">
        <f t="shared" ca="1" si="305"/>
        <v>1.8213032892827735E-3</v>
      </c>
    </row>
    <row r="703" spans="2:13" ht="13" outlineLevel="1" x14ac:dyDescent="0.3">
      <c r="C703" s="353" t="s">
        <v>1612</v>
      </c>
      <c r="D703" s="130"/>
      <c r="E703" s="130"/>
      <c r="F703" s="130"/>
      <c r="G703" s="1358">
        <f t="shared" ref="G703:M703" ca="1" si="306">G410/G$472</f>
        <v>7.8591447082336837E-3</v>
      </c>
      <c r="H703" s="1358">
        <f t="shared" ca="1" si="306"/>
        <v>7.8591447082336837E-3</v>
      </c>
      <c r="I703" s="1358">
        <f t="shared" ca="1" si="306"/>
        <v>7.7954575912794971E-3</v>
      </c>
      <c r="J703" s="1358">
        <f t="shared" ca="1" si="306"/>
        <v>7.6935533880721487E-3</v>
      </c>
      <c r="K703" s="1358">
        <f t="shared" ca="1" si="306"/>
        <v>7.5354757382711194E-3</v>
      </c>
      <c r="L703" s="1358">
        <f t="shared" ca="1" si="306"/>
        <v>7.2261482133785205E-3</v>
      </c>
      <c r="M703" s="1358">
        <f t="shared" ca="1" si="306"/>
        <v>6.3472635574887614E-3</v>
      </c>
    </row>
    <row r="704" spans="2:13" ht="13" outlineLevel="1" x14ac:dyDescent="0.3">
      <c r="C704" s="353"/>
      <c r="D704" s="130"/>
      <c r="E704" s="130"/>
      <c r="F704" s="130"/>
      <c r="G704" s="1358"/>
      <c r="H704" s="1358"/>
      <c r="I704" s="1358"/>
      <c r="J704" s="1358"/>
      <c r="K704" s="1358"/>
      <c r="L704" s="1358"/>
      <c r="M704" s="1358"/>
    </row>
    <row r="705" spans="2:13" ht="15.5" outlineLevel="1" x14ac:dyDescent="0.35">
      <c r="B705" s="6" t="s">
        <v>1625</v>
      </c>
      <c r="C705" s="353"/>
      <c r="D705" s="130"/>
      <c r="E705" s="130"/>
      <c r="F705" s="130"/>
      <c r="G705" s="1358"/>
      <c r="H705" s="1358"/>
      <c r="I705" s="1358"/>
      <c r="J705" s="1358"/>
      <c r="K705" s="1358"/>
      <c r="L705" s="1358"/>
      <c r="M705" s="1358"/>
    </row>
    <row r="706" spans="2:13" ht="14" outlineLevel="1" x14ac:dyDescent="0.3">
      <c r="B706" s="665" t="s">
        <v>1626</v>
      </c>
      <c r="C706" s="353"/>
      <c r="D706" s="130"/>
      <c r="E706" s="130"/>
      <c r="F706" s="130"/>
      <c r="G706" s="1358"/>
      <c r="H706" s="1358"/>
      <c r="I706" s="1358"/>
      <c r="J706" s="1358"/>
      <c r="K706" s="1358"/>
      <c r="L706" s="1358"/>
      <c r="M706" s="1358"/>
    </row>
    <row r="707" spans="2:13" ht="13" outlineLevel="1" x14ac:dyDescent="0.3">
      <c r="C707" s="353" t="s">
        <v>1609</v>
      </c>
      <c r="D707" s="130"/>
      <c r="E707" s="130"/>
      <c r="F707" s="130"/>
      <c r="G707" s="1358">
        <f t="shared" ref="G707:M707" ca="1" si="307">G414/G$472</f>
        <v>2.627876182671887E-4</v>
      </c>
      <c r="H707" s="1358">
        <f t="shared" ca="1" si="307"/>
        <v>2.627876182671887E-4</v>
      </c>
      <c r="I707" s="1358">
        <f t="shared" ca="1" si="307"/>
        <v>2.6065810081967806E-4</v>
      </c>
      <c r="J707" s="1358">
        <f t="shared" ca="1" si="307"/>
        <v>2.5725071186751648E-4</v>
      </c>
      <c r="K707" s="1358">
        <f t="shared" ca="1" si="307"/>
        <v>2.519650413989518E-4</v>
      </c>
      <c r="L707" s="1358">
        <f t="shared" ca="1" si="307"/>
        <v>2.416220019781546E-4</v>
      </c>
      <c r="M707" s="1358">
        <f t="shared" ca="1" si="307"/>
        <v>2.1223457955152889E-4</v>
      </c>
    </row>
    <row r="708" spans="2:13" ht="13" outlineLevel="1" x14ac:dyDescent="0.3">
      <c r="C708" s="353" t="s">
        <v>1610</v>
      </c>
      <c r="D708" s="130"/>
      <c r="E708" s="130"/>
      <c r="F708" s="130"/>
      <c r="G708" s="1358">
        <f t="shared" ref="G708:M708" ca="1" si="308">G415/G$472</f>
        <v>9.2180098062606495E-3</v>
      </c>
      <c r="H708" s="1358">
        <f t="shared" ca="1" si="308"/>
        <v>9.2180098062606495E-3</v>
      </c>
      <c r="I708" s="1358">
        <f t="shared" ca="1" si="308"/>
        <v>9.1433110329957774E-3</v>
      </c>
      <c r="J708" s="1358">
        <f t="shared" ca="1" si="308"/>
        <v>9.0237873469793603E-3</v>
      </c>
      <c r="K708" s="1358">
        <f t="shared" ca="1" si="308"/>
        <v>8.838377689807643E-3</v>
      </c>
      <c r="L708" s="1358">
        <f t="shared" ca="1" si="308"/>
        <v>8.4755666889083925E-3</v>
      </c>
      <c r="M708" s="1358">
        <f t="shared" ca="1" si="308"/>
        <v>7.4447207537170126E-3</v>
      </c>
    </row>
    <row r="709" spans="2:13" ht="13" outlineLevel="1" x14ac:dyDescent="0.3">
      <c r="C709" s="353" t="s">
        <v>1611</v>
      </c>
      <c r="D709" s="130"/>
      <c r="E709" s="130"/>
      <c r="F709" s="130"/>
      <c r="G709" s="1358">
        <f t="shared" ref="G709:M709" ca="1" si="309">G416/G$472</f>
        <v>8.3523226210212905E-4</v>
      </c>
      <c r="H709" s="1358">
        <f t="shared" ca="1" si="309"/>
        <v>8.3523226210212905E-4</v>
      </c>
      <c r="I709" s="1358">
        <f t="shared" ca="1" si="309"/>
        <v>8.2846390031020517E-4</v>
      </c>
      <c r="J709" s="1358">
        <f t="shared" ca="1" si="309"/>
        <v>8.1763400961314017E-4</v>
      </c>
      <c r="K709" s="1358">
        <f t="shared" ca="1" si="309"/>
        <v>8.0083427402705555E-4</v>
      </c>
      <c r="L709" s="1358">
        <f t="shared" ca="1" si="309"/>
        <v>7.6796042605275562E-4</v>
      </c>
      <c r="M709" s="1358">
        <f t="shared" ca="1" si="309"/>
        <v>6.7455677380843799E-4</v>
      </c>
    </row>
    <row r="710" spans="2:13" ht="13" outlineLevel="1" x14ac:dyDescent="0.3">
      <c r="C710" s="353" t="s">
        <v>1612</v>
      </c>
      <c r="D710" s="130"/>
      <c r="E710" s="130"/>
      <c r="F710" s="130"/>
      <c r="G710" s="1358">
        <f t="shared" ref="G710:M710" ca="1" si="310">G417/G$472</f>
        <v>1.0316029686629967E-2</v>
      </c>
      <c r="H710" s="1358">
        <f t="shared" ca="1" si="310"/>
        <v>1.0316029686629967E-2</v>
      </c>
      <c r="I710" s="1358">
        <f t="shared" ca="1" si="310"/>
        <v>1.0232433034125661E-2</v>
      </c>
      <c r="J710" s="1358">
        <f t="shared" ca="1" si="310"/>
        <v>1.0098672068460017E-2</v>
      </c>
      <c r="K710" s="1358">
        <f t="shared" ca="1" si="310"/>
        <v>9.8911770052336513E-3</v>
      </c>
      <c r="L710" s="1358">
        <f t="shared" ca="1" si="310"/>
        <v>9.485149116939302E-3</v>
      </c>
      <c r="M710" s="1358">
        <f t="shared" ca="1" si="310"/>
        <v>8.3315121070769785E-3</v>
      </c>
    </row>
    <row r="711" spans="2:13" ht="13" outlineLevel="1" x14ac:dyDescent="0.3">
      <c r="C711" s="353"/>
      <c r="D711" s="130"/>
      <c r="E711" s="130"/>
      <c r="F711" s="130"/>
      <c r="G711" s="1358"/>
      <c r="H711" s="1358"/>
      <c r="I711" s="1358"/>
      <c r="J711" s="1358"/>
      <c r="K711" s="1358"/>
      <c r="L711" s="1358"/>
      <c r="M711" s="1358"/>
    </row>
    <row r="712" spans="2:13" ht="15.5" outlineLevel="1" x14ac:dyDescent="0.35">
      <c r="B712" s="6" t="s">
        <v>1627</v>
      </c>
      <c r="D712" s="130"/>
      <c r="E712" s="130"/>
      <c r="F712" s="130"/>
      <c r="G712" s="1358"/>
      <c r="H712" s="1358"/>
      <c r="I712" s="1358"/>
      <c r="J712" s="1358"/>
      <c r="K712" s="1358"/>
      <c r="L712" s="1358"/>
      <c r="M712" s="1358"/>
    </row>
    <row r="713" spans="2:13" ht="14" outlineLevel="1" x14ac:dyDescent="0.3">
      <c r="B713" s="665" t="s">
        <v>1628</v>
      </c>
      <c r="C713" s="353"/>
      <c r="D713" s="130"/>
      <c r="E713" s="130"/>
      <c r="F713" s="130"/>
      <c r="G713" s="1358"/>
      <c r="H713" s="1358"/>
      <c r="I713" s="1358"/>
      <c r="J713" s="1358"/>
      <c r="K713" s="1358"/>
      <c r="L713" s="1358"/>
      <c r="M713" s="1358"/>
    </row>
    <row r="714" spans="2:13" ht="13" outlineLevel="1" x14ac:dyDescent="0.3">
      <c r="C714" s="353" t="s">
        <v>1609</v>
      </c>
      <c r="D714" s="130"/>
      <c r="E714" s="130"/>
      <c r="F714" s="130"/>
      <c r="G714" s="1358">
        <f t="shared" ref="G714:M714" ca="1" si="311">G421/G$472</f>
        <v>0</v>
      </c>
      <c r="H714" s="1358">
        <f t="shared" ca="1" si="311"/>
        <v>0</v>
      </c>
      <c r="I714" s="1358">
        <f t="shared" ca="1" si="311"/>
        <v>0</v>
      </c>
      <c r="J714" s="1358">
        <f t="shared" ca="1" si="311"/>
        <v>0</v>
      </c>
      <c r="K714" s="1358">
        <f t="shared" ca="1" si="311"/>
        <v>0</v>
      </c>
      <c r="L714" s="1358">
        <f t="shared" ca="1" si="311"/>
        <v>0</v>
      </c>
      <c r="M714" s="1358">
        <f t="shared" ca="1" si="311"/>
        <v>0</v>
      </c>
    </row>
    <row r="715" spans="2:13" ht="13" outlineLevel="1" x14ac:dyDescent="0.3">
      <c r="C715" s="353" t="s">
        <v>1610</v>
      </c>
      <c r="D715" s="130"/>
      <c r="E715" s="130"/>
      <c r="F715" s="130"/>
      <c r="G715" s="1358">
        <f t="shared" ref="G715:M715" ca="1" si="312">G422/G$472</f>
        <v>7.835308335321553E-2</v>
      </c>
      <c r="H715" s="1358">
        <f t="shared" ca="1" si="312"/>
        <v>7.835308335321553E-2</v>
      </c>
      <c r="I715" s="1358">
        <f t="shared" ca="1" si="312"/>
        <v>7.7718143780464113E-2</v>
      </c>
      <c r="J715" s="1358">
        <f t="shared" ca="1" si="312"/>
        <v>7.6702192449324566E-2</v>
      </c>
      <c r="K715" s="1358">
        <f t="shared" ca="1" si="312"/>
        <v>7.5126210363364962E-2</v>
      </c>
      <c r="L715" s="1358">
        <f t="shared" ca="1" si="312"/>
        <v>7.2042316855721336E-2</v>
      </c>
      <c r="M715" s="1358">
        <f t="shared" ca="1" si="312"/>
        <v>6.3280126406594611E-2</v>
      </c>
    </row>
    <row r="716" spans="2:13" ht="13" outlineLevel="1" x14ac:dyDescent="0.3">
      <c r="C716" s="353" t="s">
        <v>1611</v>
      </c>
      <c r="D716" s="130"/>
      <c r="E716" s="130"/>
      <c r="F716" s="130"/>
      <c r="G716" s="1358">
        <f t="shared" ref="G716:M716" ca="1" si="313">G423/G$472</f>
        <v>0</v>
      </c>
      <c r="H716" s="1358">
        <f t="shared" ca="1" si="313"/>
        <v>0</v>
      </c>
      <c r="I716" s="1358">
        <f t="shared" ca="1" si="313"/>
        <v>0</v>
      </c>
      <c r="J716" s="1358">
        <f t="shared" ca="1" si="313"/>
        <v>0</v>
      </c>
      <c r="K716" s="1358">
        <f t="shared" ca="1" si="313"/>
        <v>0</v>
      </c>
      <c r="L716" s="1358">
        <f t="shared" ca="1" si="313"/>
        <v>0</v>
      </c>
      <c r="M716" s="1358">
        <f t="shared" ca="1" si="313"/>
        <v>0</v>
      </c>
    </row>
    <row r="717" spans="2:13" ht="13" outlineLevel="1" x14ac:dyDescent="0.3">
      <c r="C717" s="353" t="s">
        <v>1612</v>
      </c>
      <c r="D717" s="130"/>
      <c r="E717" s="130"/>
      <c r="F717" s="130"/>
      <c r="G717" s="1358">
        <f t="shared" ref="G717:M717" ca="1" si="314">G424/G$472</f>
        <v>7.835308335321553E-2</v>
      </c>
      <c r="H717" s="1358">
        <f t="shared" ca="1" si="314"/>
        <v>7.835308335321553E-2</v>
      </c>
      <c r="I717" s="1358">
        <f t="shared" ca="1" si="314"/>
        <v>7.7718143780464113E-2</v>
      </c>
      <c r="J717" s="1358">
        <f t="shared" ca="1" si="314"/>
        <v>7.6702192449324566E-2</v>
      </c>
      <c r="K717" s="1358">
        <f t="shared" ca="1" si="314"/>
        <v>7.5126210363364962E-2</v>
      </c>
      <c r="L717" s="1358">
        <f t="shared" ca="1" si="314"/>
        <v>7.2042316855721336E-2</v>
      </c>
      <c r="M717" s="1358">
        <f t="shared" ca="1" si="314"/>
        <v>6.3280126406594611E-2</v>
      </c>
    </row>
    <row r="718" spans="2:13" ht="13" outlineLevel="1" x14ac:dyDescent="0.3">
      <c r="C718" s="353"/>
      <c r="D718" s="130"/>
      <c r="E718" s="130"/>
      <c r="F718" s="130"/>
      <c r="G718" s="1358"/>
      <c r="H718" s="1358"/>
      <c r="I718" s="1358"/>
      <c r="J718" s="1358"/>
      <c r="K718" s="1358"/>
      <c r="L718" s="1358"/>
      <c r="M718" s="1358"/>
    </row>
    <row r="719" spans="2:13" ht="14" outlineLevel="1" x14ac:dyDescent="0.3">
      <c r="B719" s="665" t="s">
        <v>1629</v>
      </c>
      <c r="D719" s="130"/>
      <c r="E719" s="130"/>
      <c r="F719" s="130"/>
      <c r="G719" s="1358"/>
      <c r="H719" s="1358"/>
      <c r="I719" s="1358"/>
      <c r="J719" s="1358"/>
      <c r="K719" s="1358"/>
      <c r="L719" s="1358"/>
      <c r="M719" s="1358"/>
    </row>
    <row r="720" spans="2:13" ht="13" outlineLevel="1" x14ac:dyDescent="0.3">
      <c r="C720" s="353" t="s">
        <v>1609</v>
      </c>
      <c r="D720" s="130"/>
      <c r="E720" s="130"/>
      <c r="F720" s="130"/>
      <c r="G720" s="1358">
        <f t="shared" ref="G720:M720" ca="1" si="315">G427/G$472</f>
        <v>1.4438982240284776E-4</v>
      </c>
      <c r="H720" s="1358">
        <f t="shared" ca="1" si="315"/>
        <v>1.4438982240284776E-4</v>
      </c>
      <c r="I720" s="1358">
        <f t="shared" ca="1" si="315"/>
        <v>1.4313430409411125E-4</v>
      </c>
      <c r="J720" s="1358">
        <f t="shared" ca="1" si="315"/>
        <v>1.4115938183523581E-4</v>
      </c>
      <c r="K720" s="1358">
        <f t="shared" ca="1" si="315"/>
        <v>1.3814140372958822E-4</v>
      </c>
      <c r="L720" s="1358">
        <f t="shared" ca="1" si="315"/>
        <v>1.3233560639976075E-4</v>
      </c>
      <c r="M720" s="1358">
        <f t="shared" ca="1" si="315"/>
        <v>1.1608346362703964E-4</v>
      </c>
    </row>
    <row r="721" spans="2:13" ht="13" outlineLevel="1" x14ac:dyDescent="0.3">
      <c r="C721" s="353" t="s">
        <v>1610</v>
      </c>
      <c r="D721" s="130"/>
      <c r="E721" s="130"/>
      <c r="F721" s="130"/>
      <c r="G721" s="1358">
        <f t="shared" ref="G721:M721" ca="1" si="316">G428/G$472</f>
        <v>1.6653830383569943E-3</v>
      </c>
      <c r="H721" s="1358">
        <f t="shared" ca="1" si="316"/>
        <v>1.6653830383569943E-3</v>
      </c>
      <c r="I721" s="1358">
        <f t="shared" ca="1" si="316"/>
        <v>1.6500155019766199E-3</v>
      </c>
      <c r="J721" s="1358">
        <f t="shared" ca="1" si="316"/>
        <v>1.6261725804582038E-3</v>
      </c>
      <c r="K721" s="1358">
        <f t="shared" ca="1" si="316"/>
        <v>1.5901867211564483E-3</v>
      </c>
      <c r="L721" s="1358">
        <f t="shared" ca="1" si="316"/>
        <v>1.521955525292518E-3</v>
      </c>
      <c r="M721" s="1358">
        <f t="shared" ca="1" si="316"/>
        <v>1.3334237583749158E-3</v>
      </c>
    </row>
    <row r="722" spans="2:13" ht="13" outlineLevel="1" x14ac:dyDescent="0.3">
      <c r="C722" s="353" t="s">
        <v>1611</v>
      </c>
      <c r="D722" s="130"/>
      <c r="E722" s="130"/>
      <c r="F722" s="130"/>
      <c r="G722" s="1358">
        <f t="shared" ref="G722:M722" ca="1" si="317">G429/G$472</f>
        <v>9.2215603463654058E-5</v>
      </c>
      <c r="H722" s="1358">
        <f t="shared" ca="1" si="317"/>
        <v>9.2215603463654058E-5</v>
      </c>
      <c r="I722" s="1358">
        <f t="shared" ca="1" si="317"/>
        <v>9.1364672111270462E-5</v>
      </c>
      <c r="J722" s="1358">
        <f t="shared" ca="1" si="317"/>
        <v>9.0044441662468459E-5</v>
      </c>
      <c r="K722" s="1358">
        <f t="shared" ca="1" si="317"/>
        <v>8.8051832361641541E-5</v>
      </c>
      <c r="L722" s="1358">
        <f t="shared" ca="1" si="317"/>
        <v>8.4273734016262361E-5</v>
      </c>
      <c r="M722" s="1358">
        <f t="shared" ca="1" si="317"/>
        <v>7.3834351449037676E-5</v>
      </c>
    </row>
    <row r="723" spans="2:13" ht="13" outlineLevel="1" x14ac:dyDescent="0.3">
      <c r="C723" s="353" t="s">
        <v>1612</v>
      </c>
      <c r="D723" s="130"/>
      <c r="E723" s="130"/>
      <c r="F723" s="130"/>
      <c r="G723" s="1358">
        <f t="shared" ref="G723:M723" ca="1" si="318">G430/G$472</f>
        <v>1.9019884642234961E-3</v>
      </c>
      <c r="H723" s="1358">
        <f t="shared" ca="1" si="318"/>
        <v>1.9019884642234961E-3</v>
      </c>
      <c r="I723" s="1358">
        <f t="shared" ca="1" si="318"/>
        <v>1.8845144781820017E-3</v>
      </c>
      <c r="J723" s="1358">
        <f t="shared" ca="1" si="318"/>
        <v>1.857376403955908E-3</v>
      </c>
      <c r="K723" s="1358">
        <f t="shared" ca="1" si="318"/>
        <v>1.816379957247678E-3</v>
      </c>
      <c r="L723" s="1358">
        <f t="shared" ca="1" si="318"/>
        <v>1.7385648657085413E-3</v>
      </c>
      <c r="M723" s="1358">
        <f t="shared" ca="1" si="318"/>
        <v>1.5233415734509932E-3</v>
      </c>
    </row>
    <row r="724" spans="2:13" ht="13" outlineLevel="1" x14ac:dyDescent="0.3">
      <c r="C724" s="353"/>
      <c r="D724" s="130"/>
      <c r="E724" s="130"/>
      <c r="F724" s="130"/>
      <c r="G724" s="1358"/>
      <c r="H724" s="1358"/>
      <c r="I724" s="1358"/>
      <c r="J724" s="1358"/>
      <c r="K724" s="1358"/>
      <c r="L724" s="1358"/>
      <c r="M724" s="1358"/>
    </row>
    <row r="725" spans="2:13" ht="14" outlineLevel="1" x14ac:dyDescent="0.3">
      <c r="B725" s="665" t="s">
        <v>1150</v>
      </c>
      <c r="C725" s="353"/>
      <c r="D725" s="130"/>
      <c r="E725" s="130"/>
      <c r="F725" s="130"/>
      <c r="G725" s="1358"/>
      <c r="H725" s="1358"/>
      <c r="I725" s="1358"/>
      <c r="J725" s="1358"/>
      <c r="K725" s="1358"/>
      <c r="L725" s="1358"/>
      <c r="M725" s="1358"/>
    </row>
    <row r="726" spans="2:13" ht="13" outlineLevel="1" x14ac:dyDescent="0.3">
      <c r="C726" s="353" t="s">
        <v>1609</v>
      </c>
      <c r="D726" s="130"/>
      <c r="E726" s="130"/>
      <c r="F726" s="130"/>
      <c r="G726" s="1358">
        <f t="shared" ref="G726:M726" ca="1" si="319">G433/G$472</f>
        <v>3.216203765776586E-4</v>
      </c>
      <c r="H726" s="1358">
        <f t="shared" ca="1" si="319"/>
        <v>3.216203765776586E-4</v>
      </c>
      <c r="I726" s="1358">
        <f t="shared" ca="1" si="319"/>
        <v>3.1901410384718048E-4</v>
      </c>
      <c r="J726" s="1358">
        <f t="shared" ca="1" si="319"/>
        <v>3.1484387038958081E-4</v>
      </c>
      <c r="K726" s="1358">
        <f t="shared" ca="1" si="319"/>
        <v>3.083748467050755E-4</v>
      </c>
      <c r="L726" s="1358">
        <f t="shared" ca="1" si="319"/>
        <v>2.957162128797477E-4</v>
      </c>
      <c r="M726" s="1358">
        <f t="shared" ca="1" si="319"/>
        <v>2.5974954926819054E-4</v>
      </c>
    </row>
    <row r="727" spans="2:13" ht="13" outlineLevel="1" x14ac:dyDescent="0.3">
      <c r="C727" s="353" t="s">
        <v>1610</v>
      </c>
      <c r="D727" s="130"/>
      <c r="E727" s="130"/>
      <c r="F727" s="130"/>
      <c r="G727" s="1358">
        <f t="shared" ref="G727:M727" ca="1" si="320">G434/G$472</f>
        <v>4.277713164466662E-4</v>
      </c>
      <c r="H727" s="1358">
        <f t="shared" ca="1" si="320"/>
        <v>4.277713164466662E-4</v>
      </c>
      <c r="I727" s="1358">
        <f t="shared" ca="1" si="320"/>
        <v>4.2430484231091922E-4</v>
      </c>
      <c r="J727" s="1358">
        <f t="shared" ca="1" si="320"/>
        <v>4.1875822155563693E-4</v>
      </c>
      <c r="K727" s="1358">
        <f t="shared" ca="1" si="320"/>
        <v>4.101540938971479E-4</v>
      </c>
      <c r="L727" s="1358">
        <f t="shared" ca="1" si="320"/>
        <v>3.9331747268086354E-4</v>
      </c>
      <c r="M727" s="1358">
        <f t="shared" ca="1" si="320"/>
        <v>3.454799966943406E-4</v>
      </c>
    </row>
    <row r="728" spans="2:13" ht="13" outlineLevel="1" x14ac:dyDescent="0.3">
      <c r="C728" s="353" t="s">
        <v>1611</v>
      </c>
      <c r="D728" s="130"/>
      <c r="E728" s="130"/>
      <c r="F728" s="130"/>
      <c r="G728" s="1358">
        <f t="shared" ref="G728:M728" ca="1" si="321">G435/G$472</f>
        <v>2.7503878413571704E-4</v>
      </c>
      <c r="H728" s="1358">
        <f t="shared" ca="1" si="321"/>
        <v>2.7503878413571704E-4</v>
      </c>
      <c r="I728" s="1358">
        <f t="shared" ca="1" si="321"/>
        <v>2.7280998852722833E-4</v>
      </c>
      <c r="J728" s="1358">
        <f t="shared" ca="1" si="321"/>
        <v>2.6924374700999239E-4</v>
      </c>
      <c r="K728" s="1358">
        <f t="shared" ca="1" si="321"/>
        <v>2.6371165844127608E-4</v>
      </c>
      <c r="L728" s="1358">
        <f t="shared" ca="1" si="321"/>
        <v>2.5288642624303958E-4</v>
      </c>
      <c r="M728" s="1358">
        <f t="shared" ca="1" si="321"/>
        <v>2.2212896138834487E-4</v>
      </c>
    </row>
    <row r="729" spans="2:13" ht="13" outlineLevel="1" x14ac:dyDescent="0.3">
      <c r="C729" s="353" t="s">
        <v>1612</v>
      </c>
      <c r="D729" s="130"/>
      <c r="E729" s="130"/>
      <c r="F729" s="130"/>
      <c r="G729" s="1358">
        <f t="shared" ref="G729:M729" ca="1" si="322">G436/G$472</f>
        <v>1.0244304771600419E-3</v>
      </c>
      <c r="H729" s="1358">
        <f t="shared" ca="1" si="322"/>
        <v>1.0244304771600419E-3</v>
      </c>
      <c r="I729" s="1358">
        <f t="shared" ca="1" si="322"/>
        <v>1.0161289346853281E-3</v>
      </c>
      <c r="J729" s="1358">
        <f t="shared" ca="1" si="322"/>
        <v>1.0028458389552102E-3</v>
      </c>
      <c r="K729" s="1358">
        <f t="shared" ca="1" si="322"/>
        <v>9.8224059904349959E-4</v>
      </c>
      <c r="L729" s="1358">
        <f t="shared" ca="1" si="322"/>
        <v>9.4192011180365093E-4</v>
      </c>
      <c r="M729" s="1358">
        <f t="shared" ca="1" si="322"/>
        <v>8.2735850735087609E-4</v>
      </c>
    </row>
    <row r="730" spans="2:13" ht="13" outlineLevel="1" x14ac:dyDescent="0.3">
      <c r="C730" s="353"/>
      <c r="D730" s="130"/>
      <c r="E730" s="130"/>
      <c r="F730" s="130"/>
      <c r="G730" s="1358"/>
      <c r="H730" s="1358"/>
      <c r="I730" s="1358"/>
      <c r="J730" s="1358"/>
      <c r="K730" s="1358"/>
      <c r="L730" s="1358"/>
      <c r="M730" s="1358"/>
    </row>
    <row r="731" spans="2:13" ht="14" outlineLevel="1" x14ac:dyDescent="0.3">
      <c r="B731" s="665" t="s">
        <v>1630</v>
      </c>
      <c r="C731" s="353"/>
      <c r="D731" s="130"/>
      <c r="E731" s="130"/>
      <c r="F731" s="130"/>
      <c r="G731" s="1358"/>
      <c r="H731" s="1358"/>
      <c r="I731" s="1358"/>
      <c r="J731" s="1358"/>
      <c r="K731" s="1358"/>
      <c r="L731" s="1358"/>
      <c r="M731" s="1358"/>
    </row>
    <row r="732" spans="2:13" ht="13" outlineLevel="1" x14ac:dyDescent="0.3">
      <c r="C732" s="353" t="s">
        <v>1609</v>
      </c>
      <c r="D732" s="130"/>
      <c r="E732" s="130"/>
      <c r="F732" s="130"/>
      <c r="G732" s="1358">
        <f t="shared" ref="G732:M732" ca="1" si="323">G439/G$472</f>
        <v>3.8994291742873156E-4</v>
      </c>
      <c r="H732" s="1358">
        <f t="shared" ca="1" si="323"/>
        <v>3.8994291742873156E-4</v>
      </c>
      <c r="I732" s="1358">
        <f t="shared" ca="1" si="323"/>
        <v>3.8678298831307055E-4</v>
      </c>
      <c r="J732" s="1358">
        <f t="shared" ca="1" si="323"/>
        <v>3.8172686277115339E-4</v>
      </c>
      <c r="K732" s="1358">
        <f t="shared" ca="1" si="323"/>
        <v>3.7388360981779932E-4</v>
      </c>
      <c r="L732" s="1358">
        <f t="shared" ca="1" si="323"/>
        <v>3.5853587390306802E-4</v>
      </c>
      <c r="M732" s="1358">
        <f t="shared" ca="1" si="323"/>
        <v>3.1492873094743026E-4</v>
      </c>
    </row>
    <row r="733" spans="2:13" ht="13" outlineLevel="1" x14ac:dyDescent="0.3">
      <c r="C733" s="353" t="s">
        <v>1610</v>
      </c>
      <c r="D733" s="130"/>
      <c r="E733" s="130"/>
      <c r="F733" s="130"/>
      <c r="G733" s="1358">
        <f t="shared" ref="G733:M733" ca="1" si="324">G440/G$472</f>
        <v>7.3744078450085188E-4</v>
      </c>
      <c r="H733" s="1358">
        <f t="shared" ca="1" si="324"/>
        <v>7.3744078450085188E-4</v>
      </c>
      <c r="I733" s="1358">
        <f t="shared" ca="1" si="324"/>
        <v>7.3146488263966213E-4</v>
      </c>
      <c r="J733" s="1358">
        <f t="shared" ca="1" si="324"/>
        <v>7.2190298775834871E-4</v>
      </c>
      <c r="K733" s="1358">
        <f t="shared" ca="1" si="324"/>
        <v>7.070702151846113E-4</v>
      </c>
      <c r="L733" s="1358">
        <f t="shared" ca="1" si="324"/>
        <v>6.7804533511267129E-4</v>
      </c>
      <c r="M733" s="1358">
        <f t="shared" ca="1" si="324"/>
        <v>5.9557766029736097E-4</v>
      </c>
    </row>
    <row r="734" spans="2:13" ht="13" outlineLevel="1" x14ac:dyDescent="0.3">
      <c r="C734" s="353" t="s">
        <v>1611</v>
      </c>
      <c r="D734" s="130"/>
      <c r="E734" s="130"/>
      <c r="F734" s="130"/>
      <c r="G734" s="1358">
        <f t="shared" ref="G734:M734" ca="1" si="325">G441/G$472</f>
        <v>1.085801940732768E-4</v>
      </c>
      <c r="H734" s="1358">
        <f t="shared" ca="1" si="325"/>
        <v>1.085801940732768E-4</v>
      </c>
      <c r="I734" s="1358">
        <f t="shared" ca="1" si="325"/>
        <v>1.0770030704032671E-4</v>
      </c>
      <c r="J734" s="1358">
        <f t="shared" ca="1" si="325"/>
        <v>1.0629242124970824E-4</v>
      </c>
      <c r="K734" s="1358">
        <f t="shared" ca="1" si="325"/>
        <v>1.0410845562351724E-4</v>
      </c>
      <c r="L734" s="1358">
        <f t="shared" ca="1" si="325"/>
        <v>9.9834855386858248E-5</v>
      </c>
      <c r="M734" s="1358">
        <f t="shared" ca="1" si="325"/>
        <v>8.7692380595096942E-5</v>
      </c>
    </row>
    <row r="735" spans="2:13" ht="13" outlineLevel="1" x14ac:dyDescent="0.3">
      <c r="C735" s="353" t="s">
        <v>1612</v>
      </c>
      <c r="D735" s="130"/>
      <c r="E735" s="130"/>
      <c r="F735" s="130"/>
      <c r="G735" s="1358">
        <f t="shared" ref="G735:M735" ca="1" si="326">G442/G$472</f>
        <v>1.2359638960028603E-3</v>
      </c>
      <c r="H735" s="1358">
        <f t="shared" ca="1" si="326"/>
        <v>1.2359638960028603E-3</v>
      </c>
      <c r="I735" s="1358">
        <f t="shared" ca="1" si="326"/>
        <v>1.2259481779930595E-3</v>
      </c>
      <c r="J735" s="1358">
        <f t="shared" ca="1" si="326"/>
        <v>1.2099222717792105E-3</v>
      </c>
      <c r="K735" s="1358">
        <f t="shared" ca="1" si="326"/>
        <v>1.1850622806259281E-3</v>
      </c>
      <c r="L735" s="1358">
        <f t="shared" ca="1" si="326"/>
        <v>1.1364160644025977E-3</v>
      </c>
      <c r="M735" s="1358">
        <f t="shared" ca="1" si="326"/>
        <v>9.9819877183988828E-4</v>
      </c>
    </row>
    <row r="736" spans="2:13" ht="13" outlineLevel="1" x14ac:dyDescent="0.3">
      <c r="C736" s="353"/>
      <c r="D736" s="130"/>
      <c r="E736" s="130"/>
      <c r="F736" s="130"/>
      <c r="G736" s="1358"/>
      <c r="H736" s="1358"/>
      <c r="I736" s="1358"/>
      <c r="J736" s="1358"/>
      <c r="K736" s="1358"/>
      <c r="L736" s="1358"/>
      <c r="M736" s="1358"/>
    </row>
    <row r="737" spans="2:13" ht="14" outlineLevel="1" x14ac:dyDescent="0.3">
      <c r="B737" s="665" t="s">
        <v>1585</v>
      </c>
      <c r="C737" s="353"/>
      <c r="D737" s="130"/>
      <c r="E737" s="130"/>
      <c r="F737" s="130"/>
      <c r="G737" s="1358"/>
      <c r="H737" s="1358"/>
      <c r="I737" s="1358"/>
      <c r="J737" s="1358"/>
      <c r="K737" s="1358"/>
      <c r="L737" s="1358"/>
      <c r="M737" s="1358"/>
    </row>
    <row r="738" spans="2:13" ht="13" outlineLevel="1" x14ac:dyDescent="0.3">
      <c r="C738" s="353" t="s">
        <v>1609</v>
      </c>
      <c r="D738" s="130"/>
      <c r="E738" s="130"/>
      <c r="F738" s="130"/>
      <c r="G738" s="1358">
        <f t="shared" ref="G738:M738" ca="1" si="327">G445/G$472</f>
        <v>8.5595311640923805E-4</v>
      </c>
      <c r="H738" s="1358">
        <f t="shared" ca="1" si="327"/>
        <v>8.5595311640923805E-4</v>
      </c>
      <c r="I738" s="1358">
        <f t="shared" ca="1" si="327"/>
        <v>8.4893139625436236E-4</v>
      </c>
      <c r="J738" s="1358">
        <f t="shared" ca="1" si="327"/>
        <v>8.3773011499596996E-4</v>
      </c>
      <c r="K738" s="1358">
        <f t="shared" ca="1" si="327"/>
        <v>8.2039986025246299E-4</v>
      </c>
      <c r="L738" s="1358">
        <f t="shared" ca="1" si="327"/>
        <v>7.8658769318257649E-4</v>
      </c>
      <c r="M738" s="1358">
        <f t="shared" ca="1" si="327"/>
        <v>6.9076174384266045E-4</v>
      </c>
    </row>
    <row r="739" spans="2:13" ht="13" outlineLevel="1" x14ac:dyDescent="0.3">
      <c r="C739" s="353" t="s">
        <v>1610</v>
      </c>
      <c r="D739" s="130"/>
      <c r="E739" s="130"/>
      <c r="F739" s="130"/>
      <c r="G739" s="1358">
        <f t="shared" ref="G739:M739" ca="1" si="328">G446/G$472</f>
        <v>8.1183678492520034E-2</v>
      </c>
      <c r="H739" s="1358">
        <f t="shared" ca="1" si="328"/>
        <v>8.1183678492520034E-2</v>
      </c>
      <c r="I739" s="1358">
        <f t="shared" ca="1" si="328"/>
        <v>8.0523929007391318E-2</v>
      </c>
      <c r="J739" s="1358">
        <f t="shared" ca="1" si="328"/>
        <v>7.9469026239096754E-2</v>
      </c>
      <c r="K739" s="1358">
        <f t="shared" ca="1" si="328"/>
        <v>7.783362139360317E-2</v>
      </c>
      <c r="L739" s="1358">
        <f t="shared" ca="1" si="328"/>
        <v>7.4635635188807378E-2</v>
      </c>
      <c r="M739" s="1358">
        <f t="shared" ca="1" si="328"/>
        <v>6.5554607821961222E-2</v>
      </c>
    </row>
    <row r="740" spans="2:13" ht="13" outlineLevel="1" x14ac:dyDescent="0.3">
      <c r="C740" s="353" t="s">
        <v>1611</v>
      </c>
      <c r="D740" s="130"/>
      <c r="E740" s="130"/>
      <c r="F740" s="130"/>
      <c r="G740" s="1358">
        <f t="shared" ref="G740:M740" ca="1" si="329">G447/G$472</f>
        <v>4.7583458167264789E-4</v>
      </c>
      <c r="H740" s="1358">
        <f t="shared" ca="1" si="329"/>
        <v>4.7583458167264789E-4</v>
      </c>
      <c r="I740" s="1358">
        <f t="shared" ca="1" si="329"/>
        <v>4.7187496767882542E-4</v>
      </c>
      <c r="J740" s="1358">
        <f t="shared" ca="1" si="329"/>
        <v>4.6558060992216908E-4</v>
      </c>
      <c r="K740" s="1358">
        <f t="shared" ca="1" si="329"/>
        <v>4.5587194642643478E-4</v>
      </c>
      <c r="L740" s="1358">
        <f t="shared" ca="1" si="329"/>
        <v>4.3699501564616018E-4</v>
      </c>
      <c r="M740" s="1358">
        <f t="shared" ca="1" si="329"/>
        <v>3.8365569343247951E-4</v>
      </c>
    </row>
    <row r="741" spans="2:13" ht="13" outlineLevel="1" x14ac:dyDescent="0.3">
      <c r="C741" s="353" t="s">
        <v>1612</v>
      </c>
      <c r="D741" s="130"/>
      <c r="E741" s="130"/>
      <c r="F741" s="130"/>
      <c r="G741" s="1358">
        <f t="shared" ref="G741:M741" ca="1" si="330">G448/G$472</f>
        <v>8.2515466190601933E-2</v>
      </c>
      <c r="H741" s="1358">
        <f t="shared" ca="1" si="330"/>
        <v>8.2515466190601933E-2</v>
      </c>
      <c r="I741" s="1358">
        <f t="shared" ca="1" si="330"/>
        <v>8.1844735371324501E-2</v>
      </c>
      <c r="J741" s="1358">
        <f t="shared" ca="1" si="330"/>
        <v>8.0772336964014896E-2</v>
      </c>
      <c r="K741" s="1358">
        <f t="shared" ca="1" si="330"/>
        <v>7.9109893200282069E-2</v>
      </c>
      <c r="L741" s="1358">
        <f t="shared" ca="1" si="330"/>
        <v>7.5859217897636125E-2</v>
      </c>
      <c r="M741" s="1358">
        <f t="shared" ca="1" si="330"/>
        <v>6.6629025259236363E-2</v>
      </c>
    </row>
    <row r="742" spans="2:13" ht="13" outlineLevel="1" x14ac:dyDescent="0.3">
      <c r="C742" s="353"/>
      <c r="D742" s="130"/>
      <c r="E742" s="130"/>
      <c r="F742" s="130"/>
      <c r="G742" s="1358"/>
      <c r="H742" s="1358"/>
      <c r="I742" s="1358"/>
      <c r="J742" s="1358"/>
      <c r="K742" s="1358"/>
      <c r="L742" s="1358"/>
      <c r="M742" s="1358"/>
    </row>
    <row r="743" spans="2:13" ht="15.5" outlineLevel="1" x14ac:dyDescent="0.35">
      <c r="B743" s="6" t="s">
        <v>1631</v>
      </c>
      <c r="C743" s="353"/>
      <c r="D743" s="130"/>
      <c r="E743" s="130"/>
      <c r="F743" s="130"/>
      <c r="G743" s="1358"/>
      <c r="H743" s="1358"/>
      <c r="I743" s="1358"/>
      <c r="J743" s="1358"/>
      <c r="K743" s="1358"/>
      <c r="L743" s="1358"/>
      <c r="M743" s="1358"/>
    </row>
    <row r="744" spans="2:13" ht="14" outlineLevel="1" x14ac:dyDescent="0.3">
      <c r="B744" s="665" t="s">
        <v>1587</v>
      </c>
      <c r="C744" s="353"/>
      <c r="D744" s="130"/>
      <c r="E744" s="130"/>
      <c r="F744" s="130"/>
      <c r="G744" s="1358"/>
      <c r="H744" s="1358"/>
      <c r="I744" s="1358"/>
      <c r="J744" s="1358"/>
      <c r="K744" s="1358"/>
      <c r="L744" s="1358"/>
      <c r="M744" s="1358"/>
    </row>
    <row r="745" spans="2:13" ht="13" outlineLevel="1" x14ac:dyDescent="0.3">
      <c r="B745" s="353" t="s">
        <v>1632</v>
      </c>
      <c r="D745" s="130"/>
      <c r="E745" s="130"/>
      <c r="F745" s="130"/>
      <c r="G745" s="1358">
        <f t="shared" ref="G745:M745" ca="1" si="331">G452/G$472</f>
        <v>4.3967285202941304E-2</v>
      </c>
      <c r="H745" s="1358">
        <f t="shared" ca="1" si="331"/>
        <v>4.3967285202941304E-2</v>
      </c>
      <c r="I745" s="1358">
        <f t="shared" ca="1" si="331"/>
        <v>4.4912518740232506E-2</v>
      </c>
      <c r="J745" s="1358">
        <f t="shared" ca="1" si="331"/>
        <v>4.6312096777143097E-2</v>
      </c>
      <c r="K745" s="1358">
        <f t="shared" ca="1" si="331"/>
        <v>4.8435379556683943E-2</v>
      </c>
      <c r="L745" s="1358">
        <f t="shared" ca="1" si="331"/>
        <v>5.2028397512400786E-2</v>
      </c>
      <c r="M745" s="1358">
        <f t="shared" ca="1" si="331"/>
        <v>6.0797179673369166E-2</v>
      </c>
    </row>
    <row r="746" spans="2:13" ht="13" outlineLevel="1" x14ac:dyDescent="0.3">
      <c r="B746" s="353" t="s">
        <v>1633</v>
      </c>
      <c r="D746" s="130"/>
      <c r="E746" s="130"/>
      <c r="F746" s="130"/>
      <c r="G746" s="1358">
        <f t="shared" ref="G746:M746" ca="1" si="332">G453/G$472</f>
        <v>3.7423710602721538E-2</v>
      </c>
      <c r="H746" s="1358">
        <f t="shared" ca="1" si="332"/>
        <v>3.7423710602721538E-2</v>
      </c>
      <c r="I746" s="1358">
        <f t="shared" ca="1" si="332"/>
        <v>3.7296927749704237E-2</v>
      </c>
      <c r="J746" s="1358">
        <f t="shared" ca="1" si="332"/>
        <v>3.7081354211244748E-2</v>
      </c>
      <c r="K746" s="1358">
        <f t="shared" ca="1" si="332"/>
        <v>3.6745858562556612E-2</v>
      </c>
      <c r="L746" s="1358">
        <f t="shared" ca="1" si="332"/>
        <v>3.7100210419205477E-2</v>
      </c>
      <c r="M746" s="1358">
        <f t="shared" ca="1" si="332"/>
        <v>3.9032681368043519E-2</v>
      </c>
    </row>
    <row r="747" spans="2:13" ht="13" outlineLevel="1" x14ac:dyDescent="0.3">
      <c r="B747" s="353" t="s">
        <v>1634</v>
      </c>
      <c r="D747" s="130"/>
      <c r="E747" s="130"/>
      <c r="F747" s="130"/>
      <c r="G747" s="1358">
        <f t="shared" ref="G747:M747" ca="1" si="333">G454/G$472</f>
        <v>5.2121893659230339E-2</v>
      </c>
      <c r="H747" s="1358">
        <f t="shared" ca="1" si="333"/>
        <v>5.2121893659230339E-2</v>
      </c>
      <c r="I747" s="1358">
        <f t="shared" ca="1" si="333"/>
        <v>5.1681011628228628E-2</v>
      </c>
      <c r="J747" s="1358">
        <f t="shared" ca="1" si="333"/>
        <v>5.0982926353105189E-2</v>
      </c>
      <c r="K747" s="1358">
        <f t="shared" ca="1" si="333"/>
        <v>4.9909901364103663E-2</v>
      </c>
      <c r="L747" s="1358">
        <f t="shared" ca="1" si="333"/>
        <v>4.7831818825186702E-2</v>
      </c>
      <c r="M747" s="1358">
        <f t="shared" ca="1" si="333"/>
        <v>4.1980243161293222E-2</v>
      </c>
    </row>
    <row r="748" spans="2:13" ht="13" outlineLevel="1" x14ac:dyDescent="0.3">
      <c r="B748" s="353" t="s">
        <v>1635</v>
      </c>
      <c r="D748" s="130"/>
      <c r="E748" s="130"/>
      <c r="F748" s="130"/>
      <c r="G748" s="1358">
        <f t="shared" ref="G748:M748" ca="1" si="334">G455/G$472</f>
        <v>8.0286851071157406E-3</v>
      </c>
      <c r="H748" s="1358">
        <f t="shared" ca="1" si="334"/>
        <v>8.0286851071157406E-3</v>
      </c>
      <c r="I748" s="1358">
        <f t="shared" ca="1" si="334"/>
        <v>7.9636241079373542E-3</v>
      </c>
      <c r="J748" s="1358">
        <f t="shared" ca="1" si="334"/>
        <v>7.8595215892769982E-3</v>
      </c>
      <c r="K748" s="1358">
        <f t="shared" ca="1" si="334"/>
        <v>7.6980338294962494E-3</v>
      </c>
      <c r="L748" s="1358">
        <f t="shared" ca="1" si="334"/>
        <v>7.3820333759450716E-3</v>
      </c>
      <c r="M748" s="1358">
        <f t="shared" ca="1" si="334"/>
        <v>6.4841890926832955E-3</v>
      </c>
    </row>
    <row r="749" spans="2:13" ht="13" outlineLevel="1" x14ac:dyDescent="0.3">
      <c r="B749" s="353" t="s">
        <v>1636</v>
      </c>
      <c r="D749" s="130"/>
      <c r="E749" s="130"/>
      <c r="F749" s="130"/>
      <c r="G749" s="1358">
        <f t="shared" ref="G749:M749" ca="1" si="335">G456/G$472</f>
        <v>7.8591447082336837E-3</v>
      </c>
      <c r="H749" s="1358">
        <f t="shared" ca="1" si="335"/>
        <v>7.8591447082336837E-3</v>
      </c>
      <c r="I749" s="1358">
        <f t="shared" ca="1" si="335"/>
        <v>7.7954575912794971E-3</v>
      </c>
      <c r="J749" s="1358">
        <f t="shared" ca="1" si="335"/>
        <v>7.6935533880721487E-3</v>
      </c>
      <c r="K749" s="1358">
        <f t="shared" ca="1" si="335"/>
        <v>7.5354757382711194E-3</v>
      </c>
      <c r="L749" s="1358">
        <f t="shared" ca="1" si="335"/>
        <v>7.2261482133785205E-3</v>
      </c>
      <c r="M749" s="1358">
        <f t="shared" ca="1" si="335"/>
        <v>6.3472635574887614E-3</v>
      </c>
    </row>
    <row r="750" spans="2:13" ht="13" outlineLevel="1" x14ac:dyDescent="0.3">
      <c r="B750" s="353" t="s">
        <v>1637</v>
      </c>
      <c r="D750" s="130"/>
      <c r="E750" s="130"/>
      <c r="F750" s="130"/>
      <c r="G750" s="1358">
        <f t="shared" ref="G750:M750" ca="1" si="336">G457/G$472</f>
        <v>1.0316029686629967E-2</v>
      </c>
      <c r="H750" s="1358">
        <f t="shared" ca="1" si="336"/>
        <v>1.0316029686629967E-2</v>
      </c>
      <c r="I750" s="1358">
        <f t="shared" ca="1" si="336"/>
        <v>1.0232433034125661E-2</v>
      </c>
      <c r="J750" s="1358">
        <f t="shared" ca="1" si="336"/>
        <v>1.0098672068460017E-2</v>
      </c>
      <c r="K750" s="1358">
        <f t="shared" ca="1" si="336"/>
        <v>9.8911770052336513E-3</v>
      </c>
      <c r="L750" s="1358">
        <f t="shared" ca="1" si="336"/>
        <v>9.485149116939302E-3</v>
      </c>
      <c r="M750" s="1358">
        <f t="shared" ca="1" si="336"/>
        <v>8.3315121070769785E-3</v>
      </c>
    </row>
    <row r="751" spans="2:13" ht="13" outlineLevel="1" x14ac:dyDescent="0.3">
      <c r="B751" s="353" t="s">
        <v>1638</v>
      </c>
      <c r="D751" s="130"/>
      <c r="E751" s="130"/>
      <c r="F751" s="130"/>
      <c r="G751" s="1358">
        <f t="shared" ref="G751:M751" ca="1" si="337">G458/G$472</f>
        <v>8.2515466190601933E-2</v>
      </c>
      <c r="H751" s="1358">
        <f t="shared" ca="1" si="337"/>
        <v>8.2515466190601933E-2</v>
      </c>
      <c r="I751" s="1358">
        <f t="shared" ca="1" si="337"/>
        <v>8.1844735371324501E-2</v>
      </c>
      <c r="J751" s="1358">
        <f t="shared" ca="1" si="337"/>
        <v>8.0772336964014896E-2</v>
      </c>
      <c r="K751" s="1358">
        <f t="shared" ca="1" si="337"/>
        <v>7.9109893200282069E-2</v>
      </c>
      <c r="L751" s="1358">
        <f t="shared" ca="1" si="337"/>
        <v>7.5859217897636125E-2</v>
      </c>
      <c r="M751" s="1358">
        <f t="shared" ca="1" si="337"/>
        <v>6.6629025259236363E-2</v>
      </c>
    </row>
    <row r="752" spans="2:13" ht="13" outlineLevel="1" x14ac:dyDescent="0.3">
      <c r="B752" s="353" t="s">
        <v>1639</v>
      </c>
      <c r="D752" s="130"/>
      <c r="E752" s="130"/>
      <c r="F752" s="130"/>
      <c r="G752" s="1358">
        <f t="shared" ref="G752:M752" ca="1" si="338">G459/G$472</f>
        <v>0.24223221515747448</v>
      </c>
      <c r="H752" s="1358">
        <f t="shared" ca="1" si="338"/>
        <v>0.24223221515747448</v>
      </c>
      <c r="I752" s="1358">
        <f t="shared" ca="1" si="338"/>
        <v>0.2417267082228324</v>
      </c>
      <c r="J752" s="1358">
        <f t="shared" ca="1" si="338"/>
        <v>0.24080046135131711</v>
      </c>
      <c r="K752" s="1358">
        <f t="shared" ca="1" si="338"/>
        <v>0.23932571925662732</v>
      </c>
      <c r="L752" s="1358">
        <f t="shared" ca="1" si="338"/>
        <v>0.236912975360692</v>
      </c>
      <c r="M752" s="1358">
        <f t="shared" ca="1" si="338"/>
        <v>0.22960209421919126</v>
      </c>
    </row>
    <row r="753" spans="2:13" ht="13" outlineLevel="1" x14ac:dyDescent="0.3">
      <c r="B753" s="353"/>
      <c r="D753" s="130"/>
      <c r="E753" s="130"/>
      <c r="F753" s="130"/>
      <c r="G753" s="1358"/>
      <c r="H753" s="1358"/>
      <c r="I753" s="1358"/>
      <c r="J753" s="1358"/>
      <c r="K753" s="1358"/>
      <c r="L753" s="1358"/>
      <c r="M753" s="1358"/>
    </row>
    <row r="754" spans="2:13" ht="14" outlineLevel="1" x14ac:dyDescent="0.3">
      <c r="B754" s="665" t="s">
        <v>1596</v>
      </c>
      <c r="D754" s="130"/>
      <c r="E754" s="130"/>
      <c r="F754" s="130"/>
      <c r="G754" s="1358"/>
      <c r="H754" s="1358"/>
      <c r="I754" s="1358"/>
      <c r="J754" s="1358"/>
      <c r="K754" s="1358"/>
      <c r="L754" s="1358"/>
      <c r="M754" s="1358"/>
    </row>
    <row r="755" spans="2:13" ht="13" outlineLevel="1" x14ac:dyDescent="0.3">
      <c r="B755" s="353" t="s">
        <v>1640</v>
      </c>
      <c r="D755" s="130"/>
      <c r="E755" s="130"/>
      <c r="F755" s="130"/>
      <c r="G755" s="1358">
        <f t="shared" ref="G755:M755" ca="1" si="339">G462/G$472</f>
        <v>2.9663011072488799E-2</v>
      </c>
      <c r="H755" s="1358">
        <f t="shared" ca="1" si="339"/>
        <v>2.9663011072488799E-2</v>
      </c>
      <c r="I755" s="1358">
        <f t="shared" ca="1" si="339"/>
        <v>2.9871379985465064E-2</v>
      </c>
      <c r="J755" s="1358">
        <f t="shared" ca="1" si="339"/>
        <v>3.0157627297731388E-2</v>
      </c>
      <c r="K755" s="1358">
        <f t="shared" ca="1" si="339"/>
        <v>3.0569875739153075E-2</v>
      </c>
      <c r="L755" s="1358">
        <f t="shared" ca="1" si="339"/>
        <v>3.114098553051858E-2</v>
      </c>
      <c r="M755" s="1358">
        <f t="shared" ca="1" si="339"/>
        <v>3.2048950282436699E-2</v>
      </c>
    </row>
    <row r="756" spans="2:13" ht="13" outlineLevel="1" x14ac:dyDescent="0.3">
      <c r="B756" s="353" t="s">
        <v>1641</v>
      </c>
      <c r="D756" s="130"/>
      <c r="E756" s="130"/>
      <c r="F756" s="130"/>
      <c r="G756" s="1358">
        <f t="shared" ref="G756:M756" ca="1" si="340">G463/G$472</f>
        <v>0.18874984082750265</v>
      </c>
      <c r="H756" s="1358">
        <f t="shared" ca="1" si="340"/>
        <v>0.18874984082750265</v>
      </c>
      <c r="I756" s="1358">
        <f t="shared" ca="1" si="340"/>
        <v>0.188000651487814</v>
      </c>
      <c r="J756" s="1358">
        <f t="shared" ca="1" si="340"/>
        <v>0.18674530905914774</v>
      </c>
      <c r="K756" s="1358">
        <f t="shared" ca="1" si="340"/>
        <v>0.18478548895631286</v>
      </c>
      <c r="L756" s="1358">
        <f t="shared" ca="1" si="340"/>
        <v>0.18070583868296583</v>
      </c>
      <c r="M756" s="1358">
        <f t="shared" ca="1" si="340"/>
        <v>0.16838737433778808</v>
      </c>
    </row>
    <row r="757" spans="2:13" ht="13" outlineLevel="1" x14ac:dyDescent="0.3">
      <c r="B757" s="353" t="s">
        <v>1642</v>
      </c>
      <c r="D757" s="130"/>
      <c r="E757" s="130"/>
      <c r="F757" s="130"/>
      <c r="G757" s="1358">
        <f t="shared" ref="G757:M757" ca="1" si="341">G464/G$472</f>
        <v>2.3819363257482996E-2</v>
      </c>
      <c r="H757" s="1358">
        <f t="shared" ca="1" si="341"/>
        <v>2.3819363257482996E-2</v>
      </c>
      <c r="I757" s="1358">
        <f t="shared" ca="1" si="341"/>
        <v>2.3854676749553327E-2</v>
      </c>
      <c r="J757" s="1358">
        <f t="shared" ca="1" si="341"/>
        <v>2.3897524994437938E-2</v>
      </c>
      <c r="K757" s="1358">
        <f t="shared" ca="1" si="341"/>
        <v>2.3970354561161325E-2</v>
      </c>
      <c r="L757" s="1358">
        <f t="shared" ca="1" si="341"/>
        <v>2.5066151147207543E-2</v>
      </c>
      <c r="M757" s="1358">
        <f t="shared" ca="1" si="341"/>
        <v>2.916576959896652E-2</v>
      </c>
    </row>
    <row r="758" spans="2:13" ht="13" outlineLevel="1" x14ac:dyDescent="0.3">
      <c r="B758" s="353" t="s">
        <v>1639</v>
      </c>
      <c r="D758" s="130"/>
      <c r="E758" s="130"/>
      <c r="F758" s="130"/>
      <c r="G758" s="1358">
        <f t="shared" ref="G758:M758" ca="1" si="342">G465/G$472</f>
        <v>0.24223221515747448</v>
      </c>
      <c r="H758" s="1358">
        <f t="shared" ca="1" si="342"/>
        <v>0.24223221515747448</v>
      </c>
      <c r="I758" s="1358">
        <f t="shared" ca="1" si="342"/>
        <v>0.2417267082228324</v>
      </c>
      <c r="J758" s="1358">
        <f t="shared" ca="1" si="342"/>
        <v>0.24080046135131708</v>
      </c>
      <c r="K758" s="1358">
        <f t="shared" ca="1" si="342"/>
        <v>0.23932571925662724</v>
      </c>
      <c r="L758" s="1358">
        <f t="shared" ca="1" si="342"/>
        <v>0.23691297536069195</v>
      </c>
      <c r="M758" s="1358">
        <f t="shared" ca="1" si="342"/>
        <v>0.22960209421919128</v>
      </c>
    </row>
    <row r="759" spans="2:13" ht="13" outlineLevel="1" x14ac:dyDescent="0.3">
      <c r="C759" s="353"/>
      <c r="D759" s="130"/>
      <c r="E759" s="130"/>
      <c r="F759" s="130"/>
      <c r="G759" s="1358"/>
      <c r="H759" s="1358"/>
      <c r="I759" s="1358"/>
      <c r="J759" s="1358"/>
      <c r="K759" s="1358"/>
      <c r="L759" s="1358"/>
      <c r="M759" s="1358"/>
    </row>
    <row r="760" spans="2:13" ht="15.5" outlineLevel="1" x14ac:dyDescent="0.35">
      <c r="B760" s="6" t="s">
        <v>1643</v>
      </c>
      <c r="C760" s="353"/>
      <c r="D760" s="130"/>
      <c r="E760" s="130"/>
      <c r="F760" s="130"/>
      <c r="G760" s="1358"/>
      <c r="H760" s="1358"/>
      <c r="I760" s="1358"/>
      <c r="J760" s="1358"/>
      <c r="K760" s="1358"/>
      <c r="L760" s="1358"/>
      <c r="M760" s="1358"/>
    </row>
    <row r="761" spans="2:13" ht="13" outlineLevel="1" x14ac:dyDescent="0.3">
      <c r="B761" s="353" t="s">
        <v>1644</v>
      </c>
      <c r="C761" s="353"/>
      <c r="D761" s="130"/>
      <c r="E761" s="130"/>
      <c r="F761" s="130"/>
      <c r="G761" s="1358">
        <f t="shared" ref="G761:M761" ca="1" si="343">G468/G$472</f>
        <v>0.57900211911747057</v>
      </c>
      <c r="H761" s="1358">
        <f t="shared" ca="1" si="343"/>
        <v>0.57900211911747057</v>
      </c>
      <c r="I761" s="1358">
        <f t="shared" ca="1" si="343"/>
        <v>0.58088874510924415</v>
      </c>
      <c r="J761" s="1358">
        <f t="shared" ca="1" si="343"/>
        <v>0.58380857394036612</v>
      </c>
      <c r="K761" s="1358">
        <f t="shared" ca="1" si="343"/>
        <v>0.58873712016954693</v>
      </c>
      <c r="L761" s="1358">
        <f t="shared" ca="1" si="343"/>
        <v>0.59743452310686718</v>
      </c>
      <c r="M761" s="1358">
        <f t="shared" ca="1" si="343"/>
        <v>0.62293708140436899</v>
      </c>
    </row>
    <row r="762" spans="2:13" ht="13" outlineLevel="1" x14ac:dyDescent="0.3">
      <c r="B762" s="353" t="s">
        <v>1645</v>
      </c>
      <c r="C762" s="353"/>
      <c r="D762" s="130"/>
      <c r="E762" s="130"/>
      <c r="F762" s="130"/>
      <c r="G762" s="1358">
        <f t="shared" ref="G762:M762" ca="1" si="344">G469/G$472</f>
        <v>0.1443149462607326</v>
      </c>
      <c r="H762" s="1358">
        <f t="shared" ca="1" si="344"/>
        <v>0.1443149462607326</v>
      </c>
      <c r="I762" s="1358">
        <f t="shared" ca="1" si="344"/>
        <v>0.14321300096628586</v>
      </c>
      <c r="J762" s="1358">
        <f t="shared" ca="1" si="344"/>
        <v>0.14166611813836114</v>
      </c>
      <c r="K762" s="1358">
        <f t="shared" ca="1" si="344"/>
        <v>0.13890525057254893</v>
      </c>
      <c r="L762" s="1358">
        <f t="shared" ca="1" si="344"/>
        <v>0.13397653498026532</v>
      </c>
      <c r="M762" s="1358">
        <f t="shared" ca="1" si="344"/>
        <v>0.11963746645352574</v>
      </c>
    </row>
    <row r="763" spans="2:13" ht="13" outlineLevel="1" x14ac:dyDescent="0.3">
      <c r="B763" s="353" t="s">
        <v>1646</v>
      </c>
      <c r="C763" s="353"/>
      <c r="D763" s="130"/>
      <c r="E763" s="130"/>
      <c r="F763" s="130"/>
      <c r="G763" s="1358">
        <f t="shared" ref="G763:M763" ca="1" si="345">G470/G$472</f>
        <v>3.4450719464322328E-2</v>
      </c>
      <c r="H763" s="1358">
        <f t="shared" ca="1" si="345"/>
        <v>3.4450719464322328E-2</v>
      </c>
      <c r="I763" s="1358">
        <f t="shared" ca="1" si="345"/>
        <v>3.4171545701637752E-2</v>
      </c>
      <c r="J763" s="1358">
        <f t="shared" ca="1" si="345"/>
        <v>3.3724846569955697E-2</v>
      </c>
      <c r="K763" s="1358">
        <f t="shared" ca="1" si="345"/>
        <v>3.3031910001276761E-2</v>
      </c>
      <c r="L763" s="1358">
        <f t="shared" ca="1" si="345"/>
        <v>3.1675966552175527E-2</v>
      </c>
      <c r="M763" s="1358">
        <f t="shared" ca="1" si="345"/>
        <v>2.7823357922914072E-2</v>
      </c>
    </row>
    <row r="764" spans="2:13" ht="13" outlineLevel="1" x14ac:dyDescent="0.3">
      <c r="B764" s="353" t="s">
        <v>1647</v>
      </c>
      <c r="C764" s="353"/>
      <c r="D764" s="130"/>
      <c r="E764" s="130"/>
      <c r="F764" s="130"/>
      <c r="G764" s="1358">
        <f t="shared" ref="G764:M764" ca="1" si="346">G471/G$472</f>
        <v>0.24223221515747448</v>
      </c>
      <c r="H764" s="1358">
        <f t="shared" ca="1" si="346"/>
        <v>0.24223221515747448</v>
      </c>
      <c r="I764" s="1358">
        <f t="shared" ca="1" si="346"/>
        <v>0.2417267082228324</v>
      </c>
      <c r="J764" s="1358">
        <f t="shared" ca="1" si="346"/>
        <v>0.24080046135131711</v>
      </c>
      <c r="K764" s="1358">
        <f t="shared" ca="1" si="346"/>
        <v>0.23932571925662732</v>
      </c>
      <c r="L764" s="1358">
        <f t="shared" ca="1" si="346"/>
        <v>0.236912975360692</v>
      </c>
      <c r="M764" s="1358">
        <f t="shared" ca="1" si="346"/>
        <v>0.22960209421919126</v>
      </c>
    </row>
    <row r="765" spans="2:13" ht="13" outlineLevel="1" x14ac:dyDescent="0.3">
      <c r="B765" s="353" t="s">
        <v>1648</v>
      </c>
      <c r="C765" s="353"/>
      <c r="D765" s="130"/>
      <c r="E765" s="130"/>
      <c r="F765" s="130"/>
      <c r="G765" s="1358">
        <f t="shared" ref="G765:M765" ca="1" si="347">G472/G$472</f>
        <v>1</v>
      </c>
      <c r="H765" s="1358">
        <f t="shared" ca="1" si="347"/>
        <v>1</v>
      </c>
      <c r="I765" s="1358">
        <f t="shared" ca="1" si="347"/>
        <v>1</v>
      </c>
      <c r="J765" s="1358">
        <f t="shared" ca="1" si="347"/>
        <v>1</v>
      </c>
      <c r="K765" s="1358">
        <f t="shared" ca="1" si="347"/>
        <v>1</v>
      </c>
      <c r="L765" s="1358">
        <f t="shared" ca="1" si="347"/>
        <v>1</v>
      </c>
      <c r="M765" s="1358">
        <f t="shared" ca="1" si="347"/>
        <v>1</v>
      </c>
    </row>
  </sheetData>
  <mergeCells count="14">
    <mergeCell ref="B474:M474"/>
    <mergeCell ref="B1:M1"/>
    <mergeCell ref="N1:O1"/>
    <mergeCell ref="B2:M2"/>
    <mergeCell ref="B3:M3"/>
    <mergeCell ref="B4:E4"/>
    <mergeCell ref="G4:M4"/>
    <mergeCell ref="B175:M175"/>
    <mergeCell ref="B101:M101"/>
    <mergeCell ref="B5:E5"/>
    <mergeCell ref="G5:M5"/>
    <mergeCell ref="B12:M12"/>
    <mergeCell ref="B18:D18"/>
    <mergeCell ref="B26:M26"/>
  </mergeCells>
  <hyperlinks>
    <hyperlink ref="N2" location="Dashboard!A1" display="Dashboard" xr:uid="{E65D5371-AC54-4B40-96B3-857199C29D89}"/>
    <hyperlink ref="N3" location="'Summary of Results'!A1" display="Summary of Results" xr:uid="{D2641C20-3B3D-488D-BB16-0CA114579700}"/>
    <hyperlink ref="N4" location="Chem!A1" display="Chem" xr:uid="{9E3396DF-4192-4AF1-A9DF-61834D61A98A}"/>
    <hyperlink ref="N5" location="'Battery Design'!A1" display="Battery Design" xr:uid="{894E1225-E049-4DFC-B8D0-CF0782B9C685}"/>
    <hyperlink ref="N6" location="BMS!A1" display="BMS" xr:uid="{6E35B7B8-4992-4EED-A48F-6D31BC5C133A}"/>
    <hyperlink ref="O2" location="'Manufacturing Costs'!A1" display="Manufacturing Costs" xr:uid="{3008573C-31E1-48A6-BDF3-3286E26011EA}"/>
    <hyperlink ref="O3" location="'Cost Input'!A1" display="Cost Input" xr:uid="{87906A7C-CE68-4248-8293-501A7E3BA9A9}"/>
    <hyperlink ref="O4" location="'Cost Breakdown'!A1" display="Cost Breakdown" xr:uid="{7708144E-7B7A-441F-A621-D074EA9C3E64}"/>
    <hyperlink ref="O5" location="Recycle!A1" display="Recycle" xr:uid="{C7DFDECE-AFD9-4544-9626-7335C4501689}"/>
    <hyperlink ref="O6" location="Thermal!A1" display="Thermal" xr:uid="{9EC77389-863D-4676-85BF-8C7DDAAFEB5E}"/>
  </hyperlinks>
  <pageMargins left="0.45" right="0.45" top="0.75" bottom="0.75" header="0.3" footer="0.3"/>
  <pageSetup scale="89" orientation="portrait" r:id="rId1"/>
  <headerFooter>
    <oddFooter>&amp;C&amp;P&amp;R&amp;F, &amp;D</oddFooter>
  </headerFooter>
  <rowBreaks count="4" manualBreakCount="4">
    <brk id="174" max="16383" man="1"/>
    <brk id="555" min="1" max="12" man="1"/>
    <brk id="615" min="1" max="12" man="1"/>
    <brk id="665" min="1" max="12" man="1"/>
  </rowBreaks>
  <colBreaks count="1" manualBreakCount="1">
    <brk id="13"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7"/>
  <sheetViews>
    <sheetView workbookViewId="0">
      <pane ySplit="6" topLeftCell="A7" activePane="bottomLeft" state="frozen"/>
      <selection pane="bottomLeft"/>
    </sheetView>
  </sheetViews>
  <sheetFormatPr defaultColWidth="8.54296875" defaultRowHeight="12.5" x14ac:dyDescent="0.25"/>
  <cols>
    <col min="2" max="2" width="23.453125" customWidth="1"/>
    <col min="3" max="3" width="10.453125" customWidth="1"/>
    <col min="4" max="4" width="11" customWidth="1"/>
    <col min="5" max="5" width="10.453125" customWidth="1"/>
    <col min="6" max="6" width="9.54296875" customWidth="1"/>
    <col min="7" max="7" width="16" bestFit="1" customWidth="1"/>
    <col min="8" max="13" width="12.453125" bestFit="1" customWidth="1"/>
    <col min="14" max="14" width="17.453125" bestFit="1" customWidth="1"/>
    <col min="15" max="15" width="18.453125" bestFit="1" customWidth="1"/>
    <col min="16" max="16" width="24.54296875" bestFit="1" customWidth="1"/>
    <col min="17" max="21" width="9.453125" bestFit="1" customWidth="1"/>
  </cols>
  <sheetData>
    <row r="1" spans="1:15" ht="18.5" thickBot="1" x14ac:dyDescent="0.45">
      <c r="B1" s="1503" t="s">
        <v>1649</v>
      </c>
      <c r="C1" s="1503"/>
      <c r="D1" s="1503"/>
      <c r="E1" s="1503"/>
      <c r="F1" s="1503"/>
      <c r="G1" s="1503"/>
      <c r="H1" s="1503"/>
      <c r="I1" s="1503"/>
      <c r="J1" s="1503"/>
      <c r="K1" s="1503"/>
      <c r="L1" s="1503"/>
      <c r="M1" s="1503"/>
      <c r="N1" s="1419" t="s">
        <v>6</v>
      </c>
      <c r="O1" s="1420"/>
    </row>
    <row r="2" spans="1:15"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1:15" ht="15.5" x14ac:dyDescent="0.35">
      <c r="A3" s="1380"/>
      <c r="B3" s="1445" t="s">
        <v>122</v>
      </c>
      <c r="C3" s="1466"/>
      <c r="D3" s="1466"/>
      <c r="E3" s="1466"/>
      <c r="F3" s="1466"/>
      <c r="G3" s="1466"/>
      <c r="H3" s="1466"/>
      <c r="I3" s="1466"/>
      <c r="J3" s="1466"/>
      <c r="K3" s="1466"/>
      <c r="L3" s="1466"/>
      <c r="M3" s="1467"/>
      <c r="N3" s="1243" t="s">
        <v>12</v>
      </c>
      <c r="O3" s="1242" t="s">
        <v>13</v>
      </c>
    </row>
    <row r="4" spans="1:15" ht="13" x14ac:dyDescent="0.3">
      <c r="A4" s="1380"/>
      <c r="B4" s="1447" t="s">
        <v>282</v>
      </c>
      <c r="C4" s="1468"/>
      <c r="D4" s="1468"/>
      <c r="E4" s="1469"/>
      <c r="F4" s="245"/>
      <c r="G4" s="1448" t="s">
        <v>9</v>
      </c>
      <c r="H4" s="1473"/>
      <c r="I4" s="1473"/>
      <c r="J4" s="1473"/>
      <c r="K4" s="1473"/>
      <c r="L4" s="1473"/>
      <c r="M4" s="1474"/>
      <c r="N4" s="1240" t="s">
        <v>14</v>
      </c>
      <c r="O4" s="1242" t="s">
        <v>15</v>
      </c>
    </row>
    <row r="5" spans="1:15" ht="13.5" thickBot="1" x14ac:dyDescent="0.35">
      <c r="A5" s="1380"/>
      <c r="B5" s="1450" t="s">
        <v>10</v>
      </c>
      <c r="C5" s="1488"/>
      <c r="D5" s="1488"/>
      <c r="E5" s="1489"/>
      <c r="F5" s="254"/>
      <c r="G5" s="1451" t="s">
        <v>11</v>
      </c>
      <c r="H5" s="1475"/>
      <c r="I5" s="1475"/>
      <c r="J5" s="1475"/>
      <c r="K5" s="1475"/>
      <c r="L5" s="1475"/>
      <c r="M5" s="1476"/>
      <c r="N5" s="1240" t="s">
        <v>17</v>
      </c>
      <c r="O5" s="1246" t="s">
        <v>18</v>
      </c>
    </row>
    <row r="6" spans="1:15" ht="16" thickBot="1" x14ac:dyDescent="0.4">
      <c r="G6" s="443" t="s">
        <v>50</v>
      </c>
      <c r="H6" s="443" t="s">
        <v>51</v>
      </c>
      <c r="I6" s="443" t="s">
        <v>52</v>
      </c>
      <c r="J6" s="443" t="s">
        <v>53</v>
      </c>
      <c r="K6" s="443" t="s">
        <v>54</v>
      </c>
      <c r="L6" s="443" t="s">
        <v>55</v>
      </c>
      <c r="M6" s="443" t="s">
        <v>56</v>
      </c>
      <c r="N6" s="1244" t="s">
        <v>22</v>
      </c>
      <c r="O6" s="1245" t="s">
        <v>23</v>
      </c>
    </row>
    <row r="7" spans="1:15" ht="15.5" x14ac:dyDescent="0.35">
      <c r="G7" s="443"/>
      <c r="H7" s="443"/>
      <c r="I7" s="443"/>
      <c r="J7" s="443"/>
      <c r="K7" s="443"/>
      <c r="L7" s="443"/>
      <c r="M7" s="443"/>
    </row>
    <row r="8" spans="1:15" ht="15.5" x14ac:dyDescent="0.35">
      <c r="B8" s="6" t="s">
        <v>1650</v>
      </c>
      <c r="G8" s="85"/>
      <c r="H8" s="85"/>
      <c r="I8" s="85"/>
      <c r="J8" s="85"/>
      <c r="K8" s="85"/>
    </row>
    <row r="9" spans="1:15" x14ac:dyDescent="0.25">
      <c r="B9" s="353" t="s">
        <v>1651</v>
      </c>
      <c r="G9" s="49">
        <f ca="1">'Battery Design'!G355</f>
        <v>99.999999999999972</v>
      </c>
      <c r="H9" s="49">
        <f ca="1">'Battery Design'!H355</f>
        <v>99.999999999999972</v>
      </c>
      <c r="I9" s="49">
        <f ca="1">'Battery Design'!I355</f>
        <v>99.999999999999957</v>
      </c>
      <c r="J9" s="49">
        <f ca="1">'Battery Design'!J355</f>
        <v>99.999999999999957</v>
      </c>
      <c r="K9" s="49">
        <f ca="1">'Battery Design'!K355</f>
        <v>99.999999999999957</v>
      </c>
      <c r="L9" s="49">
        <f ca="1">'Battery Design'!L355</f>
        <v>99.999999999999957</v>
      </c>
      <c r="M9" s="49">
        <f ca="1">'Battery Design'!M355</f>
        <v>100.00000000000048</v>
      </c>
    </row>
    <row r="10" spans="1:15" x14ac:dyDescent="0.25">
      <c r="B10" s="353" t="s">
        <v>1652</v>
      </c>
      <c r="E10" s="85"/>
      <c r="G10" s="50">
        <f>'Battery Design'!G31</f>
        <v>400</v>
      </c>
      <c r="H10" s="50">
        <f>'Battery Design'!H31</f>
        <v>400</v>
      </c>
      <c r="I10" s="50">
        <f>'Battery Design'!I31</f>
        <v>400</v>
      </c>
      <c r="J10" s="50">
        <f>'Battery Design'!J31</f>
        <v>400</v>
      </c>
      <c r="K10" s="50">
        <f>'Battery Design'!K31</f>
        <v>400</v>
      </c>
      <c r="L10" s="50">
        <f>'Battery Design'!L31</f>
        <v>400</v>
      </c>
      <c r="M10" s="50">
        <f>'Battery Design'!M31</f>
        <v>400</v>
      </c>
    </row>
    <row r="11" spans="1:15" x14ac:dyDescent="0.25">
      <c r="B11" s="353" t="s">
        <v>901</v>
      </c>
      <c r="E11" s="85"/>
      <c r="G11" s="50">
        <f>'Battery Design'!G29</f>
        <v>20</v>
      </c>
      <c r="H11" s="50">
        <f>'Battery Design'!H29</f>
        <v>20</v>
      </c>
      <c r="I11" s="50">
        <f>'Battery Design'!I29</f>
        <v>20</v>
      </c>
      <c r="J11" s="50">
        <f>'Battery Design'!J29</f>
        <v>20</v>
      </c>
      <c r="K11" s="50">
        <f>'Battery Design'!K29</f>
        <v>20</v>
      </c>
      <c r="L11" s="50">
        <f>'Battery Design'!L29</f>
        <v>20</v>
      </c>
      <c r="M11" s="50">
        <f>'Battery Design'!M29</f>
        <v>20</v>
      </c>
    </row>
    <row r="12" spans="1:15" x14ac:dyDescent="0.25">
      <c r="B12" s="353"/>
      <c r="E12" s="85"/>
      <c r="G12" s="50"/>
      <c r="H12" s="50"/>
      <c r="I12" s="50"/>
      <c r="J12" s="50"/>
      <c r="K12" s="50"/>
      <c r="L12" s="50"/>
      <c r="M12" s="50"/>
    </row>
    <row r="13" spans="1:15" ht="15.5" x14ac:dyDescent="0.35">
      <c r="B13" s="6" t="s">
        <v>1653</v>
      </c>
    </row>
    <row r="14" spans="1:15" ht="15.5" x14ac:dyDescent="0.35">
      <c r="B14" s="130" t="s">
        <v>1654</v>
      </c>
      <c r="C14" s="130"/>
      <c r="D14" s="130"/>
      <c r="E14" s="130"/>
      <c r="F14" s="130"/>
      <c r="G14" s="443"/>
      <c r="H14" s="443"/>
      <c r="I14" s="443"/>
      <c r="J14" s="443"/>
      <c r="K14" s="443"/>
      <c r="L14" s="443"/>
      <c r="M14" s="443"/>
    </row>
    <row r="15" spans="1:15" ht="15.5" x14ac:dyDescent="0.35">
      <c r="B15" s="130" t="s">
        <v>1655</v>
      </c>
      <c r="C15" s="625" t="s">
        <v>1656</v>
      </c>
      <c r="D15" s="625" t="s">
        <v>1657</v>
      </c>
      <c r="E15" s="625" t="s">
        <v>1658</v>
      </c>
      <c r="F15" s="625" t="s">
        <v>1659</v>
      </c>
      <c r="G15" s="443"/>
      <c r="H15" s="443"/>
      <c r="I15" s="443"/>
      <c r="J15" s="443"/>
      <c r="K15" s="443"/>
      <c r="L15" s="443"/>
      <c r="M15" s="443"/>
    </row>
    <row r="16" spans="1:15" ht="15.5" x14ac:dyDescent="0.35">
      <c r="B16" t="s">
        <v>1660</v>
      </c>
      <c r="C16">
        <f>MATCH(C15, Lists!$R$17:$AG$17, 0)</f>
        <v>1</v>
      </c>
      <c r="D16">
        <f>MATCH(D15, Lists!$R$17:$AG$17, 0)</f>
        <v>3</v>
      </c>
      <c r="E16">
        <f>MATCH(E15, Lists!$R$17:$AG$17, 0)</f>
        <v>2</v>
      </c>
      <c r="F16">
        <f>MATCH(F15, Lists!$R$17:$AG$17, 0)</f>
        <v>6</v>
      </c>
      <c r="G16" s="443"/>
      <c r="H16" s="443"/>
      <c r="I16" s="443"/>
      <c r="J16" s="443"/>
      <c r="K16" s="443"/>
      <c r="L16" s="443"/>
      <c r="M16" s="443"/>
    </row>
    <row r="17" spans="2:13" ht="15.5" x14ac:dyDescent="0.35">
      <c r="B17" s="353" t="s">
        <v>1661</v>
      </c>
      <c r="D17" t="str">
        <f>Chem!C7</f>
        <v>NMC811</v>
      </c>
      <c r="G17" s="443">
        <f>MATCH($D$17, Lists!$O$63:$AG$63, 0)</f>
        <v>4</v>
      </c>
      <c r="H17" s="443">
        <f>MATCH($D$17, Lists!$O$63:$AG$63, 0)</f>
        <v>4</v>
      </c>
      <c r="I17" s="443">
        <f>MATCH($D$17, Lists!$O$63:$AG$63, 0)</f>
        <v>4</v>
      </c>
      <c r="J17" s="443">
        <f>MATCH($D$17, Lists!$O$63:$AG$63, 0)</f>
        <v>4</v>
      </c>
      <c r="K17" s="443">
        <f>MATCH($D$17, Lists!$O$63:$AG$63, 0)</f>
        <v>4</v>
      </c>
      <c r="L17" s="443">
        <f>MATCH($D$17, Lists!$O$63:$AG$63, 0)</f>
        <v>4</v>
      </c>
      <c r="M17" s="443">
        <f>MATCH($D$17, Lists!$O$63:$AG$63, 0)</f>
        <v>4</v>
      </c>
    </row>
    <row r="18" spans="2:13" ht="15.5" x14ac:dyDescent="0.35">
      <c r="B18" s="353" t="s">
        <v>1662</v>
      </c>
      <c r="D18" t="str">
        <f>Chem!C35</f>
        <v>G</v>
      </c>
      <c r="G18" s="443">
        <f>MATCH($D$18, Lists!$O$63:$AG$63, 0)</f>
        <v>9</v>
      </c>
      <c r="H18" s="443">
        <f>MATCH($D$18, Lists!$O$63:$AG$63, 0)</f>
        <v>9</v>
      </c>
      <c r="I18" s="443">
        <f>MATCH($D$18, Lists!$O$63:$AG$63, 0)</f>
        <v>9</v>
      </c>
      <c r="J18" s="443">
        <f>MATCH($D$18, Lists!$O$63:$AG$63, 0)</f>
        <v>9</v>
      </c>
      <c r="K18" s="443">
        <f>MATCH($D$18, Lists!$O$63:$AG$63, 0)</f>
        <v>9</v>
      </c>
      <c r="L18" s="443">
        <f>MATCH($D$18, Lists!$O$63:$AG$63, 0)</f>
        <v>9</v>
      </c>
      <c r="M18" s="443">
        <f>MATCH($D$18, Lists!$O$63:$AG$63, 0)</f>
        <v>9</v>
      </c>
    </row>
    <row r="19" spans="2:13" ht="13" thickBot="1" x14ac:dyDescent="0.3"/>
    <row r="20" spans="2:13" ht="20.5" thickBot="1" x14ac:dyDescent="0.45">
      <c r="B20" s="1453" t="s">
        <v>1663</v>
      </c>
      <c r="C20" s="1454"/>
      <c r="D20" s="1454"/>
      <c r="E20" s="1454"/>
      <c r="F20" s="1454"/>
      <c r="G20" s="1454"/>
      <c r="H20" s="1454"/>
      <c r="I20" s="1454"/>
      <c r="J20" s="1454"/>
      <c r="K20" s="1454"/>
      <c r="L20" s="1454"/>
      <c r="M20" s="1455"/>
    </row>
    <row r="21" spans="2:13" ht="15.5" x14ac:dyDescent="0.35">
      <c r="B21" s="353"/>
      <c r="G21" s="443"/>
      <c r="H21" s="443"/>
      <c r="I21" s="443"/>
      <c r="J21" s="443"/>
      <c r="K21" s="443"/>
      <c r="L21" s="443"/>
      <c r="M21" s="443"/>
    </row>
    <row r="22" spans="2:13" ht="15.5" x14ac:dyDescent="0.35">
      <c r="B22" s="6" t="s">
        <v>1664</v>
      </c>
      <c r="G22" s="443"/>
      <c r="H22" s="443"/>
      <c r="I22" s="443"/>
      <c r="J22" s="443"/>
      <c r="K22" s="443"/>
      <c r="L22" s="443"/>
      <c r="M22" s="443"/>
    </row>
    <row r="23" spans="2:13" ht="15.5" x14ac:dyDescent="0.35">
      <c r="B23" s="664" t="s">
        <v>1665</v>
      </c>
      <c r="G23" s="443"/>
      <c r="H23" s="443"/>
      <c r="I23" s="443"/>
      <c r="J23" s="443"/>
      <c r="K23" s="443"/>
      <c r="L23" s="443"/>
      <c r="M23" s="443"/>
    </row>
    <row r="24" spans="2:13" x14ac:dyDescent="0.25">
      <c r="B24" s="455" t="str">
        <f>'Battery Design'!B44</f>
        <v>Positive active material, g/cell</v>
      </c>
      <c r="C24" s="353"/>
      <c r="D24" s="353"/>
      <c r="E24" s="353"/>
      <c r="F24" s="353"/>
      <c r="G24" s="496">
        <f ca="1">'Battery Design'!G44</f>
        <v>319.19057801075667</v>
      </c>
      <c r="H24" s="496">
        <f ca="1">'Battery Design'!H44</f>
        <v>319.19057801075667</v>
      </c>
      <c r="I24" s="496">
        <f ca="1">'Battery Design'!I44</f>
        <v>318.80983075243427</v>
      </c>
      <c r="J24" s="496">
        <f ca="1">'Battery Design'!J44</f>
        <v>318.34132642523736</v>
      </c>
      <c r="K24" s="496">
        <f ca="1">'Battery Design'!K44</f>
        <v>317.79996667954941</v>
      </c>
      <c r="L24" s="496">
        <f ca="1">'Battery Design'!L44</f>
        <v>317.15178721264147</v>
      </c>
      <c r="M24" s="496">
        <f ca="1">'Battery Design'!M44</f>
        <v>316.29703542440672</v>
      </c>
    </row>
    <row r="25" spans="2:13" x14ac:dyDescent="0.25">
      <c r="B25" s="455" t="str">
        <f>'Battery Design'!B51</f>
        <v>Negative active material per cell, g/cell</v>
      </c>
      <c r="C25" s="353"/>
      <c r="D25" s="353"/>
      <c r="E25" s="353"/>
      <c r="F25" s="353"/>
      <c r="G25" s="496">
        <f ca="1">'Battery Design'!G51</f>
        <v>216.52074867430588</v>
      </c>
      <c r="H25" s="496">
        <f ca="1">'Battery Design'!H51</f>
        <v>216.52074867430588</v>
      </c>
      <c r="I25" s="496">
        <f ca="1">'Battery Design'!I51</f>
        <v>216.21214350268883</v>
      </c>
      <c r="J25" s="496">
        <f ca="1">'Battery Design'!J51</f>
        <v>215.86118805831296</v>
      </c>
      <c r="K25" s="496">
        <f ca="1">'Battery Design'!K51</f>
        <v>215.35532274255232</v>
      </c>
      <c r="L25" s="496">
        <f ca="1">'Battery Design'!L51</f>
        <v>214.75522668492988</v>
      </c>
      <c r="M25" s="496">
        <f ca="1">'Battery Design'!M51</f>
        <v>213.61787721824723</v>
      </c>
    </row>
    <row r="26" spans="2:13" x14ac:dyDescent="0.25">
      <c r="B26" s="353" t="s">
        <v>1666</v>
      </c>
      <c r="C26" s="353"/>
      <c r="D26" s="353"/>
      <c r="E26" s="353"/>
      <c r="F26" s="353"/>
      <c r="G26" s="496">
        <f ca="1">'Battery Design'!G66*Chem!$C$66*1000</f>
        <v>85.053707397294744</v>
      </c>
      <c r="H26" s="496">
        <f ca="1">'Battery Design'!H66*Chem!$C$66*1000</f>
        <v>85.053707397294744</v>
      </c>
      <c r="I26" s="496">
        <f ca="1">'Battery Design'!I66*Chem!$C$66*1000</f>
        <v>85.867069890197342</v>
      </c>
      <c r="J26" s="496">
        <f ca="1">'Battery Design'!J66*Chem!$C$66*1000</f>
        <v>87.18856157372646</v>
      </c>
      <c r="K26" s="496">
        <f ca="1">'Battery Design'!K66*Chem!$C$66*1000</f>
        <v>89.377761361907616</v>
      </c>
      <c r="L26" s="496">
        <f ca="1">'Battery Design'!L66*Chem!$C$66*1000</f>
        <v>93.826016851096497</v>
      </c>
      <c r="M26" s="496">
        <f ca="1">'Battery Design'!M66*Chem!$C$66*1000</f>
        <v>109.08137290776472</v>
      </c>
    </row>
    <row r="27" spans="2:13" x14ac:dyDescent="0.25">
      <c r="B27" s="353" t="s">
        <v>1667</v>
      </c>
      <c r="C27" s="353"/>
      <c r="D27" s="353"/>
      <c r="E27" s="353"/>
      <c r="F27" s="353"/>
      <c r="G27" s="496">
        <f ca="1">'Battery Design'!G66</f>
        <v>7.0878089497745628E-2</v>
      </c>
      <c r="H27" s="496">
        <f ca="1">'Battery Design'!H66</f>
        <v>7.0878089497745628E-2</v>
      </c>
      <c r="I27" s="496">
        <f ca="1">'Battery Design'!I66</f>
        <v>7.1555891575164454E-2</v>
      </c>
      <c r="J27" s="496">
        <f ca="1">'Battery Design'!J66</f>
        <v>7.2657134644772053E-2</v>
      </c>
      <c r="K27" s="496">
        <f ca="1">'Battery Design'!K66</f>
        <v>7.4481467801589679E-2</v>
      </c>
      <c r="L27" s="496">
        <f ca="1">'Battery Design'!L66</f>
        <v>7.818834737591375E-2</v>
      </c>
      <c r="M27" s="496">
        <f ca="1">'Battery Design'!M66</f>
        <v>9.0901144089803931E-2</v>
      </c>
    </row>
    <row r="28" spans="2:13" x14ac:dyDescent="0.25">
      <c r="B28" s="353" t="s">
        <v>1668</v>
      </c>
      <c r="C28" s="353"/>
      <c r="D28" s="353"/>
      <c r="E28" s="353"/>
      <c r="F28" s="353"/>
      <c r="G28" s="496">
        <f ca="1">'Battery Design'!G58</f>
        <v>0</v>
      </c>
      <c r="H28" s="496">
        <f ca="1">'Battery Design'!H58</f>
        <v>0</v>
      </c>
      <c r="I28" s="496">
        <f ca="1">'Battery Design'!I58</f>
        <v>0</v>
      </c>
      <c r="J28" s="496">
        <f ca="1">'Battery Design'!J58</f>
        <v>0</v>
      </c>
      <c r="K28" s="496">
        <f ca="1">'Battery Design'!K58</f>
        <v>0</v>
      </c>
      <c r="L28" s="496">
        <f ca="1">'Battery Design'!L58</f>
        <v>0</v>
      </c>
      <c r="M28" s="496">
        <f ca="1">'Battery Design'!M58</f>
        <v>0</v>
      </c>
    </row>
    <row r="29" spans="2:13" x14ac:dyDescent="0.25">
      <c r="B29" s="353" t="s">
        <v>1669</v>
      </c>
      <c r="C29" s="353"/>
      <c r="D29" s="353"/>
      <c r="E29" s="353"/>
      <c r="F29" s="353"/>
      <c r="G29" s="496">
        <f ca="1">'Battery Design'!G59</f>
        <v>0</v>
      </c>
      <c r="H29" s="496">
        <f ca="1">'Battery Design'!H59</f>
        <v>0</v>
      </c>
      <c r="I29" s="496">
        <f ca="1">'Battery Design'!I59</f>
        <v>0</v>
      </c>
      <c r="J29" s="496">
        <f ca="1">'Battery Design'!J59</f>
        <v>0</v>
      </c>
      <c r="K29" s="496">
        <f ca="1">'Battery Design'!K59</f>
        <v>0</v>
      </c>
      <c r="L29" s="496">
        <f ca="1">'Battery Design'!L59</f>
        <v>0</v>
      </c>
      <c r="M29" s="496">
        <f ca="1">'Battery Design'!M59</f>
        <v>0</v>
      </c>
    </row>
    <row r="30" spans="2:13" x14ac:dyDescent="0.25">
      <c r="B30" s="353" t="s">
        <v>1670</v>
      </c>
      <c r="C30" s="353"/>
      <c r="D30" s="353"/>
      <c r="E30" s="353"/>
      <c r="F30" s="353"/>
      <c r="G30" s="496">
        <f ca="1">'Battery Design'!G67</f>
        <v>85.053707397294744</v>
      </c>
      <c r="H30" s="496">
        <f ca="1">'Battery Design'!H67</f>
        <v>85.053707397294744</v>
      </c>
      <c r="I30" s="496">
        <f ca="1">'Battery Design'!I67</f>
        <v>85.867069890197342</v>
      </c>
      <c r="J30" s="496">
        <f ca="1">'Battery Design'!J67</f>
        <v>87.18856157372646</v>
      </c>
      <c r="K30" s="496">
        <f ca="1">'Battery Design'!K67</f>
        <v>89.377761361907616</v>
      </c>
      <c r="L30" s="496">
        <f ca="1">'Battery Design'!L67</f>
        <v>93.826016851096497</v>
      </c>
      <c r="M30" s="496">
        <f ca="1">'Battery Design'!M67</f>
        <v>109.08137290776472</v>
      </c>
    </row>
    <row r="31" spans="2:13" x14ac:dyDescent="0.25">
      <c r="B31" s="353"/>
      <c r="C31" s="353"/>
      <c r="D31" s="353"/>
      <c r="E31" s="353"/>
      <c r="F31" s="353"/>
      <c r="G31" s="496"/>
      <c r="H31" s="496"/>
      <c r="I31" s="496"/>
      <c r="J31" s="496"/>
      <c r="K31" s="496"/>
      <c r="L31" s="496"/>
      <c r="M31" s="496"/>
    </row>
    <row r="32" spans="2:13" ht="14" x14ac:dyDescent="0.3">
      <c r="B32" s="664" t="s">
        <v>1671</v>
      </c>
      <c r="C32" s="353"/>
      <c r="D32" s="353"/>
      <c r="E32" s="353"/>
      <c r="F32" s="353"/>
      <c r="G32" s="496"/>
      <c r="H32" s="496"/>
      <c r="I32" s="496"/>
      <c r="J32" s="496"/>
      <c r="K32" s="496"/>
      <c r="L32" s="496"/>
      <c r="M32" s="496"/>
    </row>
    <row r="33" spans="2:14" x14ac:dyDescent="0.25">
      <c r="B33" s="61" t="s">
        <v>1672</v>
      </c>
      <c r="C33" s="353"/>
      <c r="D33" s="353"/>
      <c r="E33" s="353"/>
      <c r="F33" s="353"/>
      <c r="G33" s="496" cm="1">
        <f t="array" aca="1" ref="G33" ca="1">INDEX(Lists!$O$117:$AG$117, Recycle!G17)*6.94/INDEX(Lists!$O$68:$AG$68,  Recycle!G17)*G24</f>
        <v>22.76769218762168</v>
      </c>
      <c r="H33" s="496" cm="1">
        <f t="array" aca="1" ref="H33" ca="1">INDEX(Lists!$O$117:$AG$117, Recycle!H17)*6.94/INDEX(Lists!$O$68:$AG$68,  Recycle!H17)*H24</f>
        <v>22.76769218762168</v>
      </c>
      <c r="I33" s="496" cm="1">
        <f t="array" aca="1" ref="I33" ca="1">INDEX(Lists!$O$117:$AG$117, Recycle!I17)*6.94/INDEX(Lists!$O$68:$AG$68,  Recycle!I17)*I24</f>
        <v>22.740533690548272</v>
      </c>
      <c r="J33" s="496" cm="1">
        <f t="array" aca="1" ref="J33" ca="1">INDEX(Lists!$O$117:$AG$117, Recycle!J17)*6.94/INDEX(Lists!$O$68:$AG$68,  Recycle!J17)*J24</f>
        <v>22.707115528970117</v>
      </c>
      <c r="K33" s="496" cm="1">
        <f t="array" aca="1" ref="K33" ca="1">INDEX(Lists!$O$117:$AG$117, Recycle!K17)*6.94/INDEX(Lists!$O$68:$AG$68,  Recycle!K17)*K24</f>
        <v>22.668500629591172</v>
      </c>
      <c r="L33" s="496" cm="1">
        <f t="array" aca="1" ref="L33" ca="1">INDEX(Lists!$O$117:$AG$117, Recycle!L17)*6.94/INDEX(Lists!$O$68:$AG$68,  Recycle!L17)*L24</f>
        <v>22.622266336972423</v>
      </c>
      <c r="M33" s="496" cm="1">
        <f t="array" aca="1" ref="M33" ca="1">INDEX(Lists!$O$117:$AG$117, Recycle!M17)*6.94/INDEX(Lists!$O$68:$AG$68,  Recycle!M17)*M24</f>
        <v>22.561297351820574</v>
      </c>
    </row>
    <row r="34" spans="2:14" x14ac:dyDescent="0.25">
      <c r="B34" s="61" t="s">
        <v>1673</v>
      </c>
      <c r="C34" s="353"/>
      <c r="D34" s="353"/>
      <c r="E34" s="353"/>
      <c r="F34" s="353"/>
      <c r="G34" s="496" cm="1">
        <f t="array" aca="1" ref="G34" ca="1">INDEX(Lists!$O$117:$AG$117, Recycle!G18)*6.94/INDEX(Lists!$O$68:$AG$68,  Recycle!G18)*G25</f>
        <v>0</v>
      </c>
      <c r="H34" s="496" cm="1">
        <f t="array" aca="1" ref="H34" ca="1">INDEX(Lists!$O$117:$AG$117, Recycle!H18)*6.94/INDEX(Lists!$O$68:$AG$68,  Recycle!H18)*H25</f>
        <v>0</v>
      </c>
      <c r="I34" s="496" cm="1">
        <f t="array" aca="1" ref="I34" ca="1">INDEX(Lists!$O$117:$AG$117, Recycle!I18)*6.94/INDEX(Lists!$O$68:$AG$68,  Recycle!I18)*I25</f>
        <v>0</v>
      </c>
      <c r="J34" s="496" cm="1">
        <f t="array" aca="1" ref="J34" ca="1">INDEX(Lists!$O$117:$AG$117, Recycle!J18)*6.94/INDEX(Lists!$O$68:$AG$68,  Recycle!J18)*J25</f>
        <v>0</v>
      </c>
      <c r="K34" s="496" cm="1">
        <f t="array" aca="1" ref="K34" ca="1">INDEX(Lists!$O$117:$AG$117, Recycle!K18)*6.94/INDEX(Lists!$O$68:$AG$68,  Recycle!K18)*K25</f>
        <v>0</v>
      </c>
      <c r="L34" s="496" cm="1">
        <f t="array" aca="1" ref="L34" ca="1">INDEX(Lists!$O$117:$AG$117, Recycle!L18)*6.94/INDEX(Lists!$O$68:$AG$68,  Recycle!L18)*L25</f>
        <v>0</v>
      </c>
      <c r="M34" s="496" cm="1">
        <f t="array" aca="1" ref="M34" ca="1">INDEX(Lists!$O$117:$AG$117, Recycle!M18)*6.94/INDEX(Lists!$O$68:$AG$68,  Recycle!M18)*M25</f>
        <v>0</v>
      </c>
    </row>
    <row r="35" spans="2:14" x14ac:dyDescent="0.25">
      <c r="B35" s="61" t="s">
        <v>1674</v>
      </c>
      <c r="C35" s="353"/>
      <c r="D35" s="353"/>
      <c r="E35" s="353"/>
      <c r="F35" s="353"/>
      <c r="G35" s="496">
        <f ca="1">G27*Chem!$C$67</f>
        <v>0.59027272933722552</v>
      </c>
      <c r="H35" s="496">
        <f ca="1">H27*Chem!$C$67</f>
        <v>0.59027272933722552</v>
      </c>
      <c r="I35" s="496">
        <f ca="1">I27*Chem!$C$67</f>
        <v>0.5959174650379695</v>
      </c>
      <c r="J35" s="496">
        <f ca="1">J27*Chem!$C$67</f>
        <v>0.60508861732166164</v>
      </c>
      <c r="K35" s="496">
        <f ca="1">K27*Chem!$C$67</f>
        <v>0.62028166385163885</v>
      </c>
      <c r="L35" s="496">
        <f ca="1">L27*Chem!$C$67</f>
        <v>0.65115255694660967</v>
      </c>
      <c r="M35" s="496">
        <f ca="1">M27*Chem!$C$67</f>
        <v>0.75702472797988707</v>
      </c>
    </row>
    <row r="36" spans="2:14" x14ac:dyDescent="0.25">
      <c r="B36" s="61" t="s">
        <v>1675</v>
      </c>
      <c r="C36" s="353"/>
      <c r="D36" s="353"/>
      <c r="E36" s="353"/>
      <c r="F36" s="353"/>
      <c r="G36" s="496">
        <f ca="1">G28*Chem!$C$75</f>
        <v>0</v>
      </c>
      <c r="H36" s="496">
        <f ca="1">H28*Chem!$C$75</f>
        <v>0</v>
      </c>
      <c r="I36" s="496">
        <f ca="1">I28*Chem!$C$75</f>
        <v>0</v>
      </c>
      <c r="J36" s="496">
        <f ca="1">J28*Chem!$C$75</f>
        <v>0</v>
      </c>
      <c r="K36" s="496">
        <f ca="1">K28*Chem!$C$75</f>
        <v>0</v>
      </c>
      <c r="L36" s="496">
        <f ca="1">L28*Chem!$C$75</f>
        <v>0</v>
      </c>
      <c r="M36" s="496">
        <f ca="1">M28*Chem!$C$75</f>
        <v>0</v>
      </c>
      <c r="N36" s="353"/>
    </row>
    <row r="37" spans="2:14" x14ac:dyDescent="0.25">
      <c r="B37" s="61" t="s">
        <v>1676</v>
      </c>
      <c r="C37" s="353"/>
      <c r="D37" s="353"/>
      <c r="E37" s="353"/>
      <c r="F37" s="353"/>
      <c r="G37" s="496">
        <f ca="1">G29*Chem!$C$81</f>
        <v>0</v>
      </c>
      <c r="H37" s="496">
        <f ca="1">H29*Chem!$C$81</f>
        <v>0</v>
      </c>
      <c r="I37" s="496">
        <f ca="1">I29*Chem!$C$81</f>
        <v>0</v>
      </c>
      <c r="J37" s="496">
        <f ca="1">J29*Chem!$C$81</f>
        <v>0</v>
      </c>
      <c r="K37" s="496">
        <f ca="1">K29*Chem!$C$81</f>
        <v>0</v>
      </c>
      <c r="L37" s="496">
        <f ca="1">L29*Chem!$C$81</f>
        <v>0</v>
      </c>
      <c r="M37" s="496">
        <f ca="1">M29*Chem!$C$81</f>
        <v>0</v>
      </c>
    </row>
    <row r="38" spans="2:14" x14ac:dyDescent="0.25">
      <c r="B38" s="61" t="s">
        <v>1677</v>
      </c>
      <c r="C38" s="353"/>
      <c r="D38" s="353"/>
      <c r="E38" s="353"/>
      <c r="F38" s="353"/>
      <c r="G38" s="496">
        <f ca="1">Chem!$C$86*Recycle!G30</f>
        <v>0</v>
      </c>
      <c r="H38" s="496">
        <f ca="1">Chem!$C$86*Recycle!H30</f>
        <v>0</v>
      </c>
      <c r="I38" s="496">
        <f ca="1">Chem!$C$86*Recycle!I30</f>
        <v>0</v>
      </c>
      <c r="J38" s="496">
        <f ca="1">Chem!$C$86*Recycle!J30</f>
        <v>0</v>
      </c>
      <c r="K38" s="496">
        <f ca="1">Chem!$C$86*Recycle!K30</f>
        <v>0</v>
      </c>
      <c r="L38" s="496">
        <f ca="1">Chem!$C$86*Recycle!L30</f>
        <v>0</v>
      </c>
      <c r="M38" s="496">
        <f ca="1">Chem!$C$86*Recycle!M30</f>
        <v>0</v>
      </c>
    </row>
    <row r="39" spans="2:14" x14ac:dyDescent="0.25">
      <c r="B39" s="61" t="s">
        <v>1678</v>
      </c>
      <c r="C39" s="353"/>
      <c r="D39" s="353"/>
      <c r="E39" s="353"/>
      <c r="F39" s="353"/>
      <c r="G39" s="496">
        <f ca="1">SUM(G33:G38)</f>
        <v>23.357964916958906</v>
      </c>
      <c r="H39" s="496">
        <f t="shared" ref="H39:M39" ca="1" si="0">SUM(H33:H38)</f>
        <v>23.357964916958906</v>
      </c>
      <c r="I39" s="496">
        <f t="shared" ca="1" si="0"/>
        <v>23.336451155586243</v>
      </c>
      <c r="J39" s="496">
        <f t="shared" ca="1" si="0"/>
        <v>23.31220414629178</v>
      </c>
      <c r="K39" s="496">
        <f t="shared" ca="1" si="0"/>
        <v>23.288782293442811</v>
      </c>
      <c r="L39" s="496">
        <f t="shared" ca="1" si="0"/>
        <v>23.273418893919033</v>
      </c>
      <c r="M39" s="496">
        <f t="shared" ca="1" si="0"/>
        <v>23.31832207980046</v>
      </c>
    </row>
    <row r="40" spans="2:14" x14ac:dyDescent="0.25">
      <c r="B40" s="61" t="s">
        <v>1679</v>
      </c>
      <c r="C40" s="353"/>
      <c r="D40" s="353"/>
      <c r="E40" s="353"/>
      <c r="F40" s="353"/>
      <c r="G40" s="496">
        <f t="shared" ref="G40:M40" ca="1" si="1">G39*G10/1000</f>
        <v>9.3431859667835635</v>
      </c>
      <c r="H40" s="496">
        <f t="shared" ca="1" si="1"/>
        <v>9.3431859667835635</v>
      </c>
      <c r="I40" s="496">
        <f t="shared" ca="1" si="1"/>
        <v>9.3345804622344968</v>
      </c>
      <c r="J40" s="496">
        <f t="shared" ca="1" si="1"/>
        <v>9.3248816585167109</v>
      </c>
      <c r="K40" s="496">
        <f t="shared" ca="1" si="1"/>
        <v>9.3155129173771236</v>
      </c>
      <c r="L40" s="496">
        <f t="shared" ca="1" si="1"/>
        <v>9.3093675575676134</v>
      </c>
      <c r="M40" s="496">
        <f t="shared" ca="1" si="1"/>
        <v>9.3273288319201839</v>
      </c>
    </row>
    <row r="41" spans="2:14" x14ac:dyDescent="0.25">
      <c r="B41" s="61" t="s">
        <v>1680</v>
      </c>
      <c r="C41" s="353"/>
      <c r="D41" s="353"/>
      <c r="E41" s="353"/>
      <c r="F41" s="353"/>
      <c r="G41" s="496">
        <f t="shared" ref="G41:M41" ca="1" si="2">G40/G9</f>
        <v>9.3431859667835668E-2</v>
      </c>
      <c r="H41" s="496">
        <f t="shared" ca="1" si="2"/>
        <v>9.3431859667835668E-2</v>
      </c>
      <c r="I41" s="496">
        <f t="shared" ca="1" si="2"/>
        <v>9.3345804622345013E-2</v>
      </c>
      <c r="J41" s="496">
        <f t="shared" ca="1" si="2"/>
        <v>9.3248816585167149E-2</v>
      </c>
      <c r="K41" s="496">
        <f t="shared" ca="1" si="2"/>
        <v>9.3155129173771278E-2</v>
      </c>
      <c r="L41" s="496">
        <f t="shared" ca="1" si="2"/>
        <v>9.3093675575676174E-2</v>
      </c>
      <c r="M41" s="496">
        <f t="shared" ca="1" si="2"/>
        <v>9.3273288319201383E-2</v>
      </c>
    </row>
    <row r="42" spans="2:14" ht="15.5" x14ac:dyDescent="0.35">
      <c r="B42" s="353"/>
      <c r="C42" s="353"/>
      <c r="D42" s="353"/>
      <c r="E42" s="353"/>
      <c r="F42" s="353"/>
      <c r="G42" s="443"/>
      <c r="H42" s="443"/>
      <c r="I42" s="443"/>
      <c r="J42" s="443"/>
      <c r="K42" s="443"/>
      <c r="L42" s="443"/>
      <c r="M42" s="443"/>
    </row>
    <row r="43" spans="2:14" ht="15.5" x14ac:dyDescent="0.35">
      <c r="B43" s="664" t="str">
        <f>D43 &amp;" Balance"</f>
        <v>Ni Balance</v>
      </c>
      <c r="C43" s="353"/>
      <c r="D43" s="726" t="str">
        <f>C15</f>
        <v>Ni</v>
      </c>
      <c r="E43" s="353"/>
      <c r="F43" s="353"/>
      <c r="G43" s="443"/>
      <c r="H43" s="443"/>
      <c r="I43" s="443"/>
      <c r="J43" s="443"/>
      <c r="K43" s="443"/>
      <c r="L43" s="443"/>
      <c r="M43" s="443"/>
    </row>
    <row r="44" spans="2:14" x14ac:dyDescent="0.25">
      <c r="B44" s="61" t="str">
        <f>D43 &amp; " mass in positive electrode, g/cell"</f>
        <v>Ni mass in positive electrode, g/cell</v>
      </c>
      <c r="C44" s="353"/>
      <c r="D44" s="353"/>
      <c r="E44" s="353"/>
      <c r="F44" s="353"/>
      <c r="G44" s="496" cm="1">
        <f t="array" aca="1" ref="G44" ca="1">OFFSET(Lists!$M$117,$C$16, G$17+1)*G$24/INDEX(Lists!$O$68:$AG$68, G$17)*INDEX(Lists!$N$117:$N$135,$C$16+1 )</f>
        <v>154.0854418830281</v>
      </c>
      <c r="H44" s="496" cm="1">
        <f t="array" aca="1" ref="H44" ca="1">OFFSET(Lists!$M$117,$C$16, H$17+1)*H$24/INDEX(Lists!$O$68:$AG$68, H$17)*INDEX(Lists!$N$117:$N$135,$C$16+1 )</f>
        <v>154.0854418830281</v>
      </c>
      <c r="I44" s="496" cm="1">
        <f t="array" aca="1" ref="I44" ca="1">OFFSET(Lists!$M$117,$C$16, I$17+1)*I$24/INDEX(Lists!$O$68:$AG$68, I$17)*INDEX(Lists!$N$117:$N$135,$C$16+1 )</f>
        <v>153.90164068842523</v>
      </c>
      <c r="J44" s="496" cm="1">
        <f t="array" aca="1" ref="J44" ca="1">OFFSET(Lists!$M$117,$C$16, J$17+1)*J$24/INDEX(Lists!$O$68:$AG$68, J$17)*INDEX(Lists!$N$117:$N$135,$C$16+1 )</f>
        <v>153.67547581623464</v>
      </c>
      <c r="K44" s="496" cm="1">
        <f t="array" aca="1" ref="K44" ca="1">OFFSET(Lists!$M$117,$C$16, K$17+1)*K$24/INDEX(Lists!$O$68:$AG$68, K$17)*INDEX(Lists!$N$117:$N$135,$C$16+1 )</f>
        <v>153.4141408603225</v>
      </c>
      <c r="L44" s="496" cm="1">
        <f t="array" aca="1" ref="L44" ca="1">OFFSET(Lists!$M$117,$C$16, L$17+1)*L$24/INDEX(Lists!$O$68:$AG$68, L$17)*INDEX(Lists!$N$117:$N$135,$C$16+1 )</f>
        <v>153.10123995892229</v>
      </c>
      <c r="M44" s="496" cm="1">
        <f t="array" aca="1" ref="M44" ca="1">OFFSET(Lists!$M$117,$C$16, M$17+1)*M$24/INDEX(Lists!$O$68:$AG$68, M$17)*INDEX(Lists!$N$117:$N$135,$C$16+1 )</f>
        <v>152.6886187349148</v>
      </c>
    </row>
    <row r="45" spans="2:14" x14ac:dyDescent="0.25">
      <c r="B45" s="61" t="str">
        <f>D43 &amp; " mass in negative electrode, g/cell"</f>
        <v>Ni mass in negative electrode, g/cell</v>
      </c>
      <c r="C45" s="353"/>
      <c r="D45" s="353"/>
      <c r="E45" s="353"/>
      <c r="F45" s="353"/>
      <c r="G45" s="496" cm="1">
        <f t="array" aca="1" ref="G45" ca="1">OFFSET(Lists!$M$117,$C$16, G$18+1)*G$25/INDEX(Lists!$O$68:$AG$68, G$18)*INDEX(Lists!$N$117:$N$135,$C$16+1 )</f>
        <v>0</v>
      </c>
      <c r="H45" s="496" cm="1">
        <f t="array" aca="1" ref="H45" ca="1">OFFSET(Lists!$M$117,$C$16, H$18+1)*H$25/INDEX(Lists!$O$68:$AG$68, H$18)*INDEX(Lists!$N$117:$N$135,$C$16+1 )</f>
        <v>0</v>
      </c>
      <c r="I45" s="496" cm="1">
        <f t="array" aca="1" ref="I45" ca="1">OFFSET(Lists!$M$117,$C$16, I$18+1)*I$25/INDEX(Lists!$O$68:$AG$68, I$18)*INDEX(Lists!$N$117:$N$135,$C$16+1 )</f>
        <v>0</v>
      </c>
      <c r="J45" s="496" cm="1">
        <f t="array" aca="1" ref="J45" ca="1">OFFSET(Lists!$M$117,$C$16, J$18+1)*J$25/INDEX(Lists!$O$68:$AG$68, J$18)*INDEX(Lists!$N$117:$N$135,$C$16+1 )</f>
        <v>0</v>
      </c>
      <c r="K45" s="496" cm="1">
        <f t="array" aca="1" ref="K45" ca="1">OFFSET(Lists!$M$117,$C$16, K$18+1)*K$25/INDEX(Lists!$O$68:$AG$68, K$18)*INDEX(Lists!$N$117:$N$135,$C$16+1 )</f>
        <v>0</v>
      </c>
      <c r="L45" s="496" cm="1">
        <f t="array" aca="1" ref="L45" ca="1">OFFSET(Lists!$M$117,$C$16, L$18+1)*L$25/INDEX(Lists!$O$68:$AG$68, L$18)*INDEX(Lists!$N$117:$N$135,$C$16+1 )</f>
        <v>0</v>
      </c>
      <c r="M45" s="496" cm="1">
        <f t="array" aca="1" ref="M45" ca="1">OFFSET(Lists!$M$117,$C$16, M$18+1)*M$25/INDEX(Lists!$O$68:$AG$68, M$18)*INDEX(Lists!$N$117:$N$135,$C$16+1 )</f>
        <v>0</v>
      </c>
    </row>
    <row r="46" spans="2:14" x14ac:dyDescent="0.25">
      <c r="B46" s="61" t="str">
        <f xml:space="preserve"> D43 &amp; " mass, g/cell"</f>
        <v>Ni mass, g/cell</v>
      </c>
      <c r="C46" s="353"/>
      <c r="D46" s="353"/>
      <c r="E46" s="353"/>
      <c r="F46" s="353"/>
      <c r="G46" s="496">
        <f ca="1">SUM(G44:G45)</f>
        <v>154.0854418830281</v>
      </c>
      <c r="H46" s="496">
        <f t="shared" ref="H46:M46" ca="1" si="3">SUM(H44:H45)</f>
        <v>154.0854418830281</v>
      </c>
      <c r="I46" s="496">
        <f t="shared" ca="1" si="3"/>
        <v>153.90164068842523</v>
      </c>
      <c r="J46" s="496">
        <f t="shared" ca="1" si="3"/>
        <v>153.67547581623464</v>
      </c>
      <c r="K46" s="496">
        <f t="shared" ca="1" si="3"/>
        <v>153.4141408603225</v>
      </c>
      <c r="L46" s="496">
        <f t="shared" ca="1" si="3"/>
        <v>153.10123995892229</v>
      </c>
      <c r="M46" s="496">
        <f t="shared" ca="1" si="3"/>
        <v>152.6886187349148</v>
      </c>
    </row>
    <row r="47" spans="2:14" x14ac:dyDescent="0.25">
      <c r="B47" s="61" t="str">
        <f xml:space="preserve"> D43 &amp; " mass, kg/pack"</f>
        <v>Ni mass, kg/pack</v>
      </c>
      <c r="C47" s="353"/>
      <c r="D47" s="353"/>
      <c r="E47" s="353"/>
      <c r="F47" s="353"/>
      <c r="G47" s="496">
        <f ca="1">G46*G$10/1000</f>
        <v>61.634176753211236</v>
      </c>
      <c r="H47" s="496">
        <f t="shared" ref="H47:M47" ca="1" si="4">H46*H$10/1000</f>
        <v>61.634176753211236</v>
      </c>
      <c r="I47" s="496">
        <f t="shared" ca="1" si="4"/>
        <v>61.560656275370093</v>
      </c>
      <c r="J47" s="496">
        <f t="shared" ca="1" si="4"/>
        <v>61.470190326493849</v>
      </c>
      <c r="K47" s="496">
        <f t="shared" ca="1" si="4"/>
        <v>61.365656344129007</v>
      </c>
      <c r="L47" s="496">
        <f t="shared" ca="1" si="4"/>
        <v>61.240495983568913</v>
      </c>
      <c r="M47" s="496">
        <f t="shared" ca="1" si="4"/>
        <v>61.075447493965918</v>
      </c>
    </row>
    <row r="48" spans="2:14" x14ac:dyDescent="0.25">
      <c r="B48" s="353" t="str">
        <f xml:space="preserve"> D43 &amp; " mass, kg/kWh"</f>
        <v>Ni mass, kg/kWh</v>
      </c>
      <c r="C48" s="353"/>
      <c r="D48" s="353"/>
      <c r="E48" s="353"/>
      <c r="F48" s="353"/>
      <c r="G48" s="496">
        <f ca="1">G47/G$9</f>
        <v>0.61634176753211256</v>
      </c>
      <c r="H48" s="496">
        <f t="shared" ref="H48:M48" ca="1" si="5">H47/H$9</f>
        <v>0.61634176753211256</v>
      </c>
      <c r="I48" s="496">
        <f t="shared" ca="1" si="5"/>
        <v>0.61560656275370118</v>
      </c>
      <c r="J48" s="496">
        <f t="shared" ca="1" si="5"/>
        <v>0.61470190326493879</v>
      </c>
      <c r="K48" s="496">
        <f t="shared" ca="1" si="5"/>
        <v>0.61365656344129038</v>
      </c>
      <c r="L48" s="496">
        <f t="shared" ca="1" si="5"/>
        <v>0.61240495983568943</v>
      </c>
      <c r="M48" s="496">
        <f t="shared" ca="1" si="5"/>
        <v>0.61075447493965618</v>
      </c>
    </row>
    <row r="49" spans="2:13" ht="15.5" x14ac:dyDescent="0.35">
      <c r="B49" s="353"/>
      <c r="C49" s="353"/>
      <c r="D49" s="353"/>
      <c r="E49" s="353"/>
      <c r="F49" s="353"/>
      <c r="G49" s="443"/>
      <c r="H49" s="443"/>
      <c r="I49" s="443"/>
      <c r="J49" s="443"/>
      <c r="K49" s="443"/>
      <c r="L49" s="443"/>
      <c r="M49" s="443"/>
    </row>
    <row r="50" spans="2:13" ht="15.5" x14ac:dyDescent="0.35">
      <c r="B50" s="664" t="str">
        <f>D50 &amp;" Balance"</f>
        <v>Co Balance</v>
      </c>
      <c r="C50" s="353"/>
      <c r="D50" s="726" t="str">
        <f>D15</f>
        <v>Co</v>
      </c>
      <c r="E50" s="353"/>
      <c r="F50" s="353"/>
      <c r="G50" s="443"/>
      <c r="H50" s="443"/>
      <c r="I50" s="443"/>
      <c r="J50" s="443"/>
      <c r="K50" s="443"/>
      <c r="L50" s="443"/>
      <c r="M50" s="443"/>
    </row>
    <row r="51" spans="2:13" x14ac:dyDescent="0.25">
      <c r="B51" s="61" t="str">
        <f>D50 &amp; " mass in positive electrode, g/cell"</f>
        <v>Co mass in positive electrode, g/cell</v>
      </c>
      <c r="C51" s="353"/>
      <c r="D51" s="353"/>
      <c r="E51" s="353"/>
      <c r="F51" s="353"/>
      <c r="G51" s="496" cm="1">
        <f t="array" aca="1" ref="G51" ca="1">OFFSET(Lists!$M$117,$D$16, G$17+1)*G$24/INDEX(Lists!$O$68:$AG$68, G$17)*INDEX(Lists!$N$117:$N$135,$D$16+1 )</f>
        <v>19.332854475742732</v>
      </c>
      <c r="H51" s="496" cm="1">
        <f t="array" aca="1" ref="H51" ca="1">OFFSET(Lists!$M$117,$D$16, H$17+1)*H$24/INDEX(Lists!$O$68:$AG$68, H$17)*INDEX(Lists!$N$117:$N$135,$D$16+1 )</f>
        <v>19.332854475742732</v>
      </c>
      <c r="I51" s="496" cm="1">
        <f t="array" aca="1" ref="I51" ca="1">OFFSET(Lists!$M$117,$D$16, I$17+1)*I$24/INDEX(Lists!$O$68:$AG$68, I$17)*INDEX(Lists!$N$117:$N$135,$D$16+1 )</f>
        <v>19.309793233198985</v>
      </c>
      <c r="J51" s="496" cm="1">
        <f t="array" aca="1" ref="J51" ca="1">OFFSET(Lists!$M$117,$D$16, J$17+1)*J$24/INDEX(Lists!$O$68:$AG$68, J$17)*INDEX(Lists!$N$117:$N$135,$D$16+1 )</f>
        <v>19.281416687639897</v>
      </c>
      <c r="K51" s="496" cm="1">
        <f t="array" aca="1" ref="K51" ca="1">OFFSET(Lists!$M$117,$D$16, K$17+1)*K$24/INDEX(Lists!$O$68:$AG$68, K$17)*INDEX(Lists!$N$117:$N$135,$D$16+1 )</f>
        <v>19.248627407807028</v>
      </c>
      <c r="L51" s="496" cm="1">
        <f t="array" aca="1" ref="L51" ca="1">OFFSET(Lists!$M$117,$D$16, L$17+1)*L$24/INDEX(Lists!$O$68:$AG$68, L$17)*INDEX(Lists!$N$117:$N$135,$D$16+1 )</f>
        <v>19.209368231092</v>
      </c>
      <c r="M51" s="496" cm="1">
        <f t="array" aca="1" ref="M51" ca="1">OFFSET(Lists!$M$117,$D$16, M$17+1)*M$24/INDEX(Lists!$O$68:$AG$68, M$17)*INDEX(Lists!$N$117:$N$135,$D$16+1 )</f>
        <v>19.157597304651102</v>
      </c>
    </row>
    <row r="52" spans="2:13" x14ac:dyDescent="0.25">
      <c r="B52" s="61" t="str">
        <f>D50 &amp; " mass in negative electrode, g/cell"</f>
        <v>Co mass in negative electrode, g/cell</v>
      </c>
      <c r="C52" s="353"/>
      <c r="D52" s="353"/>
      <c r="E52" s="353"/>
      <c r="F52" s="353"/>
      <c r="G52" s="496" cm="1">
        <f t="array" aca="1" ref="G52" ca="1">OFFSET(Lists!$M$117,$D$16, G$18+1)*G$25/INDEX(Lists!$O$68:$AG$68, G$18)*INDEX(Lists!$N$117:$N$135,$D$16+1 )</f>
        <v>0</v>
      </c>
      <c r="H52" s="496" cm="1">
        <f t="array" aca="1" ref="H52" ca="1">OFFSET(Lists!$M$117,$D$16, H$18+1)*H$25/INDEX(Lists!$O$68:$AG$68, H$18)*INDEX(Lists!$N$117:$N$135,$D$16+1 )</f>
        <v>0</v>
      </c>
      <c r="I52" s="496" cm="1">
        <f t="array" aca="1" ref="I52" ca="1">OFFSET(Lists!$M$117,$D$16, I$18+1)*I$25/INDEX(Lists!$O$68:$AG$68, I$18)*INDEX(Lists!$N$117:$N$135,$D$16+1 )</f>
        <v>0</v>
      </c>
      <c r="J52" s="496" cm="1">
        <f t="array" aca="1" ref="J52" ca="1">OFFSET(Lists!$M$117,$D$16, J$18+1)*J$25/INDEX(Lists!$O$68:$AG$68, J$18)*INDEX(Lists!$N$117:$N$135,$D$16+1 )</f>
        <v>0</v>
      </c>
      <c r="K52" s="496" cm="1">
        <f t="array" aca="1" ref="K52" ca="1">OFFSET(Lists!$M$117,$D$16, K$18+1)*K$25/INDEX(Lists!$O$68:$AG$68, K$18)*INDEX(Lists!$N$117:$N$135,$D$16+1 )</f>
        <v>0</v>
      </c>
      <c r="L52" s="496" cm="1">
        <f t="array" aca="1" ref="L52" ca="1">OFFSET(Lists!$M$117,$D$16, L$18+1)*L$25/INDEX(Lists!$O$68:$AG$68, L$18)*INDEX(Lists!$N$117:$N$135,$D$16+1 )</f>
        <v>0</v>
      </c>
      <c r="M52" s="496" cm="1">
        <f t="array" aca="1" ref="M52" ca="1">OFFSET(Lists!$M$117,$D$16, M$18+1)*M$25/INDEX(Lists!$O$68:$AG$68, M$18)*INDEX(Lists!$N$117:$N$135,$D$16+1 )</f>
        <v>0</v>
      </c>
    </row>
    <row r="53" spans="2:13" x14ac:dyDescent="0.25">
      <c r="B53" s="61" t="str">
        <f xml:space="preserve"> D50 &amp; " mass, g/cell"</f>
        <v>Co mass, g/cell</v>
      </c>
      <c r="C53" s="353"/>
      <c r="D53" s="353"/>
      <c r="E53" s="353"/>
      <c r="F53" s="353"/>
      <c r="G53" s="496">
        <f ca="1">SUM(G51:G52)</f>
        <v>19.332854475742732</v>
      </c>
      <c r="H53" s="496">
        <f t="shared" ref="H53:M53" ca="1" si="6">SUM(H51:H52)</f>
        <v>19.332854475742732</v>
      </c>
      <c r="I53" s="496">
        <f t="shared" ca="1" si="6"/>
        <v>19.309793233198985</v>
      </c>
      <c r="J53" s="496">
        <f t="shared" ca="1" si="6"/>
        <v>19.281416687639897</v>
      </c>
      <c r="K53" s="496">
        <f t="shared" ca="1" si="6"/>
        <v>19.248627407807028</v>
      </c>
      <c r="L53" s="496">
        <f t="shared" ca="1" si="6"/>
        <v>19.209368231092</v>
      </c>
      <c r="M53" s="496">
        <f t="shared" ca="1" si="6"/>
        <v>19.157597304651102</v>
      </c>
    </row>
    <row r="54" spans="2:13" x14ac:dyDescent="0.25">
      <c r="B54" s="61" t="str">
        <f xml:space="preserve"> D50 &amp; " mass, kg/pack"</f>
        <v>Co mass, kg/pack</v>
      </c>
      <c r="C54" s="353"/>
      <c r="D54" s="353"/>
      <c r="E54" s="353"/>
      <c r="F54" s="353"/>
      <c r="G54" s="496">
        <f t="shared" ref="G54:M54" ca="1" si="7">G53*G$10/1000</f>
        <v>7.7331417902970925</v>
      </c>
      <c r="H54" s="496">
        <f t="shared" ca="1" si="7"/>
        <v>7.7331417902970925</v>
      </c>
      <c r="I54" s="496">
        <f t="shared" ca="1" si="7"/>
        <v>7.7239172932795936</v>
      </c>
      <c r="J54" s="496">
        <f t="shared" ca="1" si="7"/>
        <v>7.7125666750559585</v>
      </c>
      <c r="K54" s="496">
        <f t="shared" ca="1" si="7"/>
        <v>7.6994509631228114</v>
      </c>
      <c r="L54" s="496">
        <f t="shared" ca="1" si="7"/>
        <v>7.6837472924368004</v>
      </c>
      <c r="M54" s="496">
        <f t="shared" ca="1" si="7"/>
        <v>7.6630389218604407</v>
      </c>
    </row>
    <row r="55" spans="2:13" x14ac:dyDescent="0.25">
      <c r="B55" s="353" t="str">
        <f xml:space="preserve"> D50 &amp; " mass, kg/kWh"</f>
        <v>Co mass, kg/kWh</v>
      </c>
      <c r="C55" s="353"/>
      <c r="D55" s="353"/>
      <c r="E55" s="353"/>
      <c r="F55" s="353"/>
      <c r="G55" s="496">
        <f t="shared" ref="G55:M55" ca="1" si="8">G54/G$9</f>
        <v>7.7331417902970948E-2</v>
      </c>
      <c r="H55" s="496">
        <f t="shared" ca="1" si="8"/>
        <v>7.7331417902970948E-2</v>
      </c>
      <c r="I55" s="496">
        <f t="shared" ca="1" si="8"/>
        <v>7.7239172932795974E-2</v>
      </c>
      <c r="J55" s="496">
        <f t="shared" ca="1" si="8"/>
        <v>7.7125666750559624E-2</v>
      </c>
      <c r="K55" s="496">
        <f t="shared" ca="1" si="8"/>
        <v>7.6994509631228142E-2</v>
      </c>
      <c r="L55" s="496">
        <f t="shared" ca="1" si="8"/>
        <v>7.683747292436803E-2</v>
      </c>
      <c r="M55" s="496">
        <f t="shared" ca="1" si="8"/>
        <v>7.6630389218604031E-2</v>
      </c>
    </row>
    <row r="56" spans="2:13" x14ac:dyDescent="0.25">
      <c r="B56" s="353"/>
      <c r="C56" s="353"/>
      <c r="D56" s="353"/>
      <c r="E56" s="353"/>
      <c r="F56" s="353"/>
      <c r="G56" s="496"/>
      <c r="H56" s="496"/>
      <c r="I56" s="496"/>
      <c r="J56" s="496"/>
      <c r="K56" s="496"/>
      <c r="L56" s="496"/>
      <c r="M56" s="496"/>
    </row>
    <row r="57" spans="2:13" ht="15.5" x14ac:dyDescent="0.35">
      <c r="B57" s="664" t="str">
        <f>D57 &amp;" Balance"</f>
        <v>Mn Balance</v>
      </c>
      <c r="C57" s="353"/>
      <c r="D57" s="726" t="str">
        <f>E15</f>
        <v>Mn</v>
      </c>
      <c r="E57" s="353"/>
      <c r="F57" s="353"/>
      <c r="G57" s="443"/>
      <c r="H57" s="443"/>
      <c r="I57" s="443"/>
      <c r="J57" s="443"/>
      <c r="K57" s="443"/>
      <c r="L57" s="443"/>
      <c r="M57" s="443"/>
    </row>
    <row r="58" spans="2:13" x14ac:dyDescent="0.25">
      <c r="B58" s="61" t="str">
        <f>D57 &amp; " mass in positive electrode, g/cell"</f>
        <v>Mn mass in positive electrode, g/cell</v>
      </c>
      <c r="C58" s="353"/>
      <c r="D58" s="353"/>
      <c r="E58" s="353"/>
      <c r="F58" s="353"/>
      <c r="G58" s="496" cm="1">
        <f t="array" aca="1" ref="G58" ca="1">OFFSET(Lists!$M$117,$E$16, G$17+1)*G$24/INDEX(Lists!$O$68:$AG$68, G$17)*INDEX(Lists!$N$117:$N$135,$E$16+1 )</f>
        <v>18.023876207318949</v>
      </c>
      <c r="H58" s="496" cm="1">
        <f t="array" aca="1" ref="H58" ca="1">OFFSET(Lists!$M$117,$E$16, H$17+1)*H$24/INDEX(Lists!$O$68:$AG$68, H$17)*INDEX(Lists!$N$117:$N$135,$E$16+1 )</f>
        <v>18.023876207318949</v>
      </c>
      <c r="I58" s="496" cm="1">
        <f t="array" aca="1" ref="I58" ca="1">OFFSET(Lists!$M$117,$E$16, I$17+1)*I$24/INDEX(Lists!$O$68:$AG$68, I$17)*INDEX(Lists!$N$117:$N$135,$E$16+1 )</f>
        <v>18.002376382690514</v>
      </c>
      <c r="J58" s="496" cm="1">
        <f t="array" aca="1" ref="J58" ca="1">OFFSET(Lists!$M$117,$E$16, J$17+1)*J$24/INDEX(Lists!$O$68:$AG$68, J$17)*INDEX(Lists!$N$117:$N$135,$E$16+1 )</f>
        <v>17.97592114065732</v>
      </c>
      <c r="K58" s="496" cm="1">
        <f t="array" aca="1" ref="K58" ca="1">OFFSET(Lists!$M$117,$E$16, K$17+1)*K$24/INDEX(Lists!$O$68:$AG$68, K$17)*INDEX(Lists!$N$117:$N$135,$E$16+1 )</f>
        <v>17.945351939333413</v>
      </c>
      <c r="L58" s="496" cm="1">
        <f t="array" aca="1" ref="L58" ca="1">OFFSET(Lists!$M$117,$E$16, L$17+1)*L$24/INDEX(Lists!$O$68:$AG$68, L$17)*INDEX(Lists!$N$117:$N$135,$E$16+1 )</f>
        <v>17.908750901343875</v>
      </c>
      <c r="M58" s="496" cm="1">
        <f t="array" aca="1" ref="M58" ca="1">OFFSET(Lists!$M$117,$E$16, M$17+1)*M$24/INDEX(Lists!$O$68:$AG$68, M$17)*INDEX(Lists!$N$117:$N$135,$E$16+1 )</f>
        <v>17.860485252291387</v>
      </c>
    </row>
    <row r="59" spans="2:13" x14ac:dyDescent="0.25">
      <c r="B59" s="61" t="str">
        <f>D57 &amp; " mass in negative electrode, g/cell"</f>
        <v>Mn mass in negative electrode, g/cell</v>
      </c>
      <c r="C59" s="353"/>
      <c r="D59" s="353"/>
      <c r="E59" s="353"/>
      <c r="F59" s="353"/>
      <c r="G59" s="496" cm="1">
        <f t="array" aca="1" ref="G59" ca="1">OFFSET(Lists!$M$117,$E$16, G$18+1)*G$25/INDEX(Lists!$O$68:$AG$68, G$18)*INDEX(Lists!$N$117:$N$135,$E$16+1 )</f>
        <v>0</v>
      </c>
      <c r="H59" s="496" cm="1">
        <f t="array" aca="1" ref="H59" ca="1">OFFSET(Lists!$M$117,$E$16, H$18+1)*H$25/INDEX(Lists!$O$68:$AG$68, H$18)*INDEX(Lists!$N$117:$N$135,$E$16+1 )</f>
        <v>0</v>
      </c>
      <c r="I59" s="496" cm="1">
        <f t="array" aca="1" ref="I59" ca="1">OFFSET(Lists!$M$117,$E$16, I$18+1)*I$25/INDEX(Lists!$O$68:$AG$68, I$18)*INDEX(Lists!$N$117:$N$135,$E$16+1 )</f>
        <v>0</v>
      </c>
      <c r="J59" s="496" cm="1">
        <f t="array" aca="1" ref="J59" ca="1">OFFSET(Lists!$M$117,$E$16, J$18+1)*J$25/INDEX(Lists!$O$68:$AG$68, J$18)*INDEX(Lists!$N$117:$N$135,$E$16+1 )</f>
        <v>0</v>
      </c>
      <c r="K59" s="496" cm="1">
        <f t="array" aca="1" ref="K59" ca="1">OFFSET(Lists!$M$117,$E$16, K$18+1)*K$25/INDEX(Lists!$O$68:$AG$68, K$18)*INDEX(Lists!$N$117:$N$135,$E$16+1 )</f>
        <v>0</v>
      </c>
      <c r="L59" s="496" cm="1">
        <f t="array" aca="1" ref="L59" ca="1">OFFSET(Lists!$M$117,$E$16, L$18+1)*L$25/INDEX(Lists!$O$68:$AG$68, L$18)*INDEX(Lists!$N$117:$N$135,$E$16+1 )</f>
        <v>0</v>
      </c>
      <c r="M59" s="496" cm="1">
        <f t="array" aca="1" ref="M59" ca="1">OFFSET(Lists!$M$117,$E$16, M$18+1)*M$25/INDEX(Lists!$O$68:$AG$68, M$18)*INDEX(Lists!$N$117:$N$135,$E$16+1 )</f>
        <v>0</v>
      </c>
    </row>
    <row r="60" spans="2:13" x14ac:dyDescent="0.25">
      <c r="B60" s="61" t="str">
        <f xml:space="preserve"> D57 &amp; " mass, g/cell"</f>
        <v>Mn mass, g/cell</v>
      </c>
      <c r="C60" s="353"/>
      <c r="D60" s="353"/>
      <c r="E60" s="353"/>
      <c r="F60" s="353"/>
      <c r="G60" s="496">
        <f t="shared" ref="G60:M60" ca="1" si="9">SUM(G58:G59)</f>
        <v>18.023876207318949</v>
      </c>
      <c r="H60" s="496">
        <f t="shared" ca="1" si="9"/>
        <v>18.023876207318949</v>
      </c>
      <c r="I60" s="496">
        <f t="shared" ca="1" si="9"/>
        <v>18.002376382690514</v>
      </c>
      <c r="J60" s="496">
        <f t="shared" ca="1" si="9"/>
        <v>17.97592114065732</v>
      </c>
      <c r="K60" s="496">
        <f t="shared" ca="1" si="9"/>
        <v>17.945351939333413</v>
      </c>
      <c r="L60" s="496">
        <f t="shared" ca="1" si="9"/>
        <v>17.908750901343875</v>
      </c>
      <c r="M60" s="496">
        <f t="shared" ca="1" si="9"/>
        <v>17.860485252291387</v>
      </c>
    </row>
    <row r="61" spans="2:13" x14ac:dyDescent="0.25">
      <c r="B61" s="61" t="str">
        <f xml:space="preserve"> D57 &amp; " mass, kg/pack"</f>
        <v>Mn mass, kg/pack</v>
      </c>
      <c r="C61" s="353"/>
      <c r="D61" s="353"/>
      <c r="E61" s="353"/>
      <c r="F61" s="353"/>
      <c r="G61" s="496">
        <f t="shared" ref="G61:M61" ca="1" si="10">G60*G$10/1000</f>
        <v>7.2095504829275798</v>
      </c>
      <c r="H61" s="496">
        <f t="shared" ca="1" si="10"/>
        <v>7.2095504829275798</v>
      </c>
      <c r="I61" s="496">
        <f t="shared" ca="1" si="10"/>
        <v>7.200950553076205</v>
      </c>
      <c r="J61" s="496">
        <f t="shared" ca="1" si="10"/>
        <v>7.1903684562629282</v>
      </c>
      <c r="K61" s="496">
        <f t="shared" ca="1" si="10"/>
        <v>7.1781407757333655</v>
      </c>
      <c r="L61" s="496">
        <f t="shared" ca="1" si="10"/>
        <v>7.1635003605375509</v>
      </c>
      <c r="M61" s="496">
        <f t="shared" ca="1" si="10"/>
        <v>7.1441941009165548</v>
      </c>
    </row>
    <row r="62" spans="2:13" x14ac:dyDescent="0.25">
      <c r="B62" s="353" t="str">
        <f xml:space="preserve"> D57 &amp; " mass, kg/kWh"</f>
        <v>Mn mass, kg/kWh</v>
      </c>
      <c r="C62" s="353"/>
      <c r="D62" s="353"/>
      <c r="E62" s="353"/>
      <c r="F62" s="353"/>
      <c r="G62" s="496">
        <f t="shared" ref="G62:M62" ca="1" si="11">G61/G$9</f>
        <v>7.2095504829275819E-2</v>
      </c>
      <c r="H62" s="496">
        <f t="shared" ca="1" si="11"/>
        <v>7.2095504829275819E-2</v>
      </c>
      <c r="I62" s="496">
        <f t="shared" ca="1" si="11"/>
        <v>7.2009505530762075E-2</v>
      </c>
      <c r="J62" s="496">
        <f t="shared" ca="1" si="11"/>
        <v>7.1903684562629314E-2</v>
      </c>
      <c r="K62" s="496">
        <f t="shared" ca="1" si="11"/>
        <v>7.1781407757333687E-2</v>
      </c>
      <c r="L62" s="496">
        <f t="shared" ca="1" si="11"/>
        <v>7.1635003605375544E-2</v>
      </c>
      <c r="M62" s="496">
        <f t="shared" ca="1" si="11"/>
        <v>7.1441941009165205E-2</v>
      </c>
    </row>
    <row r="63" spans="2:13" x14ac:dyDescent="0.25">
      <c r="B63" s="353"/>
      <c r="C63" s="353"/>
      <c r="D63" s="353"/>
      <c r="E63" s="353"/>
      <c r="F63" s="353"/>
      <c r="G63" s="496"/>
      <c r="H63" s="496"/>
      <c r="I63" s="496"/>
      <c r="J63" s="496"/>
      <c r="K63" s="496"/>
      <c r="L63" s="496"/>
      <c r="M63" s="496"/>
    </row>
    <row r="64" spans="2:13" ht="15.5" x14ac:dyDescent="0.35">
      <c r="B64" s="664" t="str">
        <f>D64 &amp;" Balance"</f>
        <v>P Balance</v>
      </c>
      <c r="C64" s="353"/>
      <c r="D64" s="726" t="str">
        <f>F15</f>
        <v>P</v>
      </c>
      <c r="E64" s="353"/>
      <c r="F64" s="353"/>
      <c r="G64" s="443"/>
      <c r="H64" s="443"/>
      <c r="I64" s="443"/>
      <c r="J64" s="443"/>
      <c r="K64" s="443"/>
      <c r="L64" s="443"/>
      <c r="M64" s="443"/>
    </row>
    <row r="65" spans="1:21" x14ac:dyDescent="0.25">
      <c r="B65" s="61" t="str">
        <f>D64 &amp; " mass in positive electrode, g/cell"</f>
        <v>P mass in positive electrode, g/cell</v>
      </c>
      <c r="C65" s="353"/>
      <c r="D65" s="353"/>
      <c r="E65" s="353"/>
      <c r="F65" s="353"/>
      <c r="G65" s="496" cm="1">
        <f t="array" aca="1" ref="G65" ca="1">OFFSET(Lists!$M$117,$F$16, G$17+1)*G$24/INDEX(Lists!$O$68:$AG$68, G$17)*INDEX(Lists!$N$117:$N$135,$F$16+1 )</f>
        <v>0</v>
      </c>
      <c r="H65" s="496" cm="1">
        <f t="array" aca="1" ref="H65" ca="1">OFFSET(Lists!$M$117,$F$16, H$17+1)*H$24/INDEX(Lists!$O$68:$AG$68, H$17)*INDEX(Lists!$N$117:$N$135,$F$16+1 )</f>
        <v>0</v>
      </c>
      <c r="I65" s="496" cm="1">
        <f t="array" aca="1" ref="I65" ca="1">OFFSET(Lists!$M$117,$F$16, I$17+1)*I$24/INDEX(Lists!$O$68:$AG$68, I$17)*INDEX(Lists!$N$117:$N$135,$F$16+1 )</f>
        <v>0</v>
      </c>
      <c r="J65" s="496" cm="1">
        <f t="array" aca="1" ref="J65" ca="1">OFFSET(Lists!$M$117,$F$16, J$17+1)*J$24/INDEX(Lists!$O$68:$AG$68, J$17)*INDEX(Lists!$N$117:$N$135,$F$16+1 )</f>
        <v>0</v>
      </c>
      <c r="K65" s="496" cm="1">
        <f t="array" aca="1" ref="K65" ca="1">OFFSET(Lists!$M$117,$F$16, K$17+1)*K$24/INDEX(Lists!$O$68:$AG$68, K$17)*INDEX(Lists!$N$117:$N$135,$F$16+1 )</f>
        <v>0</v>
      </c>
      <c r="L65" s="496" cm="1">
        <f t="array" aca="1" ref="L65" ca="1">OFFSET(Lists!$M$117,$F$16, L$17+1)*L$24/INDEX(Lists!$O$68:$AG$68, L$17)*INDEX(Lists!$N$117:$N$135,$F$16+1 )</f>
        <v>0</v>
      </c>
      <c r="M65" s="496" cm="1">
        <f t="array" aca="1" ref="M65" ca="1">OFFSET(Lists!$M$117,$F$16, M$17+1)*M$24/INDEX(Lists!$O$68:$AG$68, M$17)*INDEX(Lists!$N$117:$N$135,$F$16+1 )</f>
        <v>0</v>
      </c>
    </row>
    <row r="66" spans="1:21" x14ac:dyDescent="0.25">
      <c r="B66" s="61" t="str">
        <f>D64 &amp; " mass in negative electrode, g/cell"</f>
        <v>P mass in negative electrode, g/cell</v>
      </c>
      <c r="C66" s="353"/>
      <c r="D66" s="353"/>
      <c r="E66" s="353"/>
      <c r="F66" s="353"/>
      <c r="G66" s="496" cm="1">
        <f t="array" aca="1" ref="G66" ca="1">OFFSET(Lists!$M$117,$F$16, G$18+1)*G$25/INDEX(Lists!$O$68:$AG$68, G$18)*INDEX(Lists!$N$117:$N$135,$F$16+1 )</f>
        <v>0</v>
      </c>
      <c r="H66" s="496" cm="1">
        <f t="array" aca="1" ref="H66" ca="1">OFFSET(Lists!$M$117,$F$16, H$18+1)*H$25/INDEX(Lists!$O$68:$AG$68, H$18)*INDEX(Lists!$N$117:$N$135,$F$16+1 )</f>
        <v>0</v>
      </c>
      <c r="I66" s="496" cm="1">
        <f t="array" aca="1" ref="I66" ca="1">OFFSET(Lists!$M$117,$F$16, I$18+1)*I$25/INDEX(Lists!$O$68:$AG$68, I$18)*INDEX(Lists!$N$117:$N$135,$F$16+1 )</f>
        <v>0</v>
      </c>
      <c r="J66" s="496" cm="1">
        <f t="array" aca="1" ref="J66" ca="1">OFFSET(Lists!$M$117,$F$16, J$18+1)*J$25/INDEX(Lists!$O$68:$AG$68, J$18)*INDEX(Lists!$N$117:$N$135,$F$16+1 )</f>
        <v>0</v>
      </c>
      <c r="K66" s="496" cm="1">
        <f t="array" aca="1" ref="K66" ca="1">OFFSET(Lists!$M$117,$F$16, K$18+1)*K$25/INDEX(Lists!$O$68:$AG$68, K$18)*INDEX(Lists!$N$117:$N$135,$F$16+1 )</f>
        <v>0</v>
      </c>
      <c r="L66" s="496" cm="1">
        <f t="array" aca="1" ref="L66" ca="1">OFFSET(Lists!$M$117,$F$16, L$18+1)*L$25/INDEX(Lists!$O$68:$AG$68, L$18)*INDEX(Lists!$N$117:$N$135,$F$16+1 )</f>
        <v>0</v>
      </c>
      <c r="M66" s="496" cm="1">
        <f t="array" aca="1" ref="M66" ca="1">OFFSET(Lists!$M$117,$F$16, M$18+1)*M$25/INDEX(Lists!$O$68:$AG$68, M$18)*INDEX(Lists!$N$117:$N$135,$F$16+1 )</f>
        <v>0</v>
      </c>
    </row>
    <row r="67" spans="1:21" x14ac:dyDescent="0.25">
      <c r="B67" s="61" t="str">
        <f xml:space="preserve"> D64 &amp; " mass, g/cell"</f>
        <v>P mass, g/cell</v>
      </c>
      <c r="C67" s="353"/>
      <c r="D67" s="353"/>
      <c r="E67" s="353"/>
      <c r="F67" s="353"/>
      <c r="G67" s="496">
        <f ca="1">SUM(G65:G66)</f>
        <v>0</v>
      </c>
      <c r="H67" s="496">
        <f t="shared" ref="H67:M67" ca="1" si="12">SUM(H65:H66)</f>
        <v>0</v>
      </c>
      <c r="I67" s="496">
        <f t="shared" ca="1" si="12"/>
        <v>0</v>
      </c>
      <c r="J67" s="496">
        <f t="shared" ca="1" si="12"/>
        <v>0</v>
      </c>
      <c r="K67" s="496">
        <f t="shared" ca="1" si="12"/>
        <v>0</v>
      </c>
      <c r="L67" s="496">
        <f t="shared" ca="1" si="12"/>
        <v>0</v>
      </c>
      <c r="M67" s="496">
        <f t="shared" ca="1" si="12"/>
        <v>0</v>
      </c>
    </row>
    <row r="68" spans="1:21" x14ac:dyDescent="0.25">
      <c r="B68" s="61" t="str">
        <f xml:space="preserve"> D64 &amp; " mass, kg/pack"</f>
        <v>P mass, kg/pack</v>
      </c>
      <c r="C68" s="353"/>
      <c r="D68" s="353"/>
      <c r="E68" s="353"/>
      <c r="F68" s="353"/>
      <c r="G68" s="496">
        <f t="shared" ref="G68:M68" ca="1" si="13">G67*G$10/1000</f>
        <v>0</v>
      </c>
      <c r="H68" s="496">
        <f t="shared" ca="1" si="13"/>
        <v>0</v>
      </c>
      <c r="I68" s="496">
        <f t="shared" ca="1" si="13"/>
        <v>0</v>
      </c>
      <c r="J68" s="496">
        <f t="shared" ca="1" si="13"/>
        <v>0</v>
      </c>
      <c r="K68" s="496">
        <f t="shared" ca="1" si="13"/>
        <v>0</v>
      </c>
      <c r="L68" s="496">
        <f t="shared" ca="1" si="13"/>
        <v>0</v>
      </c>
      <c r="M68" s="496">
        <f t="shared" ca="1" si="13"/>
        <v>0</v>
      </c>
    </row>
    <row r="69" spans="1:21" x14ac:dyDescent="0.25">
      <c r="B69" s="353" t="str">
        <f xml:space="preserve"> D64 &amp; " mass, kg/kWh"</f>
        <v>P mass, kg/kWh</v>
      </c>
      <c r="C69" s="353"/>
      <c r="D69" s="353"/>
      <c r="E69" s="353"/>
      <c r="F69" s="353"/>
      <c r="G69" s="496">
        <f t="shared" ref="G69:M69" ca="1" si="14">G68/G$9</f>
        <v>0</v>
      </c>
      <c r="H69" s="496">
        <f t="shared" ca="1" si="14"/>
        <v>0</v>
      </c>
      <c r="I69" s="496">
        <f t="shared" ca="1" si="14"/>
        <v>0</v>
      </c>
      <c r="J69" s="496">
        <f t="shared" ca="1" si="14"/>
        <v>0</v>
      </c>
      <c r="K69" s="496">
        <f t="shared" ca="1" si="14"/>
        <v>0</v>
      </c>
      <c r="L69" s="496">
        <f t="shared" ca="1" si="14"/>
        <v>0</v>
      </c>
      <c r="M69" s="496">
        <f t="shared" ca="1" si="14"/>
        <v>0</v>
      </c>
    </row>
    <row r="70" spans="1:21" x14ac:dyDescent="0.25">
      <c r="B70" s="353"/>
      <c r="C70" s="353"/>
      <c r="D70" s="353"/>
      <c r="E70" s="353"/>
      <c r="F70" s="353"/>
      <c r="G70" s="353"/>
      <c r="H70" s="353"/>
      <c r="I70" s="353"/>
      <c r="J70" s="353"/>
      <c r="K70" s="353"/>
      <c r="L70" s="353"/>
      <c r="M70" s="353"/>
    </row>
    <row r="71" spans="1:21" ht="15.5" x14ac:dyDescent="0.35">
      <c r="B71" s="6" t="s">
        <v>1681</v>
      </c>
      <c r="C71" s="353"/>
      <c r="D71" s="353"/>
      <c r="E71" s="174"/>
      <c r="F71" s="353"/>
      <c r="G71" s="553"/>
      <c r="H71" s="553"/>
      <c r="I71" s="553"/>
      <c r="J71" s="553"/>
      <c r="K71" s="553"/>
      <c r="L71" s="553"/>
      <c r="M71" s="553"/>
    </row>
    <row r="72" spans="1:21" ht="14" x14ac:dyDescent="0.3">
      <c r="B72" s="723" t="s">
        <v>744</v>
      </c>
      <c r="C72" s="648"/>
      <c r="D72" s="648"/>
      <c r="E72" s="648"/>
      <c r="F72" s="353"/>
      <c r="G72" s="353"/>
      <c r="H72" s="353"/>
      <c r="I72" s="353"/>
      <c r="J72" s="353"/>
      <c r="K72" s="353"/>
      <c r="L72" s="353"/>
      <c r="M72" s="353"/>
      <c r="O72" s="37"/>
      <c r="P72" s="37"/>
      <c r="Q72" s="37"/>
      <c r="R72" s="37"/>
      <c r="S72" s="37"/>
      <c r="T72" s="37"/>
      <c r="U72" s="37"/>
    </row>
    <row r="73" spans="1:21" ht="13" x14ac:dyDescent="0.3">
      <c r="B73" s="648" t="s">
        <v>1682</v>
      </c>
      <c r="C73" s="648"/>
      <c r="D73" s="648"/>
      <c r="E73" s="648"/>
      <c r="F73" s="353"/>
      <c r="G73" s="176">
        <f ca="1">(IF(Chem!$D$30=$B$72,'Battery Design'!G63*'Battery Design'!$F63*'Battery Design'!$E63,0)+IF(Chem!$D$57=$B$72,'Battery Design'!G64*'Battery Design'!$F64*'Battery Design'!$E64,0))/1000*G10</f>
        <v>7.6737524680531122</v>
      </c>
      <c r="H73" s="176">
        <f ca="1">(IF(Chem!$D$30=$B$72,'Battery Design'!H63*'Battery Design'!$F63*'Battery Design'!$E63,0)+IF(Chem!$D$57=$B$72,'Battery Design'!H64*'Battery Design'!$F64*'Battery Design'!$E64))/1000*H10</f>
        <v>7.6737524680531122</v>
      </c>
      <c r="I73" s="176">
        <f ca="1">(IF(Chem!$D$30=$B$72,'Battery Design'!I63*'Battery Design'!$F63*'Battery Design'!$E63,0)+IF(Chem!$D$57=$B$72,'Battery Design'!I64*'Battery Design'!$F64*'Battery Design'!$E64))/1000*I10</f>
        <v>8.4853049386520532</v>
      </c>
      <c r="J73" s="176">
        <f ca="1">(IF(Chem!$D$30=$B$72,'Battery Design'!J63*'Battery Design'!$F63*'Battery Design'!$E63,0)+IF(Chem!$D$57=$B$72,'Battery Design'!J64*'Battery Design'!$F64*'Battery Design'!$E64))/1000*J10</f>
        <v>9.7772497129349354</v>
      </c>
      <c r="K73" s="176">
        <f ca="1">(IF(Chem!$D$30=$B$72,'Battery Design'!K63*'Battery Design'!$F63*'Battery Design'!$E63,0)+IF(Chem!$D$57=$B$72,'Battery Design'!K64*'Battery Design'!$F64*'Battery Design'!$E64))/1000*K10</f>
        <v>11.848527361456791</v>
      </c>
      <c r="L73" s="176">
        <f ca="1">(IF(Chem!$D$30=$B$72,'Battery Design'!L63*'Battery Design'!$F63*'Battery Design'!$E63,0)+IF(Chem!$D$57=$B$72,'Battery Design'!L64*'Battery Design'!$F64*'Battery Design'!$E64))/1000*L10</f>
        <v>15.974679248063008</v>
      </c>
      <c r="M73" s="176">
        <f ca="1">(IF(Chem!$D$30=$B$72,'Battery Design'!M63*'Battery Design'!$F63*'Battery Design'!$E63,0)+IF(Chem!$D$57=$B$72,'Battery Design'!M64*'Battery Design'!$F64*'Battery Design'!$E64))/1000*M10</f>
        <v>29.723511762857157</v>
      </c>
      <c r="N73" s="737" t="s">
        <v>1683</v>
      </c>
      <c r="O73" s="37"/>
      <c r="P73" s="37"/>
      <c r="Q73" s="37"/>
      <c r="R73" s="37"/>
      <c r="S73" s="37"/>
      <c r="T73" s="37"/>
      <c r="U73" s="37"/>
    </row>
    <row r="74" spans="1:21" ht="13" x14ac:dyDescent="0.3">
      <c r="B74" s="648" t="s">
        <v>1684</v>
      </c>
      <c r="C74" s="648"/>
      <c r="D74" s="648"/>
      <c r="E74" s="648"/>
      <c r="F74" s="353"/>
      <c r="G74" s="176">
        <f ca="1">(IF(Chem!$D$30=$B$72,'Battery Design'!G68,0)+IF(Chem!$D$57=$B$72,'Battery Design'!G69,0))/1000*G10</f>
        <v>2.2998078975796541</v>
      </c>
      <c r="H74" s="176">
        <f ca="1">(IF(Chem!$D$30=$B$72,'Battery Design'!H68,0)+IF(Chem!$D$57=$B$72,'Battery Design'!H69,0))/1000*H10</f>
        <v>2.2998078975796541</v>
      </c>
      <c r="I74" s="176">
        <f ca="1">(IF(Chem!$D$30=$B$72,'Battery Design'!I68,0)+IF(Chem!$D$57=$B$72,'Battery Design'!I69,0))/1000*I10</f>
        <v>2.3044107851898055</v>
      </c>
      <c r="J74" s="176">
        <f ca="1">(IF(Chem!$D$30=$B$72,'Battery Design'!J68,0)+IF(Chem!$D$57=$B$72,'Battery Design'!J69,0))/1000*J10</f>
        <v>2.3218686963716966</v>
      </c>
      <c r="K74" s="176">
        <f ca="1">(IF(Chem!$D$30=$B$72,'Battery Design'!K68,0)+IF(Chem!$D$57=$B$72,'Battery Design'!K69,0))/1000*K10</f>
        <v>2.3322419476725282</v>
      </c>
      <c r="L74" s="176">
        <f ca="1">(IF(Chem!$D$30=$B$72,'Battery Design'!L68,0)+IF(Chem!$D$57=$B$72,'Battery Design'!L69,0))/1000*L10</f>
        <v>2.3769601103563724</v>
      </c>
      <c r="M74" s="176">
        <f ca="1">(IF(Chem!$D$30=$B$72,'Battery Design'!M68,0)+IF(Chem!$D$57=$B$72,'Battery Design'!M69,0))/1000*M10</f>
        <v>2.504874688024544</v>
      </c>
      <c r="N74" s="737"/>
      <c r="O74" s="37"/>
      <c r="P74" s="37"/>
      <c r="Q74" s="37"/>
      <c r="R74" s="37"/>
      <c r="S74" s="37"/>
      <c r="T74" s="37"/>
      <c r="U74" s="37"/>
    </row>
    <row r="75" spans="1:21" x14ac:dyDescent="0.25">
      <c r="B75" s="648" t="s">
        <v>1685</v>
      </c>
      <c r="C75" s="648"/>
      <c r="D75" s="648"/>
      <c r="E75" s="648"/>
      <c r="F75" s="353"/>
      <c r="G75" s="176">
        <f ca="1">'Battery Design'!G335/1000*G11</f>
        <v>10.170945973886106</v>
      </c>
      <c r="H75" s="176">
        <f ca="1">'Battery Design'!H335/1000*H11</f>
        <v>10.170945973886106</v>
      </c>
      <c r="I75" s="176">
        <f ca="1">'Battery Design'!I335/1000*I11</f>
        <v>10.255572412162433</v>
      </c>
      <c r="J75" s="176">
        <f ca="1">'Battery Design'!J335/1000*J11</f>
        <v>10.34089706581214</v>
      </c>
      <c r="K75" s="176">
        <f ca="1">'Battery Design'!K335/1000*K11</f>
        <v>10.580060026466873</v>
      </c>
      <c r="L75" s="176">
        <f ca="1">'Battery Design'!L335/1000*L11</f>
        <v>10.936801566338872</v>
      </c>
      <c r="M75" s="176">
        <f ca="1">'Battery Design'!M335/1000*M11</f>
        <v>12.260895596704005</v>
      </c>
      <c r="O75" s="37"/>
      <c r="P75" s="37"/>
      <c r="Q75" s="37"/>
      <c r="R75" s="37"/>
      <c r="S75" s="37"/>
      <c r="T75" s="37"/>
      <c r="U75" s="37"/>
    </row>
    <row r="76" spans="1:21" x14ac:dyDescent="0.25">
      <c r="B76" s="648" t="s">
        <v>1686</v>
      </c>
      <c r="C76" s="648"/>
      <c r="D76" s="648"/>
      <c r="E76" s="649"/>
      <c r="F76" s="353"/>
      <c r="G76" s="535">
        <f ca="1">'Battery Design'!G424+'Battery Design'!G431</f>
        <v>33.376188829164462</v>
      </c>
      <c r="H76" s="535">
        <f ca="1">'Battery Design'!H424+'Battery Design'!H431</f>
        <v>33.376188829164462</v>
      </c>
      <c r="I76" s="535">
        <f ca="1">'Battery Design'!I424+'Battery Design'!I431</f>
        <v>33.406489362099428</v>
      </c>
      <c r="J76" s="535">
        <f ca="1">'Battery Design'!J424+'Battery Design'!J431</f>
        <v>33.701012468190143</v>
      </c>
      <c r="K76" s="535">
        <f ca="1">'Battery Design'!K424+'Battery Design'!K431</f>
        <v>33.738270619247068</v>
      </c>
      <c r="L76" s="535">
        <f ca="1">'Battery Design'!L424+'Battery Design'!L431</f>
        <v>34.393776513820441</v>
      </c>
      <c r="M76" s="535">
        <f ca="1">'Battery Design'!M424+'Battery Design'!M431</f>
        <v>36.10073623594652</v>
      </c>
      <c r="O76" s="37"/>
      <c r="P76" s="37"/>
      <c r="Q76" s="37"/>
      <c r="R76" s="37"/>
      <c r="S76" s="37"/>
      <c r="T76" s="37"/>
      <c r="U76" s="37"/>
    </row>
    <row r="77" spans="1:21" x14ac:dyDescent="0.25">
      <c r="B77" s="648" t="s">
        <v>1687</v>
      </c>
      <c r="C77" s="648"/>
      <c r="D77" s="648"/>
      <c r="E77" s="649"/>
      <c r="F77" s="353"/>
      <c r="G77" s="535">
        <f t="shared" ref="G77:M77" ca="1" si="15">SUM(G73:G76)</f>
        <v>53.520695168683332</v>
      </c>
      <c r="H77" s="535">
        <f t="shared" ca="1" si="15"/>
        <v>53.520695168683332</v>
      </c>
      <c r="I77" s="535">
        <f t="shared" ca="1" si="15"/>
        <v>54.451777498103723</v>
      </c>
      <c r="J77" s="535">
        <f t="shared" ca="1" si="15"/>
        <v>56.141027943308913</v>
      </c>
      <c r="K77" s="535">
        <f t="shared" ca="1" si="15"/>
        <v>58.49909995484326</v>
      </c>
      <c r="L77" s="535">
        <f t="shared" ca="1" si="15"/>
        <v>63.682217438578689</v>
      </c>
      <c r="M77" s="535">
        <f t="shared" ca="1" si="15"/>
        <v>80.590018283532231</v>
      </c>
      <c r="O77" s="37"/>
      <c r="P77" s="37"/>
      <c r="Q77" s="37"/>
      <c r="R77" s="37"/>
      <c r="S77" s="37"/>
      <c r="T77" s="37"/>
      <c r="U77" s="37"/>
    </row>
    <row r="78" spans="1:21" ht="13" x14ac:dyDescent="0.3">
      <c r="A78" s="1380" t="s">
        <v>438</v>
      </c>
      <c r="B78" s="648" t="s">
        <v>1688</v>
      </c>
      <c r="C78" s="648"/>
      <c r="D78" s="648"/>
      <c r="E78" s="649"/>
      <c r="F78" s="353"/>
      <c r="G78" s="535">
        <f ca="1">G77/'Battery Design'!G477</f>
        <v>0.53520695168683352</v>
      </c>
      <c r="H78" s="535">
        <f ca="1">H77/'Battery Design'!H477</f>
        <v>0.53520695168683352</v>
      </c>
      <c r="I78" s="535">
        <f ca="1">I77/'Battery Design'!I477</f>
        <v>0.54451777498103748</v>
      </c>
      <c r="J78" s="535">
        <f ca="1">J77/'Battery Design'!J477</f>
        <v>0.56141027943308941</v>
      </c>
      <c r="K78" s="535">
        <f ca="1">K77/'Battery Design'!K477</f>
        <v>0.58499099954843281</v>
      </c>
      <c r="L78" s="535">
        <f ca="1">L77/'Battery Design'!L477</f>
        <v>0.63682217438578714</v>
      </c>
      <c r="M78" s="535">
        <f ca="1">M77/'Battery Design'!M477</f>
        <v>0.80590018283531839</v>
      </c>
      <c r="O78" s="37"/>
      <c r="P78" s="37"/>
      <c r="Q78" s="37"/>
      <c r="R78" s="37"/>
      <c r="S78" s="37"/>
      <c r="T78" s="37"/>
      <c r="U78" s="37"/>
    </row>
    <row r="79" spans="1:21" ht="13" x14ac:dyDescent="0.3">
      <c r="A79" s="1380"/>
      <c r="B79" s="653"/>
      <c r="C79" s="648"/>
      <c r="D79" s="648"/>
      <c r="E79" s="649"/>
      <c r="F79" s="353"/>
      <c r="G79" s="535"/>
      <c r="H79" s="535"/>
      <c r="I79" s="535"/>
      <c r="J79" s="535"/>
      <c r="K79" s="535"/>
      <c r="L79" s="535"/>
      <c r="M79" s="535"/>
      <c r="O79" s="37"/>
      <c r="P79" s="37"/>
      <c r="Q79" s="37"/>
      <c r="R79" s="37"/>
      <c r="S79" s="37"/>
      <c r="T79" s="37"/>
      <c r="U79" s="37"/>
    </row>
    <row r="80" spans="1:21" ht="14" x14ac:dyDescent="0.3">
      <c r="B80" s="724" t="s">
        <v>772</v>
      </c>
      <c r="C80" s="650"/>
      <c r="D80" s="650"/>
      <c r="E80" s="174"/>
      <c r="F80" s="353"/>
      <c r="G80" s="553"/>
      <c r="H80" s="553"/>
      <c r="I80" s="553"/>
      <c r="J80" s="553"/>
      <c r="K80" s="553"/>
      <c r="L80" s="553"/>
      <c r="M80" s="553"/>
      <c r="O80" s="37"/>
      <c r="P80" s="37"/>
      <c r="Q80" s="37"/>
      <c r="R80" s="37"/>
      <c r="S80" s="37"/>
      <c r="T80" s="37"/>
      <c r="U80" s="37"/>
    </row>
    <row r="81" spans="1:21" ht="13" x14ac:dyDescent="0.3">
      <c r="B81" s="651" t="s">
        <v>1689</v>
      </c>
      <c r="C81" s="650"/>
      <c r="D81" s="650"/>
      <c r="E81" s="174"/>
      <c r="F81" s="353"/>
      <c r="G81" s="176">
        <f ca="1">(IF(Chem!$D$30=$B$80,'Battery Design'!G63*'Battery Design'!$F63*'Battery Design'!$E63,0)+IF(Chem!$D$57=$B$80,'Battery Design'!G64*'Battery Design'!$F64*'Battery Design'!$E64,0))/1000*G10</f>
        <v>18.11624643164005</v>
      </c>
      <c r="H81" s="176">
        <f ca="1">(IF(Chem!$D$30=$B$80,'Battery Design'!H63*'Battery Design'!$F63*'Battery Design'!$E63,0)+IF(Chem!$D$57=$B$80,'Battery Design'!H64*'Battery Design'!$F64*'Battery Design'!$E64,0))/1000*H10</f>
        <v>18.11624643164005</v>
      </c>
      <c r="I81" s="176">
        <f ca="1">(IF(Chem!$D$30=$B$80,'Battery Design'!I63*'Battery Design'!$F63*'Battery Design'!$E63,0)+IF(Chem!$D$57=$B$80,'Battery Design'!I64*'Battery Design'!$F64*'Battery Design'!$E64,0))/1000*I10</f>
        <v>19.976209502209699</v>
      </c>
      <c r="J81" s="176">
        <f ca="1">(IF(Chem!$D$30=$B$80,'Battery Design'!J63*'Battery Design'!$F63*'Battery Design'!$E63,0)+IF(Chem!$D$57=$B$80,'Battery Design'!J64*'Battery Design'!$F64*'Battery Design'!$E64,0))/1000*J10</f>
        <v>22.934678036369252</v>
      </c>
      <c r="K81" s="176">
        <f ca="1">(IF(Chem!$D$30=$B$80,'Battery Design'!K63*'Battery Design'!$F63*'Battery Design'!$E63,0)+IF(Chem!$D$57=$B$80,'Battery Design'!K64*'Battery Design'!$F64*'Battery Design'!$E64,0))/1000*K10</f>
        <v>27.677157389129409</v>
      </c>
      <c r="L81" s="176">
        <f ca="1">(IF(Chem!$D$30=$B$80,'Battery Design'!L63*'Battery Design'!$F63*'Battery Design'!$E63,0)+IF(Chem!$D$57=$B$80,'Battery Design'!L64*'Battery Design'!$F64*'Battery Design'!$E64,0))/1000*L10</f>
        <v>37.113402188828168</v>
      </c>
      <c r="M81" s="176">
        <f ca="1">(IF(Chem!$D$30=$B$80,'Battery Design'!M63*'Battery Design'!$F63*'Battery Design'!$E63,0)+IF(Chem!$D$57=$B$80,'Battery Design'!M64*'Battery Design'!$F64*'Battery Design'!$E64,0))/1000*M10</f>
        <v>68.476154915449641</v>
      </c>
      <c r="N81" s="737" t="s">
        <v>1683</v>
      </c>
      <c r="O81" s="37"/>
      <c r="P81" s="37"/>
      <c r="Q81" s="37"/>
      <c r="R81" s="37"/>
      <c r="S81" s="37"/>
      <c r="T81" s="37"/>
      <c r="U81" s="37"/>
    </row>
    <row r="82" spans="1:21" ht="13" x14ac:dyDescent="0.3">
      <c r="B82" s="650" t="s">
        <v>1690</v>
      </c>
      <c r="C82" s="650"/>
      <c r="D82" s="650"/>
      <c r="E82" s="174"/>
      <c r="F82" s="353"/>
      <c r="G82" s="176">
        <f ca="1">(IF(Chem!$D$30=$B$80,'Battery Design'!G68,0)+IF(Chem!$D$57=$B$80,'Battery Design'!G69,0))/1000*G10</f>
        <v>5.0879700647688164</v>
      </c>
      <c r="H82" s="176">
        <f ca="1">(IF(Chem!$D$30=$B$80,'Battery Design'!H68,0)+IF(Chem!$D$57=$B$80,'Battery Design'!H69,0))/1000*H10</f>
        <v>5.0879700647688164</v>
      </c>
      <c r="I82" s="176">
        <f ca="1">(IF(Chem!$D$30=$B$80,'Battery Design'!I68,0)+IF(Chem!$D$57=$B$80,'Battery Design'!I69,0))/1000*I10</f>
        <v>5.0981532432841137</v>
      </c>
      <c r="J82" s="176">
        <f ca="1">(IF(Chem!$D$30=$B$80,'Battery Design'!J68,0)+IF(Chem!$D$57=$B$80,'Battery Design'!J69,0))/1000*J10</f>
        <v>5.1367761776519512</v>
      </c>
      <c r="K82" s="176">
        <f ca="1">(IF(Chem!$D$30=$B$80,'Battery Design'!K68,0)+IF(Chem!$D$57=$B$80,'Battery Design'!K69,0))/1000*K10</f>
        <v>5.1597253953446547</v>
      </c>
      <c r="L82" s="176">
        <f ca="1">(IF(Chem!$D$30=$B$80,'Battery Design'!L68,0)+IF(Chem!$D$57=$B$80,'Battery Design'!L69,0))/1000*L10</f>
        <v>5.2586574293316302</v>
      </c>
      <c r="M82" s="176">
        <f ca="1">(IF(Chem!$D$30=$B$80,'Battery Design'!M68,0)+IF(Chem!$D$57=$B$80,'Battery Design'!M69,0))/1000*M10</f>
        <v>5.5416486925184989</v>
      </c>
      <c r="N82" s="737"/>
      <c r="O82" s="37"/>
      <c r="P82" s="37"/>
      <c r="Q82" s="37"/>
      <c r="R82" s="37"/>
      <c r="S82" s="37"/>
      <c r="T82" s="37"/>
      <c r="U82" s="37"/>
    </row>
    <row r="83" spans="1:21" x14ac:dyDescent="0.25">
      <c r="B83" s="650" t="s">
        <v>1691</v>
      </c>
      <c r="C83" s="650"/>
      <c r="D83" s="650"/>
      <c r="E83" s="174"/>
      <c r="F83" s="353"/>
      <c r="G83" s="1028">
        <f ca="1">G11*'Battery Design'!G316/1000</f>
        <v>6.7581095137542251</v>
      </c>
      <c r="H83" s="1028">
        <f ca="1">H11*'Battery Design'!H316/1000</f>
        <v>6.7581095137542251</v>
      </c>
      <c r="I83" s="1028">
        <f ca="1">I11*'Battery Design'!I316/1000</f>
        <v>6.7447985399916073</v>
      </c>
      <c r="J83" s="1028">
        <f ca="1">J11*'Battery Design'!J316/1000</f>
        <v>6.769292488263301</v>
      </c>
      <c r="K83" s="1028">
        <f ca="1">K11*'Battery Design'!K316/1000</f>
        <v>6.7256768959872444</v>
      </c>
      <c r="L83" s="1028">
        <f ca="1">L11*'Battery Design'!L316/1000</f>
        <v>6.7468442847595362</v>
      </c>
      <c r="M83" s="1028">
        <f ca="1">M11*'Battery Design'!M316/1000</f>
        <v>6.7317366785091801</v>
      </c>
      <c r="O83" s="37"/>
      <c r="P83" s="37"/>
      <c r="Q83" s="37"/>
      <c r="R83" s="37"/>
      <c r="S83" s="37"/>
      <c r="T83" s="37"/>
      <c r="U83" s="37"/>
    </row>
    <row r="84" spans="1:21" x14ac:dyDescent="0.25">
      <c r="B84" s="650" t="s">
        <v>1692</v>
      </c>
      <c r="C84" s="650"/>
      <c r="D84" s="650"/>
      <c r="E84" s="174"/>
      <c r="F84" s="353"/>
      <c r="G84" s="1028">
        <f ca="1">G11*'Battery Design'!G326/1000</f>
        <v>0.99959480246739374</v>
      </c>
      <c r="H84" s="1028">
        <f ca="1">H11*'Battery Design'!H326/1000</f>
        <v>0.99959480246739374</v>
      </c>
      <c r="I84" s="1028">
        <f ca="1">I11*'Battery Design'!I326/1000</f>
        <v>0.99959480246739374</v>
      </c>
      <c r="J84" s="1028">
        <f ca="1">J11*'Battery Design'!J326/1000</f>
        <v>0.99959480246739374</v>
      </c>
      <c r="K84" s="1028">
        <f ca="1">K11*'Battery Design'!K326/1000</f>
        <v>0.99959480246739374</v>
      </c>
      <c r="L84" s="1028">
        <f ca="1">L11*'Battery Design'!L326/1000</f>
        <v>0.99959480246739374</v>
      </c>
      <c r="M84" s="1028">
        <f ca="1">M11*'Battery Design'!M326/1000</f>
        <v>0.99959480246739374</v>
      </c>
      <c r="O84" s="37"/>
      <c r="P84" s="37"/>
      <c r="Q84" s="37"/>
      <c r="R84" s="37"/>
      <c r="S84" s="37"/>
      <c r="T84" s="37"/>
      <c r="U84" s="37"/>
    </row>
    <row r="85" spans="1:21" x14ac:dyDescent="0.25">
      <c r="B85" s="650" t="s">
        <v>1693</v>
      </c>
      <c r="C85" s="650"/>
      <c r="D85" s="650"/>
      <c r="E85" s="174"/>
      <c r="F85" s="353"/>
      <c r="G85" s="535">
        <f ca="1">G11*'Battery Design'!G330/1000</f>
        <v>0.98954836856893036</v>
      </c>
      <c r="H85" s="535">
        <f ca="1">H11*'Battery Design'!H330/1000</f>
        <v>0.98954836856893036</v>
      </c>
      <c r="I85" s="535">
        <f ca="1">I11*'Battery Design'!I330/1000</f>
        <v>0.98954836856893036</v>
      </c>
      <c r="J85" s="535">
        <f ca="1">J11*'Battery Design'!J330/1000</f>
        <v>0.98954836856893036</v>
      </c>
      <c r="K85" s="535">
        <f ca="1">K11*'Battery Design'!K330/1000</f>
        <v>0.98954836856893036</v>
      </c>
      <c r="L85" s="535">
        <f ca="1">L11*'Battery Design'!L330/1000</f>
        <v>0.98954836856893036</v>
      </c>
      <c r="M85" s="535">
        <f ca="1">M11*'Battery Design'!M330/1000</f>
        <v>0.98954836856893036</v>
      </c>
      <c r="O85" s="37"/>
      <c r="P85" s="37"/>
      <c r="Q85" s="37"/>
      <c r="R85" s="37"/>
      <c r="S85" s="37"/>
      <c r="T85" s="37"/>
      <c r="U85" s="37"/>
    </row>
    <row r="86" spans="1:21" x14ac:dyDescent="0.25">
      <c r="B86" s="650" t="s">
        <v>1694</v>
      </c>
      <c r="C86" s="650"/>
      <c r="D86" s="650"/>
      <c r="E86" s="174"/>
      <c r="F86" s="353"/>
      <c r="G86" s="535">
        <f ca="1">((('Battery Design'!G29+1)*'Battery Design'!G439)+'Battery Design'!G440)/1000</f>
        <v>2.5126791467714602</v>
      </c>
      <c r="H86" s="535">
        <f ca="1">((('Battery Design'!H29+1)*'Battery Design'!H439)+'Battery Design'!H440)/1000</f>
        <v>2.5126791467714602</v>
      </c>
      <c r="I86" s="535">
        <f ca="1">((('Battery Design'!I29+1)*'Battery Design'!I439)+'Battery Design'!I440)/1000</f>
        <v>2.5181304503734445</v>
      </c>
      <c r="J86" s="535">
        <f ca="1">((('Battery Design'!J29+1)*'Battery Design'!J439)+'Battery Design'!J440)/1000</f>
        <v>2.5238009322907748</v>
      </c>
      <c r="K86" s="535">
        <f ca="1">((('Battery Design'!K29+1)*'Battery Design'!K439)+'Battery Design'!K440)/1000</f>
        <v>2.5390094512569994</v>
      </c>
      <c r="L86" s="535">
        <f ca="1">((('Battery Design'!L29+1)*'Battery Design'!L439)+'Battery Design'!L440)/1000</f>
        <v>2.5618198946612813</v>
      </c>
      <c r="M86" s="535">
        <f ca="1">((('Battery Design'!M29+1)*'Battery Design'!M439)+'Battery Design'!M440)/1000</f>
        <v>2.6431083230274708</v>
      </c>
      <c r="O86" s="37"/>
      <c r="P86" s="37"/>
      <c r="Q86" s="37"/>
      <c r="R86" s="37"/>
      <c r="S86" s="37"/>
      <c r="T86" s="37"/>
      <c r="U86" s="37"/>
    </row>
    <row r="87" spans="1:21" x14ac:dyDescent="0.25">
      <c r="B87" s="650" t="s">
        <v>1695</v>
      </c>
      <c r="C87" s="650"/>
      <c r="D87" s="650"/>
      <c r="E87" s="174"/>
      <c r="F87" s="353"/>
      <c r="G87" s="535">
        <f ca="1">'Battery Design'!G440/1000</f>
        <v>1.5478694874167529</v>
      </c>
      <c r="H87" s="535">
        <f ca="1">'Battery Design'!H440/1000</f>
        <v>1.5478694874167529</v>
      </c>
      <c r="I87" s="535">
        <f ca="1">'Battery Design'!I440/1000</f>
        <v>1.553320791018737</v>
      </c>
      <c r="J87" s="535">
        <f ca="1">'Battery Design'!J440/1000</f>
        <v>1.5589912729360673</v>
      </c>
      <c r="K87" s="535">
        <f ca="1">'Battery Design'!K440/1000</f>
        <v>1.5741997919022919</v>
      </c>
      <c r="L87" s="535">
        <f ca="1">'Battery Design'!L440/1000</f>
        <v>1.5970102353065743</v>
      </c>
      <c r="M87" s="535">
        <f ca="1">'Battery Design'!M440/1000</f>
        <v>1.6782986636727635</v>
      </c>
      <c r="O87" s="37"/>
      <c r="P87" s="37"/>
      <c r="Q87" s="37"/>
      <c r="R87" s="37"/>
      <c r="S87" s="37"/>
      <c r="T87" s="37"/>
      <c r="U87" s="37"/>
    </row>
    <row r="88" spans="1:21" x14ac:dyDescent="0.25">
      <c r="B88" s="650" t="s">
        <v>1696</v>
      </c>
      <c r="C88" s="650"/>
      <c r="D88" s="650"/>
      <c r="E88" s="174"/>
      <c r="F88" s="353"/>
      <c r="G88" s="535">
        <f ca="1">'Battery Design'!G441*0.9/1000</f>
        <v>0.73756580638138147</v>
      </c>
      <c r="H88" s="535">
        <f ca="1">'Battery Design'!H441*0.9/1000</f>
        <v>0.73756580638138147</v>
      </c>
      <c r="I88" s="535">
        <f ca="1">'Battery Design'!I441*0.9/1000</f>
        <v>0.73756580638138147</v>
      </c>
      <c r="J88" s="535">
        <f ca="1">'Battery Design'!J441*0.9/1000</f>
        <v>0.73756580638138147</v>
      </c>
      <c r="K88" s="535">
        <f ca="1">'Battery Design'!K441*0.9/1000</f>
        <v>0.73756580638138147</v>
      </c>
      <c r="L88" s="535">
        <f ca="1">'Battery Design'!L441*0.9/1000</f>
        <v>0.73756580638138147</v>
      </c>
      <c r="M88" s="535">
        <f ca="1">'Battery Design'!M441*0.9/1000</f>
        <v>0.73756580638138147</v>
      </c>
      <c r="O88" s="37"/>
      <c r="P88" s="37"/>
      <c r="Q88" s="37"/>
      <c r="R88" s="37"/>
      <c r="S88" s="37"/>
      <c r="T88" s="37"/>
      <c r="U88" s="37"/>
    </row>
    <row r="89" spans="1:21" x14ac:dyDescent="0.25">
      <c r="B89" s="650" t="s">
        <v>1697</v>
      </c>
      <c r="C89" s="650"/>
      <c r="D89" s="650"/>
      <c r="E89" s="174"/>
      <c r="F89" s="353"/>
      <c r="G89" s="535">
        <f t="shared" ref="G89:M89" ca="1" si="16">SUM(G81:G88)</f>
        <v>36.749583621769013</v>
      </c>
      <c r="H89" s="535">
        <f t="shared" ca="1" si="16"/>
        <v>36.749583621769013</v>
      </c>
      <c r="I89" s="535">
        <f t="shared" ca="1" si="16"/>
        <v>38.617321504295305</v>
      </c>
      <c r="J89" s="535">
        <f t="shared" ca="1" si="16"/>
        <v>41.650247884929058</v>
      </c>
      <c r="K89" s="535">
        <f t="shared" ca="1" si="16"/>
        <v>46.40247790103831</v>
      </c>
      <c r="L89" s="535">
        <f t="shared" ca="1" si="16"/>
        <v>56.004443010304897</v>
      </c>
      <c r="M89" s="535">
        <f t="shared" ca="1" si="16"/>
        <v>87.797656250595267</v>
      </c>
      <c r="O89" s="37"/>
      <c r="P89" s="37"/>
      <c r="Q89" s="37"/>
      <c r="R89" s="37"/>
      <c r="S89" s="37"/>
      <c r="T89" s="37"/>
      <c r="U89" s="37"/>
    </row>
    <row r="90" spans="1:21" ht="13" x14ac:dyDescent="0.3">
      <c r="A90" s="1380" t="s">
        <v>438</v>
      </c>
      <c r="B90" s="650" t="s">
        <v>1698</v>
      </c>
      <c r="C90" s="650"/>
      <c r="D90" s="650"/>
      <c r="E90" s="174"/>
      <c r="F90" s="353"/>
      <c r="G90" s="535">
        <f ca="1">G89/'Battery Design'!G477</f>
        <v>0.36749583621769022</v>
      </c>
      <c r="H90" s="535">
        <f ca="1">H89/'Battery Design'!H477</f>
        <v>0.36749583621769022</v>
      </c>
      <c r="I90" s="535">
        <f ca="1">I89/'Battery Design'!I477</f>
        <v>0.38617321504295321</v>
      </c>
      <c r="J90" s="535">
        <f ca="1">J89/'Battery Design'!J477</f>
        <v>0.41650247884929076</v>
      </c>
      <c r="K90" s="535">
        <f ca="1">K89/'Battery Design'!K477</f>
        <v>0.4640247790103833</v>
      </c>
      <c r="L90" s="535">
        <f ca="1">L89/'Battery Design'!L477</f>
        <v>0.56004443010304916</v>
      </c>
      <c r="M90" s="535">
        <f ca="1">M89/'Battery Design'!M477</f>
        <v>0.87797656250594847</v>
      </c>
      <c r="O90" s="37"/>
      <c r="P90" s="37"/>
      <c r="Q90" s="37"/>
      <c r="R90" s="37"/>
      <c r="S90" s="37"/>
      <c r="T90" s="37"/>
      <c r="U90" s="37"/>
    </row>
    <row r="91" spans="1:21" ht="13" x14ac:dyDescent="0.3">
      <c r="A91" s="1380"/>
      <c r="B91" s="654"/>
      <c r="C91" s="650"/>
      <c r="D91" s="650"/>
      <c r="E91" s="174"/>
      <c r="F91" s="353"/>
      <c r="G91" s="535"/>
      <c r="H91" s="535"/>
      <c r="I91" s="535"/>
      <c r="J91" s="535"/>
      <c r="K91" s="535"/>
      <c r="L91" s="535"/>
      <c r="M91" s="535"/>
      <c r="O91" s="37"/>
      <c r="P91" s="37"/>
      <c r="Q91" s="37"/>
      <c r="R91" s="37"/>
      <c r="S91" s="37"/>
      <c r="T91" s="37"/>
      <c r="U91" s="37"/>
    </row>
    <row r="92" spans="1:21" ht="14" x14ac:dyDescent="0.3">
      <c r="A92" s="1380"/>
      <c r="B92" s="723" t="s">
        <v>1054</v>
      </c>
      <c r="C92" s="648"/>
      <c r="D92" s="648"/>
      <c r="E92" s="649"/>
      <c r="F92" s="353"/>
      <c r="G92" s="535"/>
      <c r="H92" s="535"/>
      <c r="I92" s="535"/>
      <c r="J92" s="535"/>
      <c r="K92" s="535"/>
      <c r="L92" s="535"/>
      <c r="M92" s="535"/>
      <c r="N92" s="737" t="s">
        <v>1699</v>
      </c>
      <c r="O92" s="37"/>
      <c r="P92" s="37"/>
      <c r="Q92" s="37"/>
      <c r="R92" s="37"/>
      <c r="S92" s="37"/>
      <c r="T92" s="37"/>
      <c r="U92" s="37"/>
    </row>
    <row r="93" spans="1:21" x14ac:dyDescent="0.25">
      <c r="B93" s="648" t="s">
        <v>1700</v>
      </c>
      <c r="C93" s="648"/>
      <c r="D93" s="648"/>
      <c r="E93" s="649"/>
      <c r="F93" s="90"/>
      <c r="G93" s="1029">
        <f ca="1">'Battery Design'!G27*('Battery Design'!G386-'Battery Design'!G385)</f>
        <v>55.738340760389306</v>
      </c>
      <c r="H93" s="1029">
        <f ca="1">'Battery Design'!H27*('Battery Design'!H386-'Battery Design'!H385)</f>
        <v>55.738340760389306</v>
      </c>
      <c r="I93" s="1029">
        <f ca="1">'Battery Design'!I27*('Battery Design'!I386-'Battery Design'!I385)</f>
        <v>55.81313040079322</v>
      </c>
      <c r="J93" s="1029">
        <f ca="1">'Battery Design'!J27*('Battery Design'!J386-'Battery Design'!J385)</f>
        <v>56.311398314126073</v>
      </c>
      <c r="K93" s="1029">
        <f ca="1">'Battery Design'!K27*('Battery Design'!K386-'Battery Design'!K385)</f>
        <v>56.445549596267611</v>
      </c>
      <c r="L93" s="1029">
        <f ca="1">'Battery Design'!L27*('Battery Design'!L386-'Battery Design'!L385)</f>
        <v>57.60670402151986</v>
      </c>
      <c r="M93" s="1029">
        <f ca="1">'Battery Design'!M27*('Battery Design'!M386-'Battery Design'!M385)</f>
        <v>60.756896420324139</v>
      </c>
      <c r="O93" s="37"/>
      <c r="P93" s="37"/>
      <c r="Q93" s="37"/>
      <c r="R93" s="37"/>
      <c r="S93" s="37"/>
      <c r="T93" s="37"/>
      <c r="U93" s="37"/>
    </row>
    <row r="94" spans="1:21" x14ac:dyDescent="0.25">
      <c r="B94" s="648" t="s">
        <v>1701</v>
      </c>
      <c r="C94" s="648"/>
      <c r="D94" s="648"/>
      <c r="E94" s="649"/>
      <c r="F94" s="90"/>
      <c r="G94" s="1029">
        <f ca="1">'Battery Design'!G422</f>
        <v>15.925540355691128</v>
      </c>
      <c r="H94" s="1029">
        <f ca="1">'Battery Design'!H422</f>
        <v>15.925540355691128</v>
      </c>
      <c r="I94" s="1029">
        <f ca="1">'Battery Design'!I422</f>
        <v>15.914801088582189</v>
      </c>
      <c r="J94" s="1029">
        <f ca="1">'Battery Design'!J422</f>
        <v>15.991099312213693</v>
      </c>
      <c r="K94" s="1029">
        <f ca="1">'Battery Design'!K422</f>
        <v>15.94635565266962</v>
      </c>
      <c r="L94" s="1029">
        <f ca="1">'Battery Design'!L422</f>
        <v>16.076780295903344</v>
      </c>
      <c r="M94" s="1029">
        <f ca="1">'Battery Design'!M422</f>
        <v>16.335007973642416</v>
      </c>
      <c r="O94" s="37"/>
      <c r="P94" s="37"/>
      <c r="Q94" s="37"/>
      <c r="R94" s="37"/>
      <c r="S94" s="37"/>
      <c r="T94" s="37"/>
      <c r="U94" s="37"/>
    </row>
    <row r="95" spans="1:21" x14ac:dyDescent="0.25">
      <c r="B95" s="648" t="s">
        <v>1702</v>
      </c>
      <c r="C95" s="648"/>
      <c r="D95" s="648"/>
      <c r="E95" s="649"/>
      <c r="F95" s="90"/>
      <c r="G95" s="1029">
        <f ca="1">G93+G94</f>
        <v>71.663881116080432</v>
      </c>
      <c r="H95" s="1029">
        <f t="shared" ref="H95:M95" ca="1" si="17">H93+H94</f>
        <v>71.663881116080432</v>
      </c>
      <c r="I95" s="1029">
        <f t="shared" ca="1" si="17"/>
        <v>71.727931489375408</v>
      </c>
      <c r="J95" s="1029">
        <f t="shared" ca="1" si="17"/>
        <v>72.302497626339772</v>
      </c>
      <c r="K95" s="1029">
        <f t="shared" ca="1" si="17"/>
        <v>72.391905248937235</v>
      </c>
      <c r="L95" s="1029">
        <f t="shared" ca="1" si="17"/>
        <v>73.683484317423208</v>
      </c>
      <c r="M95" s="1029">
        <f t="shared" ca="1" si="17"/>
        <v>77.091904393966558</v>
      </c>
      <c r="O95" s="37"/>
      <c r="P95" s="37"/>
      <c r="Q95" s="37"/>
      <c r="R95" s="37"/>
      <c r="S95" s="37"/>
      <c r="T95" s="37"/>
      <c r="U95" s="37"/>
    </row>
    <row r="96" spans="1:21" x14ac:dyDescent="0.25">
      <c r="B96" s="648" t="s">
        <v>1703</v>
      </c>
      <c r="C96" s="648"/>
      <c r="D96" s="648"/>
      <c r="E96" s="649"/>
      <c r="F96" s="90"/>
      <c r="G96" s="535">
        <f ca="1">G95/'Battery Design'!G477</f>
        <v>0.71663881116080452</v>
      </c>
      <c r="H96" s="535">
        <f ca="1">H95/'Battery Design'!H477</f>
        <v>0.71663881116080452</v>
      </c>
      <c r="I96" s="535">
        <f ca="1">I95/'Battery Design'!I477</f>
        <v>0.7172793148937544</v>
      </c>
      <c r="J96" s="535">
        <f ca="1">J95/'Battery Design'!J477</f>
        <v>0.72302497626339801</v>
      </c>
      <c r="K96" s="535">
        <f ca="1">K95/'Battery Design'!K477</f>
        <v>0.72391905248937261</v>
      </c>
      <c r="L96" s="535">
        <f ca="1">L95/'Battery Design'!L477</f>
        <v>0.73683484317423242</v>
      </c>
      <c r="M96" s="535">
        <f ca="1">M95/'Battery Design'!M477</f>
        <v>0.77091904393966182</v>
      </c>
      <c r="O96" s="37"/>
      <c r="P96" s="37"/>
      <c r="Q96" s="37"/>
      <c r="R96" s="37"/>
      <c r="S96" s="37"/>
      <c r="T96" s="37"/>
      <c r="U96" s="37"/>
    </row>
    <row r="97" spans="2:21" ht="13" x14ac:dyDescent="0.3">
      <c r="B97" s="653"/>
      <c r="C97" s="648"/>
      <c r="D97" s="648"/>
      <c r="E97" s="649"/>
      <c r="F97" s="90"/>
      <c r="G97" s="535"/>
      <c r="H97" s="535"/>
      <c r="I97" s="535"/>
      <c r="J97" s="535"/>
      <c r="K97" s="535"/>
      <c r="L97" s="535"/>
      <c r="M97" s="535"/>
      <c r="O97" s="37"/>
      <c r="P97" s="37"/>
      <c r="Q97" s="37"/>
      <c r="R97" s="37"/>
      <c r="S97" s="37"/>
      <c r="T97" s="37"/>
      <c r="U97" s="37"/>
    </row>
    <row r="98" spans="2:21" ht="14" x14ac:dyDescent="0.3">
      <c r="B98" s="725" t="s">
        <v>1704</v>
      </c>
      <c r="C98" s="652"/>
      <c r="D98" s="652"/>
      <c r="E98" s="174"/>
      <c r="F98" s="90"/>
      <c r="G98" s="1029"/>
      <c r="H98" s="1029"/>
      <c r="I98" s="1029"/>
      <c r="J98" s="1029"/>
      <c r="K98" s="1029"/>
      <c r="L98" s="1029"/>
      <c r="M98" s="1029"/>
      <c r="O98" s="37"/>
      <c r="P98" s="37"/>
      <c r="Q98" s="37"/>
      <c r="R98" s="37"/>
      <c r="S98" s="37"/>
      <c r="T98" s="37"/>
      <c r="U98" s="37"/>
    </row>
    <row r="99" spans="2:21" x14ac:dyDescent="0.25">
      <c r="B99" s="652" t="s">
        <v>1705</v>
      </c>
      <c r="C99" s="652"/>
      <c r="D99" s="652"/>
      <c r="E99" s="174"/>
      <c r="F99" s="90"/>
      <c r="G99" s="1029">
        <f ca="1">'Battery Design'!G394</f>
        <v>16.724757674321431</v>
      </c>
      <c r="H99" s="1029">
        <f ca="1">'Battery Design'!H394</f>
        <v>16.724757674321431</v>
      </c>
      <c r="I99" s="1029">
        <f ca="1">'Battery Design'!I394</f>
        <v>16.768751003437576</v>
      </c>
      <c r="J99" s="1029">
        <f ca="1">'Battery Design'!J394</f>
        <v>16.925287175098585</v>
      </c>
      <c r="K99" s="1029">
        <f ca="1">'Battery Design'!K394</f>
        <v>17.026725923847355</v>
      </c>
      <c r="L99" s="1029">
        <f ca="1">'Battery Design'!L394</f>
        <v>17.433341789538929</v>
      </c>
      <c r="M99" s="1029">
        <f ca="1">'Battery Design'!M394</f>
        <v>18.608768661418349</v>
      </c>
      <c r="O99" s="37"/>
      <c r="P99" s="37"/>
      <c r="Q99" s="37"/>
      <c r="R99" s="37"/>
      <c r="S99" s="37"/>
      <c r="T99" s="37"/>
      <c r="U99" s="37"/>
    </row>
    <row r="100" spans="2:21" x14ac:dyDescent="0.25">
      <c r="B100" s="652" t="s">
        <v>1706</v>
      </c>
      <c r="C100" s="652"/>
      <c r="D100" s="652"/>
      <c r="E100" s="174"/>
      <c r="F100" s="90"/>
      <c r="G100" s="1029">
        <f ca="1">'Battery Design'!G401</f>
        <v>0.9512054238473463</v>
      </c>
      <c r="H100" s="1029">
        <f ca="1">'Battery Design'!H401</f>
        <v>0.9512054238473463</v>
      </c>
      <c r="I100" s="1029">
        <f ca="1">'Battery Design'!I401</f>
        <v>0.95417686349799469</v>
      </c>
      <c r="J100" s="1029">
        <f ca="1">'Battery Design'!J401</f>
        <v>0.95712430380502689</v>
      </c>
      <c r="K100" s="1029">
        <f ca="1">'Battery Design'!K401</f>
        <v>0.96543853010680547</v>
      </c>
      <c r="L100" s="1029">
        <f ca="1">'Battery Design'!L401</f>
        <v>0.97758459066620118</v>
      </c>
      <c r="M100" s="1029">
        <f ca="1">'Battery Design'!M401</f>
        <v>1.0212077034639739</v>
      </c>
      <c r="O100" s="37"/>
      <c r="P100" s="37"/>
      <c r="Q100" s="37"/>
      <c r="R100" s="37"/>
      <c r="S100" s="37"/>
      <c r="T100" s="37"/>
      <c r="U100" s="37"/>
    </row>
    <row r="101" spans="2:21" x14ac:dyDescent="0.25">
      <c r="B101" s="652" t="s">
        <v>1707</v>
      </c>
      <c r="C101" s="652"/>
      <c r="D101" s="652"/>
      <c r="E101" s="174"/>
      <c r="F101" s="90"/>
      <c r="G101" s="1029">
        <f ca="1">G99+G100</f>
        <v>17.675963098168776</v>
      </c>
      <c r="H101" s="1029">
        <f t="shared" ref="H101:M101" ca="1" si="18">H99+H100</f>
        <v>17.675963098168776</v>
      </c>
      <c r="I101" s="1029">
        <f t="shared" ca="1" si="18"/>
        <v>17.722927866935571</v>
      </c>
      <c r="J101" s="1029">
        <f t="shared" ca="1" si="18"/>
        <v>17.882411478903613</v>
      </c>
      <c r="K101" s="1029">
        <f t="shared" ca="1" si="18"/>
        <v>17.99216445395416</v>
      </c>
      <c r="L101" s="1029">
        <f t="shared" ca="1" si="18"/>
        <v>18.41092638020513</v>
      </c>
      <c r="M101" s="1029">
        <f t="shared" ca="1" si="18"/>
        <v>19.629976364882324</v>
      </c>
      <c r="O101" s="37"/>
      <c r="P101" s="37"/>
      <c r="Q101" s="37"/>
      <c r="R101" s="37"/>
      <c r="S101" s="37"/>
      <c r="T101" s="37"/>
      <c r="U101" s="37"/>
    </row>
    <row r="102" spans="2:21" x14ac:dyDescent="0.25">
      <c r="B102" s="652" t="s">
        <v>1708</v>
      </c>
      <c r="C102" s="652"/>
      <c r="D102" s="652"/>
      <c r="E102" s="174"/>
      <c r="F102" s="90"/>
      <c r="G102" s="535">
        <f ca="1">G101/'Battery Design'!G477</f>
        <v>0.17675963098168782</v>
      </c>
      <c r="H102" s="535">
        <f ca="1">H101/'Battery Design'!H477</f>
        <v>0.17675963098168782</v>
      </c>
      <c r="I102" s="535">
        <f ca="1">I101/'Battery Design'!I477</f>
        <v>0.17722927866935578</v>
      </c>
      <c r="J102" s="535">
        <f ca="1">J101/'Battery Design'!J477</f>
        <v>0.1788241147890362</v>
      </c>
      <c r="K102" s="535">
        <f ca="1">K101/'Battery Design'!K477</f>
        <v>0.17992164453954168</v>
      </c>
      <c r="L102" s="535">
        <f ca="1">L101/'Battery Design'!L477</f>
        <v>0.18410926380205136</v>
      </c>
      <c r="M102" s="535">
        <f ca="1">M101/'Battery Design'!M477</f>
        <v>0.19629976364882229</v>
      </c>
      <c r="O102" s="37"/>
      <c r="P102" s="37"/>
      <c r="Q102" s="37"/>
      <c r="R102" s="37"/>
      <c r="S102" s="37"/>
      <c r="T102" s="37"/>
      <c r="U102" s="37"/>
    </row>
    <row r="103" spans="2:21" ht="13" thickBot="1" x14ac:dyDescent="0.3">
      <c r="B103" s="353"/>
      <c r="C103" s="353"/>
      <c r="D103" s="353"/>
      <c r="E103" s="353"/>
      <c r="F103" s="353"/>
      <c r="G103" s="197"/>
      <c r="H103" s="1030"/>
      <c r="I103" s="1030"/>
      <c r="J103" s="1030"/>
      <c r="K103" s="1030"/>
      <c r="L103" s="1030"/>
      <c r="M103" s="1030"/>
    </row>
    <row r="104" spans="2:21" ht="20.5" thickBot="1" x14ac:dyDescent="0.45">
      <c r="B104" s="1453" t="s">
        <v>1709</v>
      </c>
      <c r="C104" s="1454"/>
      <c r="D104" s="1454"/>
      <c r="E104" s="1454"/>
      <c r="F104" s="1454"/>
      <c r="G104" s="1454"/>
      <c r="H104" s="1454"/>
      <c r="I104" s="1454"/>
      <c r="J104" s="1454"/>
      <c r="K104" s="1454"/>
      <c r="L104" s="1454"/>
      <c r="M104" s="1455"/>
    </row>
    <row r="105" spans="2:21" x14ac:dyDescent="0.25">
      <c r="B105" s="353"/>
      <c r="C105" s="353"/>
      <c r="D105" s="353"/>
      <c r="E105" s="353"/>
      <c r="F105" s="353"/>
      <c r="G105" s="165"/>
      <c r="H105" s="353"/>
      <c r="I105" s="353"/>
      <c r="J105" s="353"/>
      <c r="K105" s="353"/>
      <c r="L105" s="353"/>
      <c r="M105" s="353"/>
    </row>
    <row r="106" spans="2:21" x14ac:dyDescent="0.25">
      <c r="B106" s="9" t="s">
        <v>1161</v>
      </c>
      <c r="C106" s="353"/>
      <c r="D106" s="353"/>
      <c r="E106" s="353"/>
      <c r="F106" s="353"/>
      <c r="G106" s="132">
        <f>'Manufacturing Costs'!G13</f>
        <v>200000000</v>
      </c>
      <c r="H106" s="132">
        <f>'Manufacturing Costs'!H13</f>
        <v>200000000</v>
      </c>
      <c r="I106" s="132">
        <f>'Manufacturing Costs'!I13</f>
        <v>200000000</v>
      </c>
      <c r="J106" s="132">
        <f>'Manufacturing Costs'!J13</f>
        <v>200000000</v>
      </c>
      <c r="K106" s="132">
        <f>'Manufacturing Costs'!K13</f>
        <v>200000000</v>
      </c>
      <c r="L106" s="132">
        <f>'Manufacturing Costs'!L13</f>
        <v>200000000</v>
      </c>
      <c r="M106" s="132">
        <f>'Manufacturing Costs'!M13</f>
        <v>200000000</v>
      </c>
    </row>
    <row r="107" spans="2:21" x14ac:dyDescent="0.25">
      <c r="B107" s="353" t="s">
        <v>1710</v>
      </c>
      <c r="C107" s="353"/>
      <c r="D107" s="353"/>
      <c r="E107" s="353"/>
      <c r="F107" s="353"/>
      <c r="G107" s="132">
        <f>'Manufacturing Costs'!G14</f>
        <v>210526315.78947365</v>
      </c>
      <c r="H107" s="132">
        <f>'Manufacturing Costs'!H14</f>
        <v>210526315.78947365</v>
      </c>
      <c r="I107" s="132">
        <f>'Manufacturing Costs'!I14</f>
        <v>210526315.78947365</v>
      </c>
      <c r="J107" s="132">
        <f>'Manufacturing Costs'!J14</f>
        <v>210526315.78947365</v>
      </c>
      <c r="K107" s="132">
        <f>'Manufacturing Costs'!K14</f>
        <v>210526315.78947365</v>
      </c>
      <c r="L107" s="132">
        <f>'Manufacturing Costs'!L14</f>
        <v>210526315.78947365</v>
      </c>
      <c r="M107" s="132">
        <f>'Manufacturing Costs'!M14</f>
        <v>210526315.78947365</v>
      </c>
    </row>
    <row r="108" spans="2:21" x14ac:dyDescent="0.25">
      <c r="B108" s="353" t="s">
        <v>1711</v>
      </c>
      <c r="C108" s="353"/>
      <c r="D108" s="353"/>
      <c r="E108" s="353"/>
      <c r="F108" s="329"/>
      <c r="G108" s="656">
        <f t="shared" ref="G108:M108" si="19">G107-G106</f>
        <v>10526315.789473653</v>
      </c>
      <c r="H108" s="656">
        <f t="shared" si="19"/>
        <v>10526315.789473653</v>
      </c>
      <c r="I108" s="656">
        <f t="shared" si="19"/>
        <v>10526315.789473653</v>
      </c>
      <c r="J108" s="656">
        <f t="shared" si="19"/>
        <v>10526315.789473653</v>
      </c>
      <c r="K108" s="656">
        <f t="shared" si="19"/>
        <v>10526315.789473653</v>
      </c>
      <c r="L108" s="656">
        <f t="shared" si="19"/>
        <v>10526315.789473653</v>
      </c>
      <c r="M108" s="656">
        <f t="shared" si="19"/>
        <v>10526315.789473653</v>
      </c>
    </row>
    <row r="109" spans="2:21" x14ac:dyDescent="0.25">
      <c r="B109" s="353"/>
      <c r="C109" s="353"/>
      <c r="D109" s="353"/>
      <c r="E109" s="353"/>
      <c r="F109" s="329"/>
      <c r="G109" s="656"/>
      <c r="H109" s="656"/>
      <c r="I109" s="656"/>
      <c r="J109" s="656"/>
      <c r="K109" s="656"/>
      <c r="L109" s="656"/>
      <c r="M109" s="656"/>
    </row>
    <row r="110" spans="2:21" ht="15.5" x14ac:dyDescent="0.35">
      <c r="B110" s="6" t="s">
        <v>1712</v>
      </c>
      <c r="C110" s="353"/>
      <c r="D110" s="353"/>
      <c r="E110" s="353"/>
      <c r="F110" s="353"/>
      <c r="G110" s="454"/>
      <c r="H110" s="329"/>
      <c r="I110" s="353"/>
      <c r="J110" s="353"/>
      <c r="K110" s="353"/>
      <c r="L110" s="353"/>
      <c r="M110" s="353"/>
    </row>
    <row r="111" spans="2:21" ht="14" x14ac:dyDescent="0.3">
      <c r="B111" s="665" t="s">
        <v>1713</v>
      </c>
      <c r="N111" s="720"/>
    </row>
    <row r="112" spans="2:21" x14ac:dyDescent="0.25">
      <c r="B112" s="353" t="s">
        <v>1714</v>
      </c>
      <c r="G112" s="329">
        <f ca="1">G107*'Battery Design'!G44*(100-'Cost Input'!$G$12)/100/1000</f>
        <v>5241445.2810187386</v>
      </c>
      <c r="H112" s="329">
        <f ca="1">H107*'Battery Design'!H44*(100-'Cost Input'!$G$12)/100/1000</f>
        <v>5241445.2810187386</v>
      </c>
      <c r="I112" s="329">
        <f ca="1">I107*'Battery Design'!I44*(100-'Cost Input'!$G$12)/100/1000</f>
        <v>5235193.0102504967</v>
      </c>
      <c r="J112" s="329">
        <f ca="1">J107*'Battery Design'!J44*(100-'Cost Input'!$G$12)/100/1000</f>
        <v>5227499.6760354741</v>
      </c>
      <c r="K112" s="329">
        <f ca="1">K107*'Battery Design'!K44*(100-'Cost Input'!$G$12)/100/1000</f>
        <v>5218609.9791589146</v>
      </c>
      <c r="L112" s="329">
        <f ca="1">L107*'Battery Design'!L44*(100-'Cost Input'!$G$12)/100/1000</f>
        <v>5207966.190018109</v>
      </c>
      <c r="M112" s="329">
        <f ca="1">M107*'Battery Design'!M44*(100-'Cost Input'!$G$12)/100/1000</f>
        <v>5193930.265916571</v>
      </c>
    </row>
    <row r="113" spans="2:14" x14ac:dyDescent="0.25">
      <c r="B113" s="353" t="s">
        <v>1715</v>
      </c>
      <c r="C113" s="353"/>
      <c r="D113" s="353"/>
      <c r="E113" s="353"/>
      <c r="F113" s="353"/>
      <c r="G113" s="329">
        <f ca="1">G107*'Battery Design'!G51*(100-'Cost Input'!$G$13)/100/1000</f>
        <v>3555498.6098096529</v>
      </c>
      <c r="H113" s="329">
        <f ca="1">H107*'Battery Design'!H51*(100-'Cost Input'!$G$13)/100/1000</f>
        <v>3555498.6098096529</v>
      </c>
      <c r="I113" s="329">
        <f ca="1">I107*'Battery Design'!I51*(100-'Cost Input'!$G$13)/100/1000</f>
        <v>3550430.9880441516</v>
      </c>
      <c r="J113" s="329">
        <f ca="1">J107*'Battery Design'!J51*(100-'Cost Input'!$G$13)/100/1000</f>
        <v>3544667.9302207166</v>
      </c>
      <c r="K113" s="329">
        <f ca="1">K107*'Battery Design'!K51*(100-'Cost Input'!$G$13)/100/1000</f>
        <v>3536361.0892461203</v>
      </c>
      <c r="L113" s="329">
        <f ca="1">L107*'Battery Design'!L51*(100-'Cost Input'!$G$13)/100/1000</f>
        <v>3526506.8802998993</v>
      </c>
      <c r="M113" s="329">
        <f ca="1">M107*'Battery Design'!M51*(100-'Cost Input'!$G$13)/100/1000</f>
        <v>3507830.4048470058</v>
      </c>
    </row>
    <row r="114" spans="2:14" x14ac:dyDescent="0.25">
      <c r="B114" s="353" t="s">
        <v>1716</v>
      </c>
      <c r="G114" s="329">
        <f ca="1">G107*'Battery Design'!G63*('Battery Design'!$E63/1000000)*('Battery Design'!$F63*1000000)*(100-'Cost Input'!$G$14)/100/1000</f>
        <v>545240.30694061588</v>
      </c>
      <c r="H114" s="329">
        <f ca="1">H107*'Battery Design'!H63*('Battery Design'!$E63/1000000)*('Battery Design'!$F63*1000000)*(100-'Cost Input'!$G$14)/100/1000</f>
        <v>545240.30694061588</v>
      </c>
      <c r="I114" s="329">
        <f ca="1">I107*'Battery Design'!I63*('Battery Design'!$E63/1000000)*('Battery Design'!$F63*1000000)*(100-'Cost Input'!$G$14)/100/1000</f>
        <v>602903.24564106681</v>
      </c>
      <c r="J114" s="329">
        <f ca="1">J107*'Battery Design'!J63*('Battery Design'!$E63/1000000)*('Battery Design'!$F63*1000000)*(100-'Cost Input'!$G$14)/100/1000</f>
        <v>694699.32170853461</v>
      </c>
      <c r="K114" s="329">
        <f ca="1">K107*'Battery Design'!K63*('Battery Design'!$E63/1000000)*('Battery Design'!$F63*1000000)*(100-'Cost Input'!$G$14)/100/1000</f>
        <v>841869.04936666647</v>
      </c>
      <c r="L114" s="329">
        <f ca="1">L107*'Battery Design'!L63*('Battery Design'!$E63/1000000)*('Battery Design'!$F63*1000000)*(100-'Cost Input'!$G$14)/100/1000</f>
        <v>1135042.9992044768</v>
      </c>
      <c r="M114" s="329">
        <f ca="1">M107*'Battery Design'!M63*('Battery Design'!$E63/1000000)*('Battery Design'!$F63*1000000)*(100-'Cost Input'!$G$14)/100/1000</f>
        <v>2111933.7305187974</v>
      </c>
    </row>
    <row r="115" spans="2:14" x14ac:dyDescent="0.25">
      <c r="B115" s="353" t="s">
        <v>1717</v>
      </c>
      <c r="G115" s="329">
        <f ca="1">G107*'Battery Design'!G64*('Battery Design'!$E64/1000000)*('Battery Design'!$F64*1000000)*(100-'Cost Input'!$G$15)/100/1000</f>
        <v>1287206.9833007399</v>
      </c>
      <c r="H115" s="329">
        <f ca="1">H107*'Battery Design'!H64*('Battery Design'!$E64/1000000)*('Battery Design'!$F64*1000000)*(100-'Cost Input'!$G$15)/100/1000</f>
        <v>1287206.9833007399</v>
      </c>
      <c r="I115" s="329">
        <f ca="1">I107*'Battery Design'!I64*('Battery Design'!$E64/1000000)*('Battery Design'!$F64*1000000)*(100-'Cost Input'!$G$15)/100/1000</f>
        <v>1419362.2541043733</v>
      </c>
      <c r="J115" s="329">
        <f ca="1">J107*'Battery Design'!J64*('Battery Design'!$E64/1000000)*('Battery Design'!$F64*1000000)*(100-'Cost Input'!$G$15)/100/1000</f>
        <v>1629569.2288999204</v>
      </c>
      <c r="K115" s="329">
        <f ca="1">K107*'Battery Design'!K64*('Battery Design'!$E64/1000000)*('Battery Design'!$F64*1000000)*(100-'Cost Input'!$G$15)/100/1000</f>
        <v>1966534.8671223526</v>
      </c>
      <c r="L115" s="329">
        <f ca="1">L107*'Battery Design'!L64*('Battery Design'!$E64/1000000)*('Battery Design'!$F64*1000000)*(100-'Cost Input'!$G$15)/100/1000</f>
        <v>2637004.8923641066</v>
      </c>
      <c r="M115" s="329">
        <f ca="1">M107*'Battery Design'!M64*('Battery Design'!$E64/1000000)*('Battery Design'!$F64*1000000)*(100-'Cost Input'!$G$15)/100/1000</f>
        <v>4865411.0071503688</v>
      </c>
    </row>
    <row r="116" spans="2:14" x14ac:dyDescent="0.25">
      <c r="B116" s="353" t="s">
        <v>1718</v>
      </c>
      <c r="G116" s="329">
        <f ca="1">G107*'Battery Design'!G65*('Battery Design'!$E65/1000000)*('Battery Design'!$F65*1000000)*(100-'Cost Input'!$G$16)/100/1000</f>
        <v>26524.64591100813</v>
      </c>
      <c r="H116" s="329">
        <f ca="1">H107*'Battery Design'!H65*('Battery Design'!$E65/1000000)*('Battery Design'!$F65*1000000)*(100-'Cost Input'!$G$16)/100/1000</f>
        <v>26524.64591100813</v>
      </c>
      <c r="I116" s="329">
        <f ca="1">I107*'Battery Design'!I65*('Battery Design'!$E65/1000000)*('Battery Design'!$F65*1000000)*(100-'Cost Input'!$G$16)/100/1000</f>
        <v>29350.171099717441</v>
      </c>
      <c r="J116" s="329">
        <f ca="1">J107*'Battery Design'!J65*('Battery Design'!$E65/1000000)*('Battery Design'!$F65*1000000)*(100-'Cost Input'!$G$16)/100/1000</f>
        <v>33805.518715691353</v>
      </c>
      <c r="K116" s="329">
        <f ca="1">K107*'Battery Design'!K65*('Battery Design'!$E65/1000000)*('Battery Design'!$F65*1000000)*(100-'Cost Input'!$G$16)/100/1000</f>
        <v>41052.449672383133</v>
      </c>
      <c r="L116" s="329">
        <f ca="1">L107*'Battery Design'!L65*('Battery Design'!$E65/1000000)*('Battery Design'!$F65*1000000)*(100-'Cost Input'!$G$16)/100/1000</f>
        <v>55381.634623418598</v>
      </c>
      <c r="M116" s="329">
        <f ca="1">M107*'Battery Design'!M65*('Battery Design'!$E65/1000000)*('Battery Design'!$F65*1000000)*(100-'Cost Input'!$G$16)/100/1000</f>
        <v>103492.98215452164</v>
      </c>
    </row>
    <row r="117" spans="2:14" x14ac:dyDescent="0.25">
      <c r="B117" s="353" t="s">
        <v>1719</v>
      </c>
      <c r="G117" s="329">
        <f ca="1">G107*'Battery Design'!$F66*'Battery Design'!G66*(100-'Cost Input'!$G$17)/100</f>
        <v>179060.43662588365</v>
      </c>
      <c r="H117" s="329">
        <f ca="1">H107*'Battery Design'!$F66*'Battery Design'!H66*(100-'Cost Input'!$G$17)/100</f>
        <v>179060.43662588365</v>
      </c>
      <c r="I117" s="329">
        <f ca="1">I107*'Battery Design'!$F66*'Battery Design'!I66*(100-'Cost Input'!$G$17)/100</f>
        <v>180772.77871620492</v>
      </c>
      <c r="J117" s="329">
        <f ca="1">J107*'Battery Design'!$F66*'Battery Design'!J66*(100-'Cost Input'!$G$17)/100</f>
        <v>183554.86647100307</v>
      </c>
      <c r="K117" s="329">
        <f ca="1">K107*'Battery Design'!$F66*'Battery Design'!K66*(100-'Cost Input'!$G$17)/100</f>
        <v>188163.7081303318</v>
      </c>
      <c r="L117" s="329">
        <f ca="1">L107*'Battery Design'!$F66*'Battery Design'!L66*(100-'Cost Input'!$G$17)/100</f>
        <v>197528.45652862417</v>
      </c>
      <c r="M117" s="329">
        <f ca="1">M107*'Battery Design'!$F66*'Battery Design'!M66*(100-'Cost Input'!$G$17)/100</f>
        <v>229644.99559529414</v>
      </c>
    </row>
    <row r="119" spans="2:14" ht="14" x14ac:dyDescent="0.3">
      <c r="B119" s="665" t="s">
        <v>1720</v>
      </c>
    </row>
    <row r="120" spans="2:14" ht="13" x14ac:dyDescent="0.3">
      <c r="B120" s="327" t="s">
        <v>1721</v>
      </c>
    </row>
    <row r="121" spans="2:14" x14ac:dyDescent="0.25">
      <c r="B121" s="353" t="s">
        <v>1722</v>
      </c>
      <c r="G121" s="329">
        <f ca="1">G107*((G33+G36)*(100-'Cost Input'!$G$12)/100+(G34+G37)*(100-'Cost Input'!$G$13)/100+(G35+G38)*(100-'Cost Input'!$G$17)/100)/1000</f>
        <v>375112.15114270791</v>
      </c>
      <c r="H121" s="329">
        <f ca="1">H107*((H33+H36)*(100-'Cost Input'!$G$12)/100+(H34+H37)*(100-'Cost Input'!$G$13)/100+(H35+H38)*(100-'Cost Input'!$G$17)/100)/1000</f>
        <v>375112.15114270791</v>
      </c>
      <c r="I121" s="329">
        <f ca="1">I107*((I33+I36)*(100-'Cost Input'!$G$12)/100+(I34+I37)*(100-'Cost Input'!$G$13)/100+(I35+I38)*(100-'Cost Input'!$G$17)/100)/1000</f>
        <v>374678.06368697766</v>
      </c>
      <c r="J121" s="329">
        <f ca="1">J107*((J33+J36)*(100-'Cost Input'!$G$12)/100+(J34+J37)*(100-'Cost Input'!$G$13)/100+(J35+J38)*(100-'Cost Input'!$G$17)/100)/1000</f>
        <v>374148.60998587054</v>
      </c>
      <c r="K121" s="329">
        <f ca="1">K107*((K33+K36)*(100-'Cost Input'!$G$12)/100+(K34+K37)*(100-'Cost Input'!$G$13)/100+(K35+K38)*(100-'Cost Input'!$G$17)/100)/1000</f>
        <v>373546.49805192143</v>
      </c>
      <c r="L121" s="329">
        <f ca="1">L107*((L33+L36)*(100-'Cost Input'!$G$12)/100+(L34+L37)*(100-'Cost Input'!$G$13)/100+(L35+L38)*(100-'Cost Input'!$G$17)/100)/1000</f>
        <v>372852.27365332923</v>
      </c>
      <c r="M121" s="329">
        <f ca="1">M107*((M33+M36)*(100-'Cost Input'!$G$12)/100+(M34+M37)*(100-'Cost Input'!$G$13)/100+(M35+M38)*(100-'Cost Input'!$G$17)/100)/1000</f>
        <v>372073.98752037954</v>
      </c>
    </row>
    <row r="122" spans="2:14" x14ac:dyDescent="0.25">
      <c r="B122" s="353" t="str">
        <f>C15 &amp; ", kg/yr"</f>
        <v>Ni, kg/yr</v>
      </c>
      <c r="G122" s="329">
        <f ca="1">G107*(G44*(100-'Cost Input'!$G$12)/100+G45*(100-'Cost Input'!$G$13)/100)/1000</f>
        <v>2530245.1509213024</v>
      </c>
      <c r="H122" s="329">
        <f ca="1">H107*(H44*(100-'Cost Input'!$G$12)/100+H45*(100-'Cost Input'!$G$13)/100)/1000</f>
        <v>2530245.1509213024</v>
      </c>
      <c r="I122" s="329">
        <f ca="1">I107*(I44*(100-'Cost Input'!$G$12)/100+I45*(100-'Cost Input'!$G$13)/100)/1000</f>
        <v>2527226.9418309811</v>
      </c>
      <c r="J122" s="329">
        <f ca="1">J107*(J44*(100-'Cost Input'!$G$12)/100+J45*(100-'Cost Input'!$G$13)/100)/1000</f>
        <v>2523513.0765613262</v>
      </c>
      <c r="K122" s="329">
        <f ca="1">K107*(K44*(100-'Cost Input'!$G$12)/100+K45*(100-'Cost Input'!$G$13)/100)/1000</f>
        <v>2519221.6814958206</v>
      </c>
      <c r="L122" s="329">
        <f ca="1">L107*(L44*(100-'Cost Input'!$G$12)/100+L45*(100-'Cost Input'!$G$13)/100)/1000</f>
        <v>2514083.5193254594</v>
      </c>
      <c r="M122" s="329">
        <f ca="1">M107*(M44*(100-'Cost Input'!$G$12)/100+M45*(100-'Cost Input'!$G$13)/100)/1000</f>
        <v>2507307.8444891255</v>
      </c>
    </row>
    <row r="123" spans="2:14" x14ac:dyDescent="0.25">
      <c r="B123" s="353" t="str">
        <f>D15 &amp; ", kg/yr"</f>
        <v>Co, kg/yr</v>
      </c>
      <c r="G123" s="329">
        <f ca="1">G107*(G51*(100-'Cost Input'!$G$12)/100+G52*(100-'Cost Input'!$G$13)/100)/1000</f>
        <v>317465.82086482784</v>
      </c>
      <c r="H123" s="329">
        <f ca="1">H107*(H51*(100-'Cost Input'!$G$12)/100+H52*(100-'Cost Input'!$G$13)/100)/1000</f>
        <v>317465.82086482784</v>
      </c>
      <c r="I123" s="329">
        <f ca="1">I107*(I51*(100-'Cost Input'!$G$12)/100+I52*(100-'Cost Input'!$G$13)/100)/1000</f>
        <v>317087.1309872673</v>
      </c>
      <c r="J123" s="329">
        <f ca="1">J107*(J51*(100-'Cost Input'!$G$12)/100+J52*(100-'Cost Input'!$G$13)/100)/1000</f>
        <v>316621.15823913924</v>
      </c>
      <c r="K123" s="329">
        <f ca="1">K107*(K51*(100-'Cost Input'!$G$12)/100+K52*(100-'Cost Input'!$G$13)/100)/1000</f>
        <v>316082.72374925209</v>
      </c>
      <c r="L123" s="329">
        <f ca="1">L107*(L51*(100-'Cost Input'!$G$12)/100+L52*(100-'Cost Input'!$G$13)/100)/1000</f>
        <v>315438.04674214212</v>
      </c>
      <c r="M123" s="329">
        <f ca="1">M107*(M51*(100-'Cost Input'!$G$12)/100+M52*(100-'Cost Input'!$G$13)/100)/1000</f>
        <v>314587.91363427055</v>
      </c>
    </row>
    <row r="124" spans="2:14" x14ac:dyDescent="0.25">
      <c r="B124" s="353" t="str">
        <f>E15 &amp; ", kg/yr"</f>
        <v>Mn, kg/yr</v>
      </c>
      <c r="G124" s="329">
        <f ca="1">G107*(G58*(100-'Cost Input'!$G$12)/100+G59*(100-'Cost Input'!$G$13)/100)/1000</f>
        <v>295971.01982544787</v>
      </c>
      <c r="H124" s="329">
        <f ca="1">H107*(H58*(100-'Cost Input'!$G$12)/100+H59*(100-'Cost Input'!$G$13)/100)/1000</f>
        <v>295971.01982544787</v>
      </c>
      <c r="I124" s="329">
        <f ca="1">I107*(I58*(100-'Cost Input'!$G$12)/100+I59*(100-'Cost Input'!$G$13)/100)/1000</f>
        <v>295617.97007365461</v>
      </c>
      <c r="J124" s="329">
        <f ca="1">J107*(J58*(100-'Cost Input'!$G$12)/100+J59*(100-'Cost Input'!$G$13)/100)/1000</f>
        <v>295183.5471518464</v>
      </c>
      <c r="K124" s="329">
        <f ca="1">K107*(K58*(100-'Cost Input'!$G$12)/100+K59*(100-'Cost Input'!$G$13)/100)/1000</f>
        <v>294681.56868800113</v>
      </c>
      <c r="L124" s="329">
        <f ca="1">L107*(L58*(100-'Cost Input'!$G$12)/100+L59*(100-'Cost Input'!$G$13)/100)/1000</f>
        <v>294080.54111680458</v>
      </c>
      <c r="M124" s="329">
        <f ca="1">M107*(M58*(100-'Cost Input'!$G$12)/100+M59*(100-'Cost Input'!$G$13)/100)/1000</f>
        <v>293287.96835341631</v>
      </c>
    </row>
    <row r="125" spans="2:14" x14ac:dyDescent="0.25">
      <c r="B125" s="353" t="str">
        <f>F15 &amp; ", kg/yr"</f>
        <v>P, kg/yr</v>
      </c>
      <c r="G125" s="329">
        <f ca="1">G107*(G65*(100-'Cost Input'!$G$12)/100+G66*(100-'Cost Input'!$G$13)/100)/1000</f>
        <v>0</v>
      </c>
      <c r="H125" s="329">
        <f ca="1">H107*(H65*(100-'Cost Input'!$G$12)/100+H66*(100-'Cost Input'!$G$13)/100)/1000</f>
        <v>0</v>
      </c>
      <c r="I125" s="329">
        <f ca="1">I107*(I65*(100-'Cost Input'!$G$12)/100+I66*(100-'Cost Input'!$G$13)/100)/1000</f>
        <v>0</v>
      </c>
      <c r="J125" s="329">
        <f ca="1">J107*(J65*(100-'Cost Input'!$G$12)/100+J66*(100-'Cost Input'!$G$13)/100)/1000</f>
        <v>0</v>
      </c>
      <c r="K125" s="329">
        <f ca="1">K107*(K65*(100-'Cost Input'!$G$12)/100+K66*(100-'Cost Input'!$G$13)/100)/1000</f>
        <v>0</v>
      </c>
      <c r="L125" s="329">
        <f ca="1">L107*(L65*(100-'Cost Input'!$G$12)/100+L66*(100-'Cost Input'!$G$13)/100)/1000</f>
        <v>0</v>
      </c>
      <c r="M125" s="329">
        <f ca="1">M107*(M65*(100-'Cost Input'!$G$12)/100+M66*(100-'Cost Input'!$G$13)/100)/1000</f>
        <v>0</v>
      </c>
    </row>
    <row r="126" spans="2:14" x14ac:dyDescent="0.25">
      <c r="B126" s="353"/>
      <c r="G126" s="329"/>
      <c r="H126" s="329"/>
      <c r="I126" s="329"/>
      <c r="J126" s="329"/>
      <c r="K126" s="329"/>
      <c r="L126" s="329"/>
      <c r="M126" s="329"/>
    </row>
    <row r="127" spans="2:14" ht="13" x14ac:dyDescent="0.3">
      <c r="B127" s="327" t="s">
        <v>1723</v>
      </c>
      <c r="G127" s="329"/>
      <c r="H127" s="329"/>
      <c r="I127" s="329"/>
      <c r="J127" s="329"/>
      <c r="K127" s="329"/>
      <c r="L127" s="329"/>
      <c r="M127" s="329"/>
    </row>
    <row r="128" spans="2:14" ht="13" x14ac:dyDescent="0.3">
      <c r="B128" s="353" t="s">
        <v>1724</v>
      </c>
      <c r="C128" s="353"/>
      <c r="D128" s="353"/>
      <c r="E128" s="353"/>
      <c r="F128" s="353"/>
      <c r="G128" s="329">
        <f ca="1">G107*G73/G10*(100-'Cost Input'!$G$14)/100</f>
        <v>545240.30694061576</v>
      </c>
      <c r="H128" s="329">
        <f ca="1">H107*H73/H10*(100-'Cost Input'!$G$14)/100</f>
        <v>545240.30694061576</v>
      </c>
      <c r="I128" s="329">
        <f ca="1">I107*I73/I10*(100-'Cost Input'!$G$14)/100</f>
        <v>602903.24564106681</v>
      </c>
      <c r="J128" s="329">
        <f ca="1">J107*J73/J10*(100-'Cost Input'!$G$14)/100</f>
        <v>694699.32170853484</v>
      </c>
      <c r="K128" s="329">
        <f ca="1">K107*K73/K10*(100-'Cost Input'!$G$14)/100</f>
        <v>841869.0493666667</v>
      </c>
      <c r="L128" s="329">
        <f ca="1">L107*L73/L10*(100-'Cost Input'!$G$14)/100</f>
        <v>1135042.9992044768</v>
      </c>
      <c r="M128" s="329">
        <f ca="1">M107*M73/M10*(100-'Cost Input'!$G$14)/100</f>
        <v>2111933.7305187974</v>
      </c>
      <c r="N128" s="737"/>
    </row>
    <row r="129" spans="2:14" ht="13" x14ac:dyDescent="0.3">
      <c r="B129" s="353" t="s">
        <v>1725</v>
      </c>
      <c r="C129" s="353"/>
      <c r="D129" s="353"/>
      <c r="E129" s="353"/>
      <c r="F129" s="353"/>
      <c r="G129" s="329">
        <f ca="1">G107*G81/G10*(100-'Cost Input'!$G$14)/100</f>
        <v>1287206.9833007404</v>
      </c>
      <c r="H129" s="329">
        <f ca="1">H107*H81/H10*(100-'Cost Input'!$G$14)/100</f>
        <v>1287206.9833007404</v>
      </c>
      <c r="I129" s="329">
        <f ca="1">I107*I81/I10*(100-'Cost Input'!$G$14)/100</f>
        <v>1419362.254104373</v>
      </c>
      <c r="J129" s="329">
        <f ca="1">J107*J81/J10*(100-'Cost Input'!$G$14)/100</f>
        <v>1629569.2288999204</v>
      </c>
      <c r="K129" s="329">
        <f ca="1">K107*K81/K10*(100-'Cost Input'!$G$14)/100</f>
        <v>1966534.8671223524</v>
      </c>
      <c r="L129" s="329">
        <f ca="1">L107*L81/L10*(100-'Cost Input'!$G$14)/100</f>
        <v>2637004.8923641061</v>
      </c>
      <c r="M129" s="329">
        <f ca="1">M107*M81/M10*(100-'Cost Input'!$G$14)/100</f>
        <v>4865411.0071503678</v>
      </c>
      <c r="N129" s="737"/>
    </row>
    <row r="130" spans="2:14" x14ac:dyDescent="0.25">
      <c r="B130" s="353"/>
      <c r="C130" s="353"/>
      <c r="D130" s="353"/>
      <c r="E130" s="353"/>
      <c r="F130" s="329"/>
      <c r="G130" s="655"/>
      <c r="H130" s="655"/>
      <c r="I130" s="655"/>
      <c r="J130" s="655"/>
      <c r="K130" s="655"/>
      <c r="L130" s="655"/>
      <c r="M130" s="655"/>
    </row>
    <row r="131" spans="2:14" ht="15.5" x14ac:dyDescent="0.35">
      <c r="B131" s="6" t="s">
        <v>1726</v>
      </c>
      <c r="C131" s="353"/>
      <c r="D131" s="353"/>
      <c r="E131" s="353"/>
      <c r="F131" s="329"/>
      <c r="G131" s="165"/>
      <c r="H131" s="353"/>
      <c r="I131" s="353"/>
      <c r="J131" s="353"/>
      <c r="K131" s="353"/>
      <c r="L131" s="353"/>
      <c r="M131" s="353"/>
    </row>
    <row r="132" spans="2:14" ht="14" x14ac:dyDescent="0.3">
      <c r="B132" s="665" t="s">
        <v>1713</v>
      </c>
    </row>
    <row r="133" spans="2:14" x14ac:dyDescent="0.25">
      <c r="B133" s="353" t="s">
        <v>1714</v>
      </c>
      <c r="C133" s="353"/>
      <c r="D133" s="353"/>
      <c r="E133" s="353"/>
      <c r="F133" s="353"/>
      <c r="G133" s="329">
        <f ca="1">G108*'Battery Design'!G44/1000</f>
        <v>3359900.8211658495</v>
      </c>
      <c r="H133" s="329">
        <f ca="1">H108*'Battery Design'!H44/1000</f>
        <v>3359900.8211658495</v>
      </c>
      <c r="I133" s="329">
        <f ca="1">I108*'Battery Design'!I44/1000</f>
        <v>3355892.9552887715</v>
      </c>
      <c r="J133" s="329">
        <f ca="1">J108*'Battery Design'!J44/1000</f>
        <v>3350961.3307919623</v>
      </c>
      <c r="K133" s="329">
        <f ca="1">K108*'Battery Design'!K44/1000</f>
        <v>3345262.8071531421</v>
      </c>
      <c r="L133" s="329">
        <f ca="1">L108*'Battery Design'!L44/1000</f>
        <v>3338439.865396216</v>
      </c>
      <c r="M133" s="329">
        <f ca="1">M108*'Battery Design'!M44/1000</f>
        <v>3329442.4781516399</v>
      </c>
    </row>
    <row r="134" spans="2:14" x14ac:dyDescent="0.25">
      <c r="B134" s="353" t="s">
        <v>1715</v>
      </c>
      <c r="C134" s="353"/>
      <c r="D134" s="353"/>
      <c r="E134" s="353"/>
      <c r="F134" s="353"/>
      <c r="G134" s="329">
        <f ca="1">G108*'Battery Design'!G51/1000</f>
        <v>2279165.7755190022</v>
      </c>
      <c r="H134" s="329">
        <f ca="1">H108*'Battery Design'!H51/1000</f>
        <v>2279165.7755190022</v>
      </c>
      <c r="I134" s="329">
        <f ca="1">I108*'Battery Design'!I51/1000</f>
        <v>2275917.3000282971</v>
      </c>
      <c r="J134" s="329">
        <f ca="1">J108*'Battery Design'!J51/1000</f>
        <v>2272223.0321927615</v>
      </c>
      <c r="K134" s="329">
        <f ca="1">K108*'Battery Design'!K51/1000</f>
        <v>2266898.1341321231</v>
      </c>
      <c r="L134" s="329">
        <f ca="1">L108*'Battery Design'!L51/1000</f>
        <v>2260581.333525571</v>
      </c>
      <c r="M134" s="329">
        <f ca="1">M108*'Battery Design'!M51/1000</f>
        <v>2248609.23387628</v>
      </c>
    </row>
    <row r="135" spans="2:14" x14ac:dyDescent="0.25">
      <c r="B135" s="353" t="s">
        <v>1716</v>
      </c>
      <c r="C135" s="353"/>
      <c r="D135" s="353"/>
      <c r="E135" s="353"/>
      <c r="F135" s="353"/>
      <c r="G135" s="329">
        <f ca="1">G108*'Battery Design'!G63*('Battery Design'!$E63/1000000)*('Battery Design'!$F63*1000000)/1000</f>
        <v>201940.85442244972</v>
      </c>
      <c r="H135" s="329">
        <f ca="1">H108*'Battery Design'!H63*('Battery Design'!$E63/1000000)*('Battery Design'!$F63*1000000)/1000</f>
        <v>201940.85442244972</v>
      </c>
      <c r="I135" s="329">
        <f ca="1">I108*'Battery Design'!I63*('Battery Design'!$E63/1000000)*('Battery Design'!$F63*1000000)/1000</f>
        <v>223297.49838557965</v>
      </c>
      <c r="J135" s="329">
        <f ca="1">J108*'Battery Design'!J63*('Battery Design'!$E63/1000000)*('Battery Design'!$F63*1000000)/1000</f>
        <v>257296.04507723436</v>
      </c>
      <c r="K135" s="329">
        <f ca="1">K108*'Battery Design'!K63*('Battery Design'!$E63/1000000)*('Battery Design'!$F63*1000000)/1000</f>
        <v>311803.35161728301</v>
      </c>
      <c r="L135" s="329">
        <f ca="1">L108*'Battery Design'!L63*('Battery Design'!$E63/1000000)*('Battery Design'!$F63*1000000)/1000</f>
        <v>420386.29600165685</v>
      </c>
      <c r="M135" s="329">
        <f ca="1">M108*'Battery Design'!M63*('Battery Design'!$E63/1000000)*('Battery Design'!$F63*1000000)/1000</f>
        <v>782197.67796992278</v>
      </c>
    </row>
    <row r="136" spans="2:14" x14ac:dyDescent="0.25">
      <c r="B136" s="353" t="s">
        <v>1717</v>
      </c>
      <c r="C136" s="353"/>
      <c r="D136" s="353"/>
      <c r="E136" s="353"/>
      <c r="F136" s="353"/>
      <c r="G136" s="329">
        <f ca="1">G108*'Battery Design'!G64*('Battery Design'!$E64/1000000)*('Battery Design'!$F64*1000000)/1000</f>
        <v>476743.32714842091</v>
      </c>
      <c r="H136" s="329">
        <f ca="1">H108*'Battery Design'!H64*('Battery Design'!$E64/1000000)*('Battery Design'!$F64*1000000)/1000</f>
        <v>476743.32714842091</v>
      </c>
      <c r="I136" s="329">
        <f ca="1">I108*'Battery Design'!I64*('Battery Design'!$E64/1000000)*('Battery Design'!$F64*1000000)/1000</f>
        <v>525689.72374235897</v>
      </c>
      <c r="J136" s="329">
        <f ca="1">J108*'Battery Design'!J64*('Battery Design'!$E64/1000000)*('Battery Design'!$F64*1000000)/1000</f>
        <v>603544.15885182074</v>
      </c>
      <c r="K136" s="329">
        <f ca="1">K108*'Battery Design'!K64*('Battery Design'!$E64/1000000)*('Battery Design'!$F64*1000000)/1000</f>
        <v>728346.24708235089</v>
      </c>
      <c r="L136" s="329">
        <f ca="1">L108*'Battery Design'!L64*('Battery Design'!$E64/1000000)*('Battery Design'!$F64*1000000)/1000</f>
        <v>976668.47865337005</v>
      </c>
      <c r="M136" s="329">
        <f ca="1">M108*'Battery Design'!M64*('Battery Design'!$E64/1000000)*('Battery Design'!$F64*1000000)/1000</f>
        <v>1802004.0767223535</v>
      </c>
    </row>
    <row r="137" spans="2:14" x14ac:dyDescent="0.25">
      <c r="B137" s="353" t="s">
        <v>1727</v>
      </c>
      <c r="C137" s="353"/>
      <c r="D137" s="353"/>
      <c r="E137" s="353"/>
      <c r="F137" s="353"/>
      <c r="G137" s="329">
        <f ca="1">'Battery Design'!G68/1000*G108</f>
        <v>60521.260462622296</v>
      </c>
      <c r="H137" s="329">
        <f ca="1">'Battery Design'!H68/1000*H108</f>
        <v>60521.260462622296</v>
      </c>
      <c r="I137" s="329">
        <f ca="1">'Battery Design'!I68/1000*I108</f>
        <v>60642.389083942064</v>
      </c>
      <c r="J137" s="329">
        <f ca="1">'Battery Design'!J68/1000*J108</f>
        <v>61101.807799254995</v>
      </c>
      <c r="K137" s="329">
        <f ca="1">'Battery Design'!K68/1000*K108</f>
        <v>61374.788096645294</v>
      </c>
      <c r="L137" s="329">
        <f ca="1">'Battery Design'!L68/1000*L108</f>
        <v>62551.581851483301</v>
      </c>
      <c r="M137" s="329">
        <f ca="1">'Battery Design'!M68/1000*M108</f>
        <v>65917.754948014132</v>
      </c>
    </row>
    <row r="138" spans="2:14" x14ac:dyDescent="0.25">
      <c r="B138" s="353" t="s">
        <v>1728</v>
      </c>
      <c r="C138" s="353"/>
      <c r="D138" s="353"/>
      <c r="E138" s="353"/>
      <c r="F138" s="353"/>
      <c r="G138" s="329">
        <f ca="1">'Battery Design'!G69/1000*G133</f>
        <v>42737.686996710021</v>
      </c>
      <c r="H138" s="329">
        <f ca="1">'Battery Design'!H69/1000*H133</f>
        <v>42737.686996710021</v>
      </c>
      <c r="I138" s="329">
        <f ca="1">'Battery Design'!I69/1000*I133</f>
        <v>42772.141385299394</v>
      </c>
      <c r="J138" s="329">
        <f ca="1">'Battery Design'!J69/1000*J133</f>
        <v>43032.845840612579</v>
      </c>
      <c r="K138" s="329">
        <f ca="1">'Battery Design'!K69/1000*K133</f>
        <v>43151.593650425035</v>
      </c>
      <c r="L138" s="329">
        <f ca="1">'Battery Design'!L69/1000*L133</f>
        <v>43889.279001356743</v>
      </c>
      <c r="M138" s="329">
        <f ca="1">'Battery Design'!M69/1000*M133</f>
        <v>46126.501389661469</v>
      </c>
    </row>
    <row r="139" spans="2:14" x14ac:dyDescent="0.25">
      <c r="B139" s="353" t="s">
        <v>1718</v>
      </c>
      <c r="C139" s="353"/>
      <c r="D139" s="353"/>
      <c r="E139" s="353"/>
      <c r="F139" s="353"/>
      <c r="G139" s="329">
        <f ca="1">G108*'Battery Design'!G65*('Battery Design'!$E65/1000000)*('Battery Design'!$F65*1000000)/1000</f>
        <v>66311.614777520139</v>
      </c>
      <c r="H139" s="329">
        <f ca="1">H108*'Battery Design'!H65*('Battery Design'!$E65/1000000)*('Battery Design'!$F65*1000000)/1000</f>
        <v>66311.614777520139</v>
      </c>
      <c r="I139" s="329">
        <f ca="1">I108*'Battery Design'!I65*('Battery Design'!$E65/1000000)*('Battery Design'!$F65*1000000)/1000</f>
        <v>73375.427749293405</v>
      </c>
      <c r="J139" s="329">
        <f ca="1">J108*'Battery Design'!J65*('Battery Design'!$E65/1000000)*('Battery Design'!$F65*1000000)/1000</f>
        <v>84513.79678922813</v>
      </c>
      <c r="K139" s="329">
        <f ca="1">K108*'Battery Design'!K65*('Battery Design'!$E65/1000000)*('Battery Design'!$F65*1000000)/1000</f>
        <v>102631.12418095753</v>
      </c>
      <c r="L139" s="329">
        <f ca="1">L108*'Battery Design'!L65*('Battery Design'!$E65/1000000)*('Battery Design'!$F65*1000000)/1000</f>
        <v>138454.08655854609</v>
      </c>
      <c r="M139" s="329">
        <f ca="1">M108*'Battery Design'!M65*('Battery Design'!$E65/1000000)*('Battery Design'!$F65*1000000)/1000</f>
        <v>258732.45538630337</v>
      </c>
    </row>
    <row r="140" spans="2:14" x14ac:dyDescent="0.25">
      <c r="B140" s="353" t="s">
        <v>1719</v>
      </c>
      <c r="C140" s="353"/>
      <c r="D140" s="353"/>
      <c r="E140" s="353"/>
      <c r="F140" s="353"/>
      <c r="G140" s="329">
        <f ca="1">G108*'Battery Design'!$F66*'Battery Design'!G66</f>
        <v>895302.18312941573</v>
      </c>
      <c r="H140" s="329">
        <f ca="1">H108*'Battery Design'!$F66*'Battery Design'!H66</f>
        <v>895302.18312941573</v>
      </c>
      <c r="I140" s="329">
        <f ca="1">I108*'Battery Design'!$F66*'Battery Design'!I66</f>
        <v>903863.89358102204</v>
      </c>
      <c r="J140" s="329">
        <f ca="1">J108*'Battery Design'!$F66*'Battery Design'!J66</f>
        <v>917774.33235501265</v>
      </c>
      <c r="K140" s="329">
        <f ca="1">K108*'Battery Design'!$F66*'Battery Design'!K66</f>
        <v>940818.54065165634</v>
      </c>
      <c r="L140" s="329">
        <f ca="1">L108*'Battery Design'!$F66*'Battery Design'!L66</f>
        <v>987642.28264311806</v>
      </c>
      <c r="M140" s="329">
        <f ca="1">M108*'Battery Design'!$F66*'Battery Design'!M66</f>
        <v>1148224.9779764672</v>
      </c>
    </row>
    <row r="141" spans="2:14" x14ac:dyDescent="0.25">
      <c r="B141" s="353" t="s">
        <v>1729</v>
      </c>
      <c r="C141" s="353"/>
      <c r="D141" s="353"/>
      <c r="E141" s="353"/>
      <c r="F141" s="353"/>
      <c r="G141" s="329">
        <f ca="1">G108*'Battery Design'!G76/1000</f>
        <v>172595.42461590021</v>
      </c>
      <c r="H141" s="329">
        <f ca="1">H108*'Battery Design'!H76/1000</f>
        <v>172595.42461590021</v>
      </c>
      <c r="I141" s="329">
        <f ca="1">I108*'Battery Design'!I76/1000</f>
        <v>173886.13390252917</v>
      </c>
      <c r="J141" s="329">
        <f ca="1">J108*'Battery Design'!J76/1000</f>
        <v>175300.3566640717</v>
      </c>
      <c r="K141" s="329">
        <f ca="1">K108*'Battery Design'!K76/1000</f>
        <v>178929.79532045341</v>
      </c>
      <c r="L141" s="329">
        <f ca="1">L108*'Battery Design'!L76/1000</f>
        <v>184597.13050005218</v>
      </c>
      <c r="M141" s="329">
        <f ca="1">M108*'Battery Design'!M76/1000</f>
        <v>205339.35278675985</v>
      </c>
    </row>
    <row r="142" spans="2:14" x14ac:dyDescent="0.25">
      <c r="B142" s="353"/>
      <c r="C142" s="353"/>
      <c r="D142" s="353"/>
      <c r="E142" s="353"/>
      <c r="F142" s="353"/>
      <c r="G142" s="353"/>
      <c r="H142" s="353"/>
      <c r="I142" s="353"/>
      <c r="J142" s="353"/>
      <c r="K142" s="353"/>
      <c r="L142" s="353"/>
      <c r="M142" s="353"/>
    </row>
    <row r="143" spans="2:14" ht="14" x14ac:dyDescent="0.3">
      <c r="B143" s="665" t="s">
        <v>1730</v>
      </c>
      <c r="C143" s="353"/>
      <c r="D143" s="353"/>
      <c r="E143" s="353"/>
      <c r="F143" s="329"/>
      <c r="G143" s="165"/>
      <c r="H143" s="353"/>
      <c r="I143" s="353"/>
      <c r="J143" s="353"/>
      <c r="K143" s="353"/>
      <c r="L143" s="353"/>
      <c r="M143" s="353"/>
    </row>
    <row r="144" spans="2:14" ht="13" x14ac:dyDescent="0.3">
      <c r="B144" s="327" t="s">
        <v>1721</v>
      </c>
      <c r="C144" s="353"/>
      <c r="D144" s="353"/>
      <c r="E144" s="353"/>
      <c r="F144" s="329"/>
      <c r="G144" s="165"/>
      <c r="H144" s="353"/>
      <c r="I144" s="353"/>
      <c r="J144" s="353"/>
      <c r="K144" s="353"/>
      <c r="L144" s="353"/>
      <c r="M144" s="353"/>
    </row>
    <row r="145" spans="2:13" x14ac:dyDescent="0.25">
      <c r="B145" s="353" t="s">
        <v>1722</v>
      </c>
      <c r="C145" s="353"/>
      <c r="D145" s="353"/>
      <c r="E145" s="353"/>
      <c r="F145" s="329"/>
      <c r="G145" s="655">
        <f ca="1">G39*G108/1000</f>
        <v>245873.31491535617</v>
      </c>
      <c r="H145" s="655">
        <f t="shared" ref="H145:M145" ca="1" si="20">H39*H108/1000</f>
        <v>245873.31491535617</v>
      </c>
      <c r="I145" s="655">
        <f t="shared" ca="1" si="20"/>
        <v>245646.85426932815</v>
      </c>
      <c r="J145" s="655">
        <f t="shared" ca="1" si="20"/>
        <v>245391.62259254433</v>
      </c>
      <c r="K145" s="655">
        <f t="shared" ca="1" si="20"/>
        <v>245145.07677308147</v>
      </c>
      <c r="L145" s="655">
        <f t="shared" ca="1" si="20"/>
        <v>244983.35677809434</v>
      </c>
      <c r="M145" s="655">
        <f t="shared" ca="1" si="20"/>
        <v>245456.02189263568</v>
      </c>
    </row>
    <row r="146" spans="2:13" x14ac:dyDescent="0.25">
      <c r="B146" s="353" t="str">
        <f>C15 &amp; ", kg/yr"</f>
        <v>Ni, kg/yr</v>
      </c>
      <c r="C146" s="353"/>
      <c r="D146" s="353"/>
      <c r="E146" s="353"/>
      <c r="F146" s="329"/>
      <c r="G146" s="655">
        <f t="shared" ref="G146:M146" ca="1" si="21">G46*G108/1000</f>
        <v>1621952.0198213437</v>
      </c>
      <c r="H146" s="655">
        <f t="shared" ca="1" si="21"/>
        <v>1621952.0198213437</v>
      </c>
      <c r="I146" s="655">
        <f t="shared" ca="1" si="21"/>
        <v>1620017.2704044713</v>
      </c>
      <c r="J146" s="655">
        <f t="shared" ca="1" si="21"/>
        <v>1617636.5875393071</v>
      </c>
      <c r="K146" s="655">
        <f t="shared" ca="1" si="21"/>
        <v>1614885.693266548</v>
      </c>
      <c r="L146" s="655">
        <f t="shared" ca="1" si="21"/>
        <v>1611591.9995675983</v>
      </c>
      <c r="M146" s="655">
        <f t="shared" ca="1" si="21"/>
        <v>1607248.618262256</v>
      </c>
    </row>
    <row r="147" spans="2:13" x14ac:dyDescent="0.25">
      <c r="B147" s="353" t="str">
        <f>D15 &amp; ", kg/yr"</f>
        <v>Co, kg/yr</v>
      </c>
      <c r="C147" s="353"/>
      <c r="D147" s="353"/>
      <c r="E147" s="353"/>
      <c r="F147" s="329"/>
      <c r="G147" s="655">
        <f t="shared" ref="G147:M147" ca="1" si="22">G53*G108/1000</f>
        <v>203503.73132360709</v>
      </c>
      <c r="H147" s="655">
        <f t="shared" ca="1" si="22"/>
        <v>203503.73132360709</v>
      </c>
      <c r="I147" s="655">
        <f t="shared" ca="1" si="22"/>
        <v>203260.98140209398</v>
      </c>
      <c r="J147" s="655">
        <f t="shared" ca="1" si="22"/>
        <v>202962.28092252463</v>
      </c>
      <c r="K147" s="655">
        <f t="shared" ca="1" si="22"/>
        <v>202617.13060849442</v>
      </c>
      <c r="L147" s="655">
        <f t="shared" ca="1" si="22"/>
        <v>202203.87611675731</v>
      </c>
      <c r="M147" s="655">
        <f t="shared" ca="1" si="22"/>
        <v>201658.91899632677</v>
      </c>
    </row>
    <row r="148" spans="2:13" x14ac:dyDescent="0.25">
      <c r="B148" s="353" t="str">
        <f>E15 &amp; ", kg/yr"</f>
        <v>Mn, kg/yr</v>
      </c>
      <c r="C148" s="353"/>
      <c r="D148" s="353"/>
      <c r="E148" s="353"/>
      <c r="F148" s="329"/>
      <c r="G148" s="655">
        <f t="shared" ref="G148:M148" ca="1" si="23">G60*G108/1000</f>
        <v>189725.01270861996</v>
      </c>
      <c r="H148" s="655">
        <f t="shared" ca="1" si="23"/>
        <v>189725.01270861996</v>
      </c>
      <c r="I148" s="655">
        <f t="shared" ca="1" si="23"/>
        <v>189498.69876516273</v>
      </c>
      <c r="J148" s="655">
        <f t="shared" ca="1" si="23"/>
        <v>189220.2225332344</v>
      </c>
      <c r="K148" s="655">
        <f t="shared" ca="1" si="23"/>
        <v>188898.44146666693</v>
      </c>
      <c r="L148" s="655">
        <f t="shared" ca="1" si="23"/>
        <v>188513.16738256655</v>
      </c>
      <c r="M148" s="655">
        <f t="shared" ca="1" si="23"/>
        <v>188005.10791885614</v>
      </c>
    </row>
    <row r="149" spans="2:13" x14ac:dyDescent="0.25">
      <c r="B149" s="353" t="str">
        <f>F15 &amp; ", kg/yr"</f>
        <v>P, kg/yr</v>
      </c>
      <c r="C149" s="353"/>
      <c r="D149" s="353"/>
      <c r="E149" s="353"/>
      <c r="F149" s="329"/>
      <c r="G149" s="655">
        <f t="shared" ref="G149:M149" ca="1" si="24">G67*G108/1000</f>
        <v>0</v>
      </c>
      <c r="H149" s="655">
        <f t="shared" ca="1" si="24"/>
        <v>0</v>
      </c>
      <c r="I149" s="655">
        <f t="shared" ca="1" si="24"/>
        <v>0</v>
      </c>
      <c r="J149" s="655">
        <f t="shared" ca="1" si="24"/>
        <v>0</v>
      </c>
      <c r="K149" s="655">
        <f t="shared" ca="1" si="24"/>
        <v>0</v>
      </c>
      <c r="L149" s="655">
        <f t="shared" ca="1" si="24"/>
        <v>0</v>
      </c>
      <c r="M149" s="655">
        <f t="shared" ca="1" si="24"/>
        <v>0</v>
      </c>
    </row>
    <row r="150" spans="2:13" x14ac:dyDescent="0.25">
      <c r="B150" s="353"/>
      <c r="C150" s="353"/>
      <c r="D150" s="353"/>
      <c r="E150" s="353"/>
      <c r="F150" s="329"/>
      <c r="G150" s="655"/>
      <c r="H150" s="655"/>
      <c r="I150" s="655"/>
      <c r="J150" s="655"/>
      <c r="K150" s="655"/>
      <c r="L150" s="655"/>
      <c r="M150" s="655"/>
    </row>
    <row r="151" spans="2:13" ht="13" x14ac:dyDescent="0.3">
      <c r="B151" s="327" t="s">
        <v>1731</v>
      </c>
      <c r="C151" s="353"/>
      <c r="D151" s="353"/>
      <c r="E151" s="353"/>
      <c r="F151" s="329"/>
      <c r="G151" s="655"/>
      <c r="H151" s="655"/>
      <c r="I151" s="655"/>
      <c r="J151" s="655"/>
      <c r="K151" s="655"/>
      <c r="L151" s="655"/>
      <c r="M151" s="655"/>
    </row>
    <row r="152" spans="2:13" x14ac:dyDescent="0.25">
      <c r="B152" s="353" t="s">
        <v>1724</v>
      </c>
      <c r="C152" s="353"/>
      <c r="D152" s="353"/>
      <c r="E152" s="353"/>
      <c r="F152" s="329"/>
      <c r="G152" s="655">
        <f t="shared" ref="G152:M152" ca="1" si="25">(G73+G74)/G10*G108</f>
        <v>262462.11488507205</v>
      </c>
      <c r="H152" s="655">
        <f t="shared" ca="1" si="25"/>
        <v>262462.11488507205</v>
      </c>
      <c r="I152" s="655">
        <f t="shared" ca="1" si="25"/>
        <v>283939.88746952172</v>
      </c>
      <c r="J152" s="655">
        <f t="shared" ca="1" si="25"/>
        <v>318397.85287648934</v>
      </c>
      <c r="K152" s="655">
        <f t="shared" ca="1" si="25"/>
        <v>373178.13971392834</v>
      </c>
      <c r="L152" s="655">
        <f t="shared" ca="1" si="25"/>
        <v>482937.87785314018</v>
      </c>
      <c r="M152" s="655">
        <f t="shared" ca="1" si="25"/>
        <v>848115.43291793705</v>
      </c>
    </row>
    <row r="153" spans="2:13" x14ac:dyDescent="0.25">
      <c r="B153" s="353" t="s">
        <v>1725</v>
      </c>
      <c r="C153" s="353"/>
      <c r="D153" s="353"/>
      <c r="E153" s="353"/>
      <c r="F153" s="329"/>
      <c r="G153" s="655">
        <f t="shared" ref="G153:M153" ca="1" si="26">(G81+G82)/G10*G108</f>
        <v>610637.27622128418</v>
      </c>
      <c r="H153" s="655">
        <f t="shared" ca="1" si="26"/>
        <v>610637.27622128418</v>
      </c>
      <c r="I153" s="655">
        <f t="shared" ca="1" si="26"/>
        <v>659851.65119720355</v>
      </c>
      <c r="J153" s="655">
        <f t="shared" ca="1" si="26"/>
        <v>738722.47931634518</v>
      </c>
      <c r="K153" s="655">
        <f t="shared" ca="1" si="26"/>
        <v>864128.49432826228</v>
      </c>
      <c r="L153" s="655">
        <f t="shared" ca="1" si="26"/>
        <v>1115054.200477886</v>
      </c>
      <c r="M153" s="655">
        <f t="shared" ca="1" si="26"/>
        <v>1947836.9370517873</v>
      </c>
    </row>
    <row r="155" spans="2:13" ht="15.5" x14ac:dyDescent="0.35">
      <c r="B155" s="6" t="s">
        <v>1732</v>
      </c>
    </row>
    <row r="156" spans="2:13" ht="14" x14ac:dyDescent="0.3">
      <c r="B156" s="665" t="s">
        <v>1713</v>
      </c>
    </row>
    <row r="157" spans="2:13" x14ac:dyDescent="0.25">
      <c r="B157" s="353" t="s">
        <v>1714</v>
      </c>
      <c r="G157" s="1055">
        <f ca="1">G133+G112</f>
        <v>8601346.1021845881</v>
      </c>
      <c r="H157" s="1055">
        <f t="shared" ref="H157:M157" ca="1" si="27">H133+H112</f>
        <v>8601346.1021845881</v>
      </c>
      <c r="I157" s="1055">
        <f t="shared" ca="1" si="27"/>
        <v>8591085.9655392691</v>
      </c>
      <c r="J157" s="1055">
        <f t="shared" ca="1" si="27"/>
        <v>8578461.0068274364</v>
      </c>
      <c r="K157" s="1055">
        <f t="shared" ca="1" si="27"/>
        <v>8563872.7863120567</v>
      </c>
      <c r="L157" s="1055">
        <f t="shared" ca="1" si="27"/>
        <v>8546406.0554143246</v>
      </c>
      <c r="M157" s="1055">
        <f t="shared" ca="1" si="27"/>
        <v>8523372.7440682109</v>
      </c>
    </row>
    <row r="158" spans="2:13" x14ac:dyDescent="0.25">
      <c r="B158" s="353" t="s">
        <v>1715</v>
      </c>
      <c r="G158" s="1055">
        <f ca="1">G134+G113</f>
        <v>5834664.3853286551</v>
      </c>
      <c r="H158" s="1055">
        <f t="shared" ref="H158:M158" ca="1" si="28">H134+H113</f>
        <v>5834664.3853286551</v>
      </c>
      <c r="I158" s="1055">
        <f t="shared" ca="1" si="28"/>
        <v>5826348.2880724482</v>
      </c>
      <c r="J158" s="1055">
        <f t="shared" ca="1" si="28"/>
        <v>5816890.9624134786</v>
      </c>
      <c r="K158" s="1055">
        <f t="shared" ca="1" si="28"/>
        <v>5803259.2233782429</v>
      </c>
      <c r="L158" s="1055">
        <f t="shared" ca="1" si="28"/>
        <v>5787088.2138254698</v>
      </c>
      <c r="M158" s="1055">
        <f t="shared" ca="1" si="28"/>
        <v>5756439.6387232859</v>
      </c>
    </row>
    <row r="159" spans="2:13" x14ac:dyDescent="0.25">
      <c r="B159" s="353" t="s">
        <v>1716</v>
      </c>
      <c r="G159" s="1055">
        <f ca="1">G135+G114</f>
        <v>747181.16136306559</v>
      </c>
      <c r="H159" s="1055">
        <f t="shared" ref="H159:M160" ca="1" si="29">H135+H114</f>
        <v>747181.16136306559</v>
      </c>
      <c r="I159" s="1055">
        <f t="shared" ca="1" si="29"/>
        <v>826200.74402664648</v>
      </c>
      <c r="J159" s="1055">
        <f t="shared" ca="1" si="29"/>
        <v>951995.366785769</v>
      </c>
      <c r="K159" s="1055">
        <f t="shared" ca="1" si="29"/>
        <v>1153672.4009839494</v>
      </c>
      <c r="L159" s="1055">
        <f t="shared" ca="1" si="29"/>
        <v>1555429.2952061337</v>
      </c>
      <c r="M159" s="1055">
        <f t="shared" ca="1" si="29"/>
        <v>2894131.4084887202</v>
      </c>
    </row>
    <row r="160" spans="2:13" x14ac:dyDescent="0.25">
      <c r="B160" s="353" t="s">
        <v>1717</v>
      </c>
      <c r="G160" s="1055">
        <f ca="1">G136+G115</f>
        <v>1763950.3104491609</v>
      </c>
      <c r="H160" s="1055">
        <f t="shared" ca="1" si="29"/>
        <v>1763950.3104491609</v>
      </c>
      <c r="I160" s="1055">
        <f t="shared" ca="1" si="29"/>
        <v>1945051.9778467324</v>
      </c>
      <c r="J160" s="1055">
        <f t="shared" ca="1" si="29"/>
        <v>2233113.3877517413</v>
      </c>
      <c r="K160" s="1055">
        <f t="shared" ca="1" si="29"/>
        <v>2694881.1142047034</v>
      </c>
      <c r="L160" s="1055">
        <f t="shared" ca="1" si="29"/>
        <v>3613673.3710174765</v>
      </c>
      <c r="M160" s="1055">
        <f t="shared" ca="1" si="29"/>
        <v>6667415.0838727225</v>
      </c>
    </row>
    <row r="161" spans="2:13" x14ac:dyDescent="0.25">
      <c r="B161" s="353" t="s">
        <v>1727</v>
      </c>
      <c r="G161" s="1055">
        <f ca="1">G137</f>
        <v>60521.260462622296</v>
      </c>
      <c r="H161" s="1055">
        <f t="shared" ref="H161:M161" ca="1" si="30">H137</f>
        <v>60521.260462622296</v>
      </c>
      <c r="I161" s="1055">
        <f t="shared" ca="1" si="30"/>
        <v>60642.389083942064</v>
      </c>
      <c r="J161" s="1055">
        <f t="shared" ca="1" si="30"/>
        <v>61101.807799254995</v>
      </c>
      <c r="K161" s="1055">
        <f t="shared" ca="1" si="30"/>
        <v>61374.788096645294</v>
      </c>
      <c r="L161" s="1055">
        <f t="shared" ca="1" si="30"/>
        <v>62551.581851483301</v>
      </c>
      <c r="M161" s="1055">
        <f t="shared" ca="1" si="30"/>
        <v>65917.754948014132</v>
      </c>
    </row>
    <row r="162" spans="2:13" x14ac:dyDescent="0.25">
      <c r="B162" s="353" t="s">
        <v>1728</v>
      </c>
      <c r="G162" s="1055">
        <f ca="1">G138</f>
        <v>42737.686996710021</v>
      </c>
      <c r="H162" s="1055">
        <f t="shared" ref="H162:M162" ca="1" si="31">H138</f>
        <v>42737.686996710021</v>
      </c>
      <c r="I162" s="1055">
        <f t="shared" ca="1" si="31"/>
        <v>42772.141385299394</v>
      </c>
      <c r="J162" s="1055">
        <f t="shared" ca="1" si="31"/>
        <v>43032.845840612579</v>
      </c>
      <c r="K162" s="1055">
        <f t="shared" ca="1" si="31"/>
        <v>43151.593650425035</v>
      </c>
      <c r="L162" s="1055">
        <f t="shared" ca="1" si="31"/>
        <v>43889.279001356743</v>
      </c>
      <c r="M162" s="1055">
        <f t="shared" ca="1" si="31"/>
        <v>46126.501389661469</v>
      </c>
    </row>
    <row r="163" spans="2:13" x14ac:dyDescent="0.25">
      <c r="B163" s="353" t="s">
        <v>1718</v>
      </c>
      <c r="G163" s="1055">
        <f ca="1">G116+G139</f>
        <v>92836.260688528273</v>
      </c>
      <c r="H163" s="1055">
        <f t="shared" ref="H163:M163" ca="1" si="32">H116+H139</f>
        <v>92836.260688528273</v>
      </c>
      <c r="I163" s="1055">
        <f t="shared" ca="1" si="32"/>
        <v>102725.59884901084</v>
      </c>
      <c r="J163" s="1055">
        <f t="shared" ca="1" si="32"/>
        <v>118319.31550491948</v>
      </c>
      <c r="K163" s="1055">
        <f t="shared" ca="1" si="32"/>
        <v>143683.57385334067</v>
      </c>
      <c r="L163" s="1055">
        <f t="shared" ca="1" si="32"/>
        <v>193835.72118196468</v>
      </c>
      <c r="M163" s="1055">
        <f t="shared" ca="1" si="32"/>
        <v>362225.43754082499</v>
      </c>
    </row>
    <row r="164" spans="2:13" x14ac:dyDescent="0.25">
      <c r="B164" s="353" t="s">
        <v>1719</v>
      </c>
      <c r="G164" s="1055">
        <f ca="1">G117+G140</f>
        <v>1074362.6197552993</v>
      </c>
      <c r="H164" s="1055">
        <f t="shared" ref="H164:M164" ca="1" si="33">H117+H140</f>
        <v>1074362.6197552993</v>
      </c>
      <c r="I164" s="1055">
        <f t="shared" ca="1" si="33"/>
        <v>1084636.672297227</v>
      </c>
      <c r="J164" s="1055">
        <f t="shared" ca="1" si="33"/>
        <v>1101329.1988260157</v>
      </c>
      <c r="K164" s="1055">
        <f t="shared" ca="1" si="33"/>
        <v>1128982.2487819882</v>
      </c>
      <c r="L164" s="1055">
        <f t="shared" ca="1" si="33"/>
        <v>1185170.7391717422</v>
      </c>
      <c r="M164" s="1055">
        <f t="shared" ca="1" si="33"/>
        <v>1377869.9735717613</v>
      </c>
    </row>
    <row r="165" spans="2:13" x14ac:dyDescent="0.25">
      <c r="B165" s="353" t="s">
        <v>1729</v>
      </c>
      <c r="G165" s="1055">
        <f ca="1">G141</f>
        <v>172595.42461590021</v>
      </c>
      <c r="H165" s="1055">
        <f t="shared" ref="H165:M165" ca="1" si="34">H141</f>
        <v>172595.42461590021</v>
      </c>
      <c r="I165" s="1055">
        <f t="shared" ca="1" si="34"/>
        <v>173886.13390252917</v>
      </c>
      <c r="J165" s="1055">
        <f t="shared" ca="1" si="34"/>
        <v>175300.3566640717</v>
      </c>
      <c r="K165" s="1055">
        <f t="shared" ca="1" si="34"/>
        <v>178929.79532045341</v>
      </c>
      <c r="L165" s="1055">
        <f t="shared" ca="1" si="34"/>
        <v>184597.13050005218</v>
      </c>
      <c r="M165" s="1055">
        <f t="shared" ca="1" si="34"/>
        <v>205339.35278675985</v>
      </c>
    </row>
    <row r="166" spans="2:13" x14ac:dyDescent="0.25">
      <c r="B166" s="353"/>
    </row>
    <row r="167" spans="2:13" ht="14" x14ac:dyDescent="0.3">
      <c r="B167" s="665" t="s">
        <v>1730</v>
      </c>
    </row>
    <row r="168" spans="2:13" ht="13" x14ac:dyDescent="0.3">
      <c r="B168" s="327" t="s">
        <v>1721</v>
      </c>
    </row>
    <row r="169" spans="2:13" x14ac:dyDescent="0.25">
      <c r="B169" s="353" t="s">
        <v>1722</v>
      </c>
      <c r="G169" s="1055">
        <f ca="1">G121+G145</f>
        <v>620985.46605806402</v>
      </c>
      <c r="H169" s="1055">
        <f t="shared" ref="H169:M169" ca="1" si="35">H121+H145</f>
        <v>620985.46605806402</v>
      </c>
      <c r="I169" s="1055">
        <f t="shared" ca="1" si="35"/>
        <v>620324.91795630578</v>
      </c>
      <c r="J169" s="1055">
        <f t="shared" ca="1" si="35"/>
        <v>619540.23257841484</v>
      </c>
      <c r="K169" s="1055">
        <f t="shared" ca="1" si="35"/>
        <v>618691.57482500293</v>
      </c>
      <c r="L169" s="1055">
        <f t="shared" ca="1" si="35"/>
        <v>617835.63043142355</v>
      </c>
      <c r="M169" s="1055">
        <f t="shared" ca="1" si="35"/>
        <v>617530.00941301521</v>
      </c>
    </row>
    <row r="170" spans="2:13" x14ac:dyDescent="0.25">
      <c r="B170" s="353" t="str">
        <f>C15 &amp; ", kg/yr"</f>
        <v>Ni, kg/yr</v>
      </c>
      <c r="G170" s="1055">
        <f ca="1">G122+G146</f>
        <v>4152197.1707426459</v>
      </c>
      <c r="H170" s="1055">
        <f t="shared" ref="H170:M173" ca="1" si="36">H122+H146</f>
        <v>4152197.1707426459</v>
      </c>
      <c r="I170" s="1055">
        <f t="shared" ca="1" si="36"/>
        <v>4147244.2122354526</v>
      </c>
      <c r="J170" s="1055">
        <f t="shared" ca="1" si="36"/>
        <v>4141149.664100633</v>
      </c>
      <c r="K170" s="1055">
        <f t="shared" ca="1" si="36"/>
        <v>4134107.3747623684</v>
      </c>
      <c r="L170" s="1055">
        <f t="shared" ca="1" si="36"/>
        <v>4125675.5188930575</v>
      </c>
      <c r="M170" s="1055">
        <f t="shared" ca="1" si="36"/>
        <v>4114556.4627513816</v>
      </c>
    </row>
    <row r="171" spans="2:13" x14ac:dyDescent="0.25">
      <c r="B171" s="353" t="str">
        <f>D15 &amp; ", kg/yr"</f>
        <v>Co, kg/yr</v>
      </c>
      <c r="G171" s="1055">
        <f ca="1">G123+G147</f>
        <v>520969.55218843493</v>
      </c>
      <c r="H171" s="1055">
        <f t="shared" ca="1" si="36"/>
        <v>520969.55218843493</v>
      </c>
      <c r="I171" s="1055">
        <f t="shared" ca="1" si="36"/>
        <v>520348.11238936125</v>
      </c>
      <c r="J171" s="1055">
        <f t="shared" ca="1" si="36"/>
        <v>519583.43916166387</v>
      </c>
      <c r="K171" s="1055">
        <f t="shared" ca="1" si="36"/>
        <v>518699.85435774655</v>
      </c>
      <c r="L171" s="1055">
        <f t="shared" ca="1" si="36"/>
        <v>517641.92285889946</v>
      </c>
      <c r="M171" s="1055">
        <f t="shared" ca="1" si="36"/>
        <v>516246.83263059729</v>
      </c>
    </row>
    <row r="172" spans="2:13" x14ac:dyDescent="0.25">
      <c r="B172" s="353" t="str">
        <f>E15 &amp; ", kg/yr"</f>
        <v>Mn, kg/yr</v>
      </c>
      <c r="G172" s="1055">
        <f ca="1">G124+G148</f>
        <v>485696.03253406787</v>
      </c>
      <c r="H172" s="1055">
        <f t="shared" ca="1" si="36"/>
        <v>485696.03253406787</v>
      </c>
      <c r="I172" s="1055">
        <f t="shared" ca="1" si="36"/>
        <v>485116.66883881734</v>
      </c>
      <c r="J172" s="1055">
        <f t="shared" ca="1" si="36"/>
        <v>484403.7696850808</v>
      </c>
      <c r="K172" s="1055">
        <f t="shared" ca="1" si="36"/>
        <v>483580.01015466807</v>
      </c>
      <c r="L172" s="1055">
        <f t="shared" ca="1" si="36"/>
        <v>482593.70849937113</v>
      </c>
      <c r="M172" s="1055">
        <f t="shared" ca="1" si="36"/>
        <v>481293.07627227245</v>
      </c>
    </row>
    <row r="173" spans="2:13" x14ac:dyDescent="0.25">
      <c r="B173" s="353" t="str">
        <f>F15 &amp; ", kg/yr"</f>
        <v>P, kg/yr</v>
      </c>
      <c r="G173" s="1055">
        <f ca="1">G125+G149</f>
        <v>0</v>
      </c>
      <c r="H173" s="1055">
        <f t="shared" ca="1" si="36"/>
        <v>0</v>
      </c>
      <c r="I173" s="1055">
        <f t="shared" ca="1" si="36"/>
        <v>0</v>
      </c>
      <c r="J173" s="1055">
        <f t="shared" ca="1" si="36"/>
        <v>0</v>
      </c>
      <c r="K173" s="1055">
        <f t="shared" ca="1" si="36"/>
        <v>0</v>
      </c>
      <c r="L173" s="1055">
        <f t="shared" ca="1" si="36"/>
        <v>0</v>
      </c>
      <c r="M173" s="1055">
        <f t="shared" ca="1" si="36"/>
        <v>0</v>
      </c>
    </row>
    <row r="174" spans="2:13" x14ac:dyDescent="0.25">
      <c r="B174" s="353"/>
      <c r="G174" s="1055"/>
      <c r="H174" s="1055"/>
      <c r="I174" s="1055"/>
      <c r="J174" s="1055"/>
      <c r="K174" s="1055"/>
      <c r="L174" s="1055"/>
      <c r="M174" s="1055"/>
    </row>
    <row r="175" spans="2:13" ht="13" x14ac:dyDescent="0.3">
      <c r="B175" s="327" t="s">
        <v>1731</v>
      </c>
      <c r="G175" s="1055"/>
      <c r="H175" s="1055"/>
      <c r="I175" s="1055"/>
      <c r="J175" s="1055"/>
      <c r="K175" s="1055"/>
      <c r="L175" s="1055"/>
      <c r="M175" s="1055"/>
    </row>
    <row r="176" spans="2:13" x14ac:dyDescent="0.25">
      <c r="B176" s="353" t="s">
        <v>1724</v>
      </c>
      <c r="G176" s="1055">
        <f t="shared" ref="G176:M177" ca="1" si="37">G128+G152</f>
        <v>807702.42182568787</v>
      </c>
      <c r="H176" s="1055">
        <f t="shared" ca="1" si="37"/>
        <v>807702.42182568787</v>
      </c>
      <c r="I176" s="1055">
        <f t="shared" ca="1" si="37"/>
        <v>886843.13311058853</v>
      </c>
      <c r="J176" s="1055">
        <f t="shared" ca="1" si="37"/>
        <v>1013097.1745850241</v>
      </c>
      <c r="K176" s="1055">
        <f t="shared" ca="1" si="37"/>
        <v>1215047.189080595</v>
      </c>
      <c r="L176" s="1055">
        <f t="shared" ca="1" si="37"/>
        <v>1617980.8770576171</v>
      </c>
      <c r="M176" s="1055">
        <f t="shared" ca="1" si="37"/>
        <v>2960049.1634367346</v>
      </c>
    </row>
    <row r="177" spans="2:13" x14ac:dyDescent="0.25">
      <c r="B177" s="353" t="s">
        <v>1725</v>
      </c>
      <c r="G177" s="1055">
        <f t="shared" ca="1" si="37"/>
        <v>1897844.2595220245</v>
      </c>
      <c r="H177" s="1055">
        <f t="shared" ca="1" si="37"/>
        <v>1897844.2595220245</v>
      </c>
      <c r="I177" s="1055">
        <f t="shared" ca="1" si="37"/>
        <v>2079213.9053015765</v>
      </c>
      <c r="J177" s="1055">
        <f t="shared" ca="1" si="37"/>
        <v>2368291.7082162658</v>
      </c>
      <c r="K177" s="1055">
        <f t="shared" ca="1" si="37"/>
        <v>2830663.3614506144</v>
      </c>
      <c r="L177" s="1055">
        <f t="shared" ca="1" si="37"/>
        <v>3752059.0928419922</v>
      </c>
      <c r="M177" s="1055">
        <f t="shared" ca="1" si="37"/>
        <v>6813247.9442021549</v>
      </c>
    </row>
  </sheetData>
  <mergeCells count="10">
    <mergeCell ref="N1:O1"/>
    <mergeCell ref="B20:M20"/>
    <mergeCell ref="B104:M104"/>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Lists!$R$17:$AA$17</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72"/>
  <sheetViews>
    <sheetView workbookViewId="0">
      <pane ySplit="6" topLeftCell="A7" activePane="bottomLeft" state="frozen"/>
      <selection pane="bottomLeft"/>
    </sheetView>
  </sheetViews>
  <sheetFormatPr defaultColWidth="8.54296875" defaultRowHeight="12.5" x14ac:dyDescent="0.25"/>
  <cols>
    <col min="1" max="1" width="3.453125" style="353" customWidth="1"/>
    <col min="2" max="2" width="21.453125" customWidth="1"/>
    <col min="3" max="3" width="13.453125" customWidth="1"/>
    <col min="4" max="4" width="11" customWidth="1"/>
    <col min="5" max="5" width="12.54296875" customWidth="1"/>
    <col min="6" max="6" width="15" customWidth="1"/>
    <col min="7" max="13" width="11" bestFit="1" customWidth="1"/>
    <col min="14" max="14" width="19" customWidth="1"/>
    <col min="15" max="15" width="18.453125" bestFit="1" customWidth="1"/>
    <col min="16" max="16" width="18.26953125" customWidth="1"/>
    <col min="17" max="17" width="21.54296875" customWidth="1"/>
    <col min="18" max="18" width="11.453125" customWidth="1"/>
    <col min="22" max="22" width="10.453125" customWidth="1"/>
  </cols>
  <sheetData>
    <row r="1" spans="1:28" s="353" customFormat="1" ht="18.5" thickBot="1" x14ac:dyDescent="0.45">
      <c r="A1" s="174"/>
      <c r="B1" s="1505" t="s">
        <v>1733</v>
      </c>
      <c r="C1" s="1505"/>
      <c r="D1" s="1505"/>
      <c r="E1" s="1505"/>
      <c r="F1" s="1505"/>
      <c r="G1" s="1505"/>
      <c r="H1" s="1505"/>
      <c r="I1" s="1505"/>
      <c r="J1" s="1505"/>
      <c r="K1" s="1505"/>
      <c r="L1" s="1505"/>
      <c r="M1" s="1506"/>
      <c r="N1" s="1419" t="s">
        <v>6</v>
      </c>
      <c r="O1" s="1420"/>
      <c r="P1"/>
    </row>
    <row r="2" spans="1:28" s="353" customFormat="1" ht="16" thickBot="1" x14ac:dyDescent="0.4">
      <c r="A2" s="17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c r="P2"/>
    </row>
    <row r="3" spans="1:28" s="353" customFormat="1" ht="15.5" x14ac:dyDescent="0.35">
      <c r="A3" s="174"/>
      <c r="B3" s="1445" t="s">
        <v>122</v>
      </c>
      <c r="C3" s="1445"/>
      <c r="D3" s="1445"/>
      <c r="E3" s="1445"/>
      <c r="F3" s="1445"/>
      <c r="G3" s="1445"/>
      <c r="H3" s="1445"/>
      <c r="I3" s="1445"/>
      <c r="J3" s="1445"/>
      <c r="K3" s="1445"/>
      <c r="L3" s="1445"/>
      <c r="M3" s="1492"/>
      <c r="N3" s="1243" t="s">
        <v>12</v>
      </c>
      <c r="O3" s="1242" t="s">
        <v>13</v>
      </c>
      <c r="P3"/>
    </row>
    <row r="4" spans="1:28" s="353" customFormat="1" ht="13" x14ac:dyDescent="0.3">
      <c r="A4" s="174"/>
      <c r="B4" s="1447" t="s">
        <v>282</v>
      </c>
      <c r="C4" s="1447"/>
      <c r="D4" s="1447"/>
      <c r="E4" s="1447"/>
      <c r="F4" s="264"/>
      <c r="G4" s="1448" t="s">
        <v>9</v>
      </c>
      <c r="H4" s="1448"/>
      <c r="I4" s="1448"/>
      <c r="J4" s="1448"/>
      <c r="K4" s="1448"/>
      <c r="L4" s="1448"/>
      <c r="M4" s="1448"/>
      <c r="N4" s="1240" t="s">
        <v>14</v>
      </c>
      <c r="O4" s="1242" t="s">
        <v>15</v>
      </c>
      <c r="P4"/>
    </row>
    <row r="5" spans="1:28" s="353" customFormat="1" ht="13.5" thickBot="1" x14ac:dyDescent="0.35">
      <c r="A5" s="174"/>
      <c r="B5" s="1470" t="s">
        <v>10</v>
      </c>
      <c r="C5" s="1470"/>
      <c r="D5" s="1470"/>
      <c r="E5" s="1470"/>
      <c r="F5" s="687"/>
      <c r="G5" s="1507" t="s">
        <v>11</v>
      </c>
      <c r="H5" s="1507"/>
      <c r="I5" s="1507"/>
      <c r="J5" s="1507"/>
      <c r="K5" s="1507"/>
      <c r="L5" s="1507"/>
      <c r="M5" s="1507"/>
      <c r="N5" s="1240" t="s">
        <v>17</v>
      </c>
      <c r="O5" s="1246" t="s">
        <v>18</v>
      </c>
      <c r="P5"/>
    </row>
    <row r="6" spans="1:28" ht="19.149999999999999" customHeight="1" thickBot="1" x14ac:dyDescent="0.4">
      <c r="B6" s="58"/>
      <c r="C6" s="684"/>
      <c r="D6" s="684"/>
      <c r="E6" s="684"/>
      <c r="F6" s="684"/>
      <c r="G6" s="685" t="s">
        <v>50</v>
      </c>
      <c r="H6" s="685" t="s">
        <v>51</v>
      </c>
      <c r="I6" s="685" t="s">
        <v>52</v>
      </c>
      <c r="J6" s="685" t="s">
        <v>53</v>
      </c>
      <c r="K6" s="685" t="s">
        <v>54</v>
      </c>
      <c r="L6" s="685" t="s">
        <v>55</v>
      </c>
      <c r="M6" s="686" t="s">
        <v>56</v>
      </c>
      <c r="N6" s="1244" t="s">
        <v>22</v>
      </c>
      <c r="O6" s="1245" t="s">
        <v>23</v>
      </c>
      <c r="P6" s="28"/>
    </row>
    <row r="7" spans="1:28" ht="19.149999999999999" customHeight="1" thickBot="1" x14ac:dyDescent="0.4">
      <c r="B7" s="5"/>
      <c r="C7" s="681"/>
      <c r="D7" s="681"/>
      <c r="E7" s="681"/>
      <c r="F7" s="681"/>
      <c r="G7" s="682"/>
      <c r="H7" s="682"/>
      <c r="I7" s="682"/>
      <c r="J7" s="682"/>
      <c r="K7" s="682"/>
      <c r="L7" s="682"/>
      <c r="M7" s="683"/>
      <c r="P7" s="28"/>
    </row>
    <row r="8" spans="1:28" ht="19.149999999999999" customHeight="1" thickBot="1" x14ac:dyDescent="0.45">
      <c r="B8" s="1453" t="s">
        <v>1734</v>
      </c>
      <c r="C8" s="1454"/>
      <c r="D8" s="1454"/>
      <c r="E8" s="1454"/>
      <c r="F8" s="1454"/>
      <c r="G8" s="1454"/>
      <c r="H8" s="1454"/>
      <c r="I8" s="1454"/>
      <c r="J8" s="1454"/>
      <c r="K8" s="1454"/>
      <c r="L8" s="1454"/>
      <c r="M8" s="1455"/>
      <c r="P8" s="28"/>
    </row>
    <row r="9" spans="1:28" ht="12.75" customHeight="1" x14ac:dyDescent="0.35">
      <c r="B9" s="6"/>
      <c r="C9" s="681"/>
      <c r="D9" s="681"/>
      <c r="E9" s="681"/>
      <c r="F9" s="681"/>
      <c r="G9" s="682"/>
      <c r="H9" s="682"/>
      <c r="I9" s="682"/>
      <c r="J9" s="682"/>
      <c r="K9" s="682"/>
      <c r="L9" s="682"/>
      <c r="M9" s="683"/>
      <c r="P9" s="28"/>
    </row>
    <row r="10" spans="1:28" s="7" customFormat="1" ht="14.25" customHeight="1" x14ac:dyDescent="0.35">
      <c r="B10" s="353" t="s">
        <v>1735</v>
      </c>
      <c r="C10" s="353"/>
      <c r="D10" s="353"/>
      <c r="E10" s="353"/>
      <c r="F10" s="353"/>
      <c r="G10" s="456">
        <f>Dashboard!D63</f>
        <v>30</v>
      </c>
      <c r="H10" s="456">
        <f>Dashboard!E63</f>
        <v>30</v>
      </c>
      <c r="I10" s="456">
        <f>Dashboard!F63</f>
        <v>30</v>
      </c>
      <c r="J10" s="456">
        <f>Dashboard!G63</f>
        <v>30</v>
      </c>
      <c r="K10" s="456">
        <f>Dashboard!H63</f>
        <v>30</v>
      </c>
      <c r="L10" s="456">
        <f>Dashboard!I63</f>
        <v>30</v>
      </c>
      <c r="M10" s="456">
        <f>Dashboard!J63</f>
        <v>30</v>
      </c>
      <c r="U10"/>
      <c r="V10" s="89"/>
    </row>
    <row r="11" spans="1:28" ht="13" x14ac:dyDescent="0.3">
      <c r="B11" s="353" t="s">
        <v>1736</v>
      </c>
      <c r="G11" s="126">
        <v>15</v>
      </c>
      <c r="H11" s="126">
        <v>15</v>
      </c>
      <c r="I11" s="126">
        <v>15</v>
      </c>
      <c r="J11" s="126">
        <v>15</v>
      </c>
      <c r="K11" s="126">
        <v>15</v>
      </c>
      <c r="L11" s="126">
        <v>15</v>
      </c>
      <c r="M11" s="126">
        <v>15</v>
      </c>
      <c r="V11" s="56"/>
      <c r="W11" s="56"/>
    </row>
    <row r="12" spans="1:28" ht="13" x14ac:dyDescent="0.3">
      <c r="B12" s="353" t="s">
        <v>1737</v>
      </c>
      <c r="G12" s="127">
        <v>5</v>
      </c>
      <c r="H12" s="127">
        <v>5</v>
      </c>
      <c r="I12" s="127">
        <v>5</v>
      </c>
      <c r="J12" s="127">
        <v>5</v>
      </c>
      <c r="K12" s="127">
        <v>5</v>
      </c>
      <c r="L12" s="127">
        <v>5</v>
      </c>
      <c r="M12" s="127">
        <v>5</v>
      </c>
      <c r="V12" s="54"/>
      <c r="W12" s="54"/>
    </row>
    <row r="13" spans="1:28" x14ac:dyDescent="0.25">
      <c r="B13" t="s">
        <v>1738</v>
      </c>
      <c r="G13" s="8">
        <f>'Battery Design'!G24*'Battery Design'!G459/100</f>
        <v>85</v>
      </c>
      <c r="H13" s="8">
        <f>'Battery Design'!H24*'Battery Design'!H459/100</f>
        <v>85</v>
      </c>
      <c r="I13" s="8">
        <f>'Battery Design'!I24*'Battery Design'!I459/100</f>
        <v>85</v>
      </c>
      <c r="J13" s="8">
        <f>'Battery Design'!J24*'Battery Design'!J459/100</f>
        <v>85</v>
      </c>
      <c r="K13" s="8">
        <f>'Battery Design'!K24*'Battery Design'!K459/100</f>
        <v>85</v>
      </c>
      <c r="L13" s="8">
        <f>'Battery Design'!L24*'Battery Design'!L459/100</f>
        <v>85</v>
      </c>
      <c r="M13" s="8">
        <f>'Battery Design'!M24*'Battery Design'!M459/100</f>
        <v>85</v>
      </c>
      <c r="V13" s="44"/>
    </row>
    <row r="14" spans="1:28" x14ac:dyDescent="0.25">
      <c r="B14" s="353" t="s">
        <v>1739</v>
      </c>
      <c r="G14" s="43">
        <f>0.85</f>
        <v>0.85</v>
      </c>
      <c r="H14" s="43">
        <f t="shared" ref="H14:M14" si="0">0.85</f>
        <v>0.85</v>
      </c>
      <c r="I14" s="43">
        <f t="shared" si="0"/>
        <v>0.85</v>
      </c>
      <c r="J14" s="43">
        <f t="shared" si="0"/>
        <v>0.85</v>
      </c>
      <c r="K14" s="43">
        <f t="shared" si="0"/>
        <v>0.85</v>
      </c>
      <c r="L14" s="43">
        <f t="shared" si="0"/>
        <v>0.85</v>
      </c>
      <c r="M14" s="43">
        <f t="shared" si="0"/>
        <v>0.85</v>
      </c>
      <c r="V14" s="52"/>
    </row>
    <row r="15" spans="1:28" x14ac:dyDescent="0.25">
      <c r="B15" t="s">
        <v>1740</v>
      </c>
      <c r="G15" s="3">
        <f ca="1">'Battery Design'!G446-0.5*'Battery Design'!G444</f>
        <v>451.58888027674277</v>
      </c>
      <c r="H15" s="3">
        <f ca="1">'Battery Design'!H446-0.5*'Battery Design'!H444</f>
        <v>451.58888027674277</v>
      </c>
      <c r="I15" s="3">
        <f ca="1">'Battery Design'!I446-0.5*'Battery Design'!I444</f>
        <v>454.90416353655661</v>
      </c>
      <c r="J15" s="3">
        <f ca="1">'Battery Design'!J446-0.5*'Battery Design'!J444</f>
        <v>461.11338839099631</v>
      </c>
      <c r="K15" s="3">
        <f ca="1">'Battery Design'!K446-0.5*'Battery Design'!K444</f>
        <v>469.81627514970336</v>
      </c>
      <c r="L15" s="3">
        <f ca="1">'Battery Design'!L446-0.5*'Battery Design'!L444</f>
        <v>489.42461815869302</v>
      </c>
      <c r="M15" s="3">
        <f ca="1">'Battery Design'!M446-0.5*'Battery Design'!M444</f>
        <v>554.2674238926927</v>
      </c>
      <c r="V15" s="54"/>
    </row>
    <row r="16" spans="1:28" x14ac:dyDescent="0.25">
      <c r="B16" s="353" t="s">
        <v>1741</v>
      </c>
      <c r="G16" s="2">
        <f>'Battery Design'!G14</f>
        <v>300</v>
      </c>
      <c r="H16" s="2">
        <f>'Battery Design'!H14</f>
        <v>300</v>
      </c>
      <c r="I16" s="2">
        <f>'Battery Design'!I14</f>
        <v>300</v>
      </c>
      <c r="J16" s="2">
        <f>'Battery Design'!J14</f>
        <v>300</v>
      </c>
      <c r="K16" s="2">
        <f>'Battery Design'!K14</f>
        <v>300</v>
      </c>
      <c r="L16" s="2">
        <f>'Battery Design'!L14</f>
        <v>300</v>
      </c>
      <c r="M16" s="2">
        <f>'Battery Design'!M14</f>
        <v>300</v>
      </c>
      <c r="P16" s="353"/>
      <c r="Q16" s="8"/>
      <c r="R16" s="8"/>
      <c r="S16" s="3"/>
      <c r="T16" s="8"/>
      <c r="V16" s="55"/>
      <c r="W16" s="55"/>
      <c r="Y16" s="39"/>
      <c r="Z16" s="8"/>
      <c r="AA16" s="8"/>
      <c r="AB16" s="3"/>
    </row>
    <row r="17" spans="2:21" ht="13" x14ac:dyDescent="0.3">
      <c r="B17" s="9" t="s">
        <v>1742</v>
      </c>
      <c r="C17" s="681"/>
      <c r="D17" s="681"/>
      <c r="E17" s="681"/>
      <c r="F17" s="681"/>
      <c r="G17" s="1341">
        <f>'Battery Design'!G131</f>
        <v>10</v>
      </c>
      <c r="H17" s="1341">
        <f>'Battery Design'!H131</f>
        <v>10</v>
      </c>
      <c r="I17" s="1341">
        <f>'Battery Design'!I131</f>
        <v>10</v>
      </c>
      <c r="J17" s="1341">
        <f>'Battery Design'!J131</f>
        <v>10</v>
      </c>
      <c r="K17" s="1341">
        <f>'Battery Design'!K131</f>
        <v>10</v>
      </c>
      <c r="L17" s="1341">
        <f>'Battery Design'!L131</f>
        <v>10</v>
      </c>
      <c r="M17" s="1341">
        <f>'Battery Design'!M131</f>
        <v>10</v>
      </c>
      <c r="P17" s="28"/>
    </row>
    <row r="18" spans="2:21" ht="13" x14ac:dyDescent="0.3">
      <c r="B18" s="90" t="s">
        <v>1743</v>
      </c>
      <c r="C18" s="353"/>
      <c r="D18" s="353"/>
      <c r="G18" s="12">
        <f>IF(G19 = "", 'Vehicle Considerations'!$B$33, G19)</f>
        <v>250</v>
      </c>
      <c r="H18" s="12">
        <f>IF(H19 = "", 'Vehicle Considerations'!$B$33, H19)</f>
        <v>250</v>
      </c>
      <c r="I18" s="12">
        <f>IF(I19 = "", 'Vehicle Considerations'!$B$33, I19)</f>
        <v>250</v>
      </c>
      <c r="J18" s="12">
        <f>IF(J19 = "", 'Vehicle Considerations'!$B$33, J19)</f>
        <v>250</v>
      </c>
      <c r="K18" s="12">
        <f>IF(K19 = "", 'Vehicle Considerations'!$B$33, K19)</f>
        <v>250</v>
      </c>
      <c r="L18" s="12">
        <f>IF(L19 = "", 'Vehicle Considerations'!$B$33, L19)</f>
        <v>250</v>
      </c>
      <c r="M18" s="12">
        <f>IF(M19 = "", 'Vehicle Considerations'!$B$33, M19)</f>
        <v>250</v>
      </c>
      <c r="N18" s="121"/>
      <c r="Q18" s="12"/>
      <c r="R18" s="12"/>
      <c r="S18" s="12"/>
      <c r="T18" s="12"/>
      <c r="U18" s="12"/>
    </row>
    <row r="19" spans="2:21" ht="13" x14ac:dyDescent="0.3">
      <c r="B19" s="61" t="s">
        <v>1744</v>
      </c>
      <c r="C19" s="681"/>
      <c r="D19" s="681"/>
      <c r="E19" s="681"/>
      <c r="F19" s="681"/>
      <c r="G19" s="1342"/>
      <c r="H19" s="1342"/>
      <c r="I19" s="1342"/>
      <c r="J19" s="1342"/>
      <c r="K19" s="1342"/>
      <c r="L19" s="1342"/>
      <c r="M19" s="1342"/>
      <c r="P19" s="28"/>
    </row>
    <row r="20" spans="2:21" ht="13.5" thickBot="1" x14ac:dyDescent="0.35">
      <c r="B20" s="61"/>
      <c r="C20" s="681"/>
      <c r="D20" s="681"/>
      <c r="E20" s="681"/>
      <c r="F20" s="681"/>
      <c r="G20" s="52"/>
      <c r="H20" s="52"/>
      <c r="I20" s="52"/>
      <c r="J20" s="52"/>
      <c r="K20" s="52"/>
      <c r="L20" s="52"/>
      <c r="M20" s="52"/>
      <c r="P20" s="28"/>
    </row>
    <row r="21" spans="2:21" ht="20.5" thickBot="1" x14ac:dyDescent="0.45">
      <c r="B21" s="1453" t="s">
        <v>1745</v>
      </c>
      <c r="C21" s="1454"/>
      <c r="D21" s="1454"/>
      <c r="E21" s="1454"/>
      <c r="F21" s="1454"/>
      <c r="G21" s="1454"/>
      <c r="H21" s="1454"/>
      <c r="I21" s="1454"/>
      <c r="J21" s="1454"/>
      <c r="K21" s="1454"/>
      <c r="L21" s="1454"/>
      <c r="M21" s="1455"/>
      <c r="P21" s="28"/>
    </row>
    <row r="22" spans="2:21" ht="15.5" x14ac:dyDescent="0.35">
      <c r="B22" s="6"/>
      <c r="C22" s="681"/>
      <c r="D22" s="681"/>
      <c r="E22" s="681"/>
      <c r="F22" s="681"/>
      <c r="G22" s="682"/>
      <c r="H22" s="682"/>
      <c r="I22" s="682"/>
      <c r="J22" s="682"/>
      <c r="K22" s="682"/>
      <c r="L22" s="682"/>
      <c r="M22" s="683"/>
      <c r="P22" s="28"/>
    </row>
    <row r="23" spans="2:21" ht="15.5" x14ac:dyDescent="0.35">
      <c r="B23" s="6" t="s">
        <v>1746</v>
      </c>
      <c r="C23" s="681"/>
      <c r="D23" s="681"/>
      <c r="E23" s="681"/>
      <c r="F23" s="681"/>
      <c r="G23" s="682"/>
      <c r="H23" s="682"/>
      <c r="I23" s="682"/>
      <c r="J23" s="682"/>
      <c r="K23" s="682"/>
      <c r="L23" s="682"/>
      <c r="M23" s="683"/>
      <c r="P23" s="28"/>
    </row>
    <row r="24" spans="2:21" ht="14" x14ac:dyDescent="0.3">
      <c r="B24" s="665" t="s">
        <v>1747</v>
      </c>
      <c r="F24" s="52"/>
      <c r="G24" s="53"/>
      <c r="H24" s="53"/>
      <c r="I24" s="53"/>
      <c r="J24" s="53"/>
      <c r="K24" s="53"/>
      <c r="L24" s="53"/>
      <c r="M24" s="53"/>
      <c r="P24" s="28"/>
    </row>
    <row r="25" spans="2:21" ht="13" x14ac:dyDescent="0.3">
      <c r="B25" s="353" t="s">
        <v>1748</v>
      </c>
      <c r="C25" s="353"/>
      <c r="D25" s="353"/>
      <c r="E25" s="353"/>
      <c r="F25" s="102">
        <v>0.5</v>
      </c>
      <c r="G25" s="53">
        <f t="shared" ref="G25:M25" si="1">$F25</f>
        <v>0.5</v>
      </c>
      <c r="H25" s="53">
        <f t="shared" si="1"/>
        <v>0.5</v>
      </c>
      <c r="I25" s="53">
        <f t="shared" si="1"/>
        <v>0.5</v>
      </c>
      <c r="J25" s="53">
        <f t="shared" si="1"/>
        <v>0.5</v>
      </c>
      <c r="K25" s="53">
        <f t="shared" si="1"/>
        <v>0.5</v>
      </c>
      <c r="L25" s="53">
        <f t="shared" si="1"/>
        <v>0.5</v>
      </c>
      <c r="M25" s="53">
        <f t="shared" si="1"/>
        <v>0.5</v>
      </c>
      <c r="P25" s="28"/>
    </row>
    <row r="26" spans="2:21" ht="13" x14ac:dyDescent="0.3">
      <c r="B26" s="353" t="s">
        <v>1749</v>
      </c>
      <c r="F26" s="95">
        <v>6.5000000000000002E-2</v>
      </c>
      <c r="G26" s="139">
        <f>$F26*(G18/250)</f>
        <v>6.5000000000000002E-2</v>
      </c>
      <c r="H26" s="139">
        <f t="shared" ref="H26:M26" si="2">$F26*(H18/250)</f>
        <v>6.5000000000000002E-2</v>
      </c>
      <c r="I26" s="139">
        <f t="shared" si="2"/>
        <v>6.5000000000000002E-2</v>
      </c>
      <c r="J26" s="139">
        <f t="shared" si="2"/>
        <v>6.5000000000000002E-2</v>
      </c>
      <c r="K26" s="139">
        <f t="shared" si="2"/>
        <v>6.5000000000000002E-2</v>
      </c>
      <c r="L26" s="139">
        <f t="shared" si="2"/>
        <v>6.5000000000000002E-2</v>
      </c>
      <c r="M26" s="139">
        <f t="shared" si="2"/>
        <v>6.5000000000000002E-2</v>
      </c>
      <c r="P26" s="28"/>
    </row>
    <row r="27" spans="2:21" ht="13" x14ac:dyDescent="0.3">
      <c r="B27" s="353" t="s">
        <v>1750</v>
      </c>
      <c r="C27" s="353"/>
      <c r="D27" s="353"/>
      <c r="E27" s="353"/>
      <c r="F27" s="119">
        <v>4.0000000000000003E-5</v>
      </c>
      <c r="G27" s="142">
        <f t="shared" ref="G27:M27" si="3">$F27*(G18/250)^0.7</f>
        <v>4.0000000000000003E-5</v>
      </c>
      <c r="H27" s="142">
        <f t="shared" si="3"/>
        <v>4.0000000000000003E-5</v>
      </c>
      <c r="I27" s="142">
        <f t="shared" si="3"/>
        <v>4.0000000000000003E-5</v>
      </c>
      <c r="J27" s="142">
        <f t="shared" si="3"/>
        <v>4.0000000000000003E-5</v>
      </c>
      <c r="K27" s="142">
        <f t="shared" si="3"/>
        <v>4.0000000000000003E-5</v>
      </c>
      <c r="L27" s="142">
        <f t="shared" si="3"/>
        <v>4.0000000000000003E-5</v>
      </c>
      <c r="M27" s="142">
        <f t="shared" si="3"/>
        <v>4.0000000000000003E-5</v>
      </c>
      <c r="P27" s="28"/>
    </row>
    <row r="28" spans="2:21" ht="13" x14ac:dyDescent="0.3">
      <c r="B28" s="353" t="s">
        <v>1751</v>
      </c>
      <c r="C28" s="353"/>
      <c r="D28" s="353"/>
      <c r="E28" s="353"/>
      <c r="F28" s="933">
        <v>0.83299999999999996</v>
      </c>
      <c r="G28" s="139">
        <f t="shared" ref="G28:M28" si="4">$F28</f>
        <v>0.83299999999999996</v>
      </c>
      <c r="H28" s="139">
        <f t="shared" si="4"/>
        <v>0.83299999999999996</v>
      </c>
      <c r="I28" s="139">
        <f t="shared" si="4"/>
        <v>0.83299999999999996</v>
      </c>
      <c r="J28" s="139">
        <f t="shared" si="4"/>
        <v>0.83299999999999996</v>
      </c>
      <c r="K28" s="139">
        <f t="shared" si="4"/>
        <v>0.83299999999999996</v>
      </c>
      <c r="L28" s="139">
        <f t="shared" si="4"/>
        <v>0.83299999999999996</v>
      </c>
      <c r="M28" s="139">
        <f t="shared" si="4"/>
        <v>0.83299999999999996</v>
      </c>
      <c r="P28" s="28"/>
    </row>
    <row r="29" spans="2:21" ht="13" x14ac:dyDescent="0.3">
      <c r="B29" s="353" t="s">
        <v>1752</v>
      </c>
      <c r="F29" s="1342"/>
      <c r="G29" s="85">
        <f>IF($F$29 = "", 'Vehicle Considerations'!$B$32, $F$29)</f>
        <v>70</v>
      </c>
      <c r="H29" s="85">
        <f>IF($F$29 = "", 'Vehicle Considerations'!$B$32, $F$29)</f>
        <v>70</v>
      </c>
      <c r="I29" s="85">
        <f>IF($F$29 = "", 'Vehicle Considerations'!$B$32, $F$29)</f>
        <v>70</v>
      </c>
      <c r="J29" s="85">
        <f>IF($F$29 = "", 'Vehicle Considerations'!$B$32, $F$29)</f>
        <v>70</v>
      </c>
      <c r="K29" s="85">
        <f>IF($F$29 = "", 'Vehicle Considerations'!$B$32, $F$29)</f>
        <v>70</v>
      </c>
      <c r="L29" s="85">
        <f>IF($F$29 = "", 'Vehicle Considerations'!$B$32, $F$29)</f>
        <v>70</v>
      </c>
      <c r="M29" s="85">
        <f>IF($F$29 = "", 'Vehicle Considerations'!$B$32, $F$29)</f>
        <v>70</v>
      </c>
      <c r="P29" s="28"/>
    </row>
    <row r="30" spans="2:21" ht="13" x14ac:dyDescent="0.3">
      <c r="B30" s="353" t="s">
        <v>1753</v>
      </c>
      <c r="C30" s="353"/>
      <c r="D30" s="353"/>
      <c r="E30" s="353"/>
      <c r="F30" s="353"/>
      <c r="G30" s="47">
        <f>(G25+G26*G29+G27*G29^3)/G28</f>
        <v>22.533013205282113</v>
      </c>
      <c r="H30" s="47">
        <f t="shared" ref="H30:M30" si="5">(H25+H26*H29+H27*H29^3)/H28</f>
        <v>22.533013205282113</v>
      </c>
      <c r="I30" s="47">
        <f t="shared" si="5"/>
        <v>22.533013205282113</v>
      </c>
      <c r="J30" s="47">
        <f t="shared" si="5"/>
        <v>22.533013205282113</v>
      </c>
      <c r="K30" s="47">
        <f t="shared" si="5"/>
        <v>22.533013205282113</v>
      </c>
      <c r="L30" s="47">
        <f t="shared" si="5"/>
        <v>22.533013205282113</v>
      </c>
      <c r="M30" s="47">
        <f t="shared" si="5"/>
        <v>22.533013205282113</v>
      </c>
      <c r="P30" s="28"/>
    </row>
    <row r="31" spans="2:21" ht="12" customHeight="1" x14ac:dyDescent="0.35">
      <c r="B31" s="5"/>
      <c r="C31" s="681"/>
      <c r="D31" s="681"/>
      <c r="E31" s="681"/>
      <c r="F31" s="681"/>
      <c r="G31" s="682"/>
      <c r="H31" s="682"/>
      <c r="I31" s="682"/>
      <c r="J31" s="682"/>
      <c r="K31" s="682"/>
      <c r="L31" s="682"/>
      <c r="M31" s="683"/>
      <c r="P31" s="28"/>
    </row>
    <row r="32" spans="2:21" ht="15.5" x14ac:dyDescent="0.35">
      <c r="B32" s="665" t="s">
        <v>1754</v>
      </c>
      <c r="C32" s="681"/>
      <c r="D32" s="681"/>
      <c r="E32" s="681"/>
      <c r="F32" s="681"/>
      <c r="G32" s="682"/>
      <c r="H32" s="682"/>
      <c r="I32" s="682"/>
      <c r="J32" s="682"/>
      <c r="K32" s="682"/>
      <c r="L32" s="682"/>
      <c r="M32" s="683"/>
      <c r="P32" s="28"/>
    </row>
    <row r="33" spans="1:22" ht="13" x14ac:dyDescent="0.3">
      <c r="B33" s="9" t="s">
        <v>1755</v>
      </c>
      <c r="C33" s="681"/>
      <c r="D33" s="681"/>
      <c r="E33" s="681"/>
      <c r="F33" s="681"/>
      <c r="G33" s="934"/>
      <c r="H33" s="934"/>
      <c r="I33" s="934"/>
      <c r="J33" s="934"/>
      <c r="K33" s="934"/>
      <c r="L33" s="934"/>
      <c r="M33" s="934"/>
      <c r="P33" s="28"/>
    </row>
    <row r="34" spans="1:22" ht="13" x14ac:dyDescent="0.3">
      <c r="B34" s="353" t="s">
        <v>1756</v>
      </c>
      <c r="G34" s="16">
        <f>'Battery Design'!G15/3</f>
        <v>33.333333333333336</v>
      </c>
      <c r="H34" s="16">
        <f>'Battery Design'!H15/3</f>
        <v>33.333333333333336</v>
      </c>
      <c r="I34" s="16">
        <f>'Battery Design'!I15/3</f>
        <v>33.333333333333336</v>
      </c>
      <c r="J34" s="16">
        <f>'Battery Design'!J15/3</f>
        <v>33.333333333333336</v>
      </c>
      <c r="K34" s="16">
        <f>'Battery Design'!K15/3</f>
        <v>33.333333333333336</v>
      </c>
      <c r="L34" s="16">
        <f>'Battery Design'!L15/3</f>
        <v>33.333333333333336</v>
      </c>
      <c r="M34" s="16">
        <f>'Battery Design'!M15/3</f>
        <v>33.333333333333336</v>
      </c>
      <c r="N34" s="92"/>
      <c r="O34" s="188"/>
      <c r="P34" s="66"/>
      <c r="Q34" s="66"/>
      <c r="R34" s="66"/>
      <c r="S34" s="66"/>
      <c r="T34" s="66"/>
      <c r="U34" s="66"/>
      <c r="V34" s="66"/>
    </row>
    <row r="35" spans="1:22" ht="13" x14ac:dyDescent="0.3">
      <c r="B35" s="90" t="s">
        <v>1757</v>
      </c>
      <c r="G35" s="54">
        <f t="shared" ref="G35:M35" si="6">G30</f>
        <v>22.533013205282113</v>
      </c>
      <c r="H35" s="54">
        <f t="shared" si="6"/>
        <v>22.533013205282113</v>
      </c>
      <c r="I35" s="54">
        <f t="shared" si="6"/>
        <v>22.533013205282113</v>
      </c>
      <c r="J35" s="54">
        <f t="shared" si="6"/>
        <v>22.533013205282113</v>
      </c>
      <c r="K35" s="54">
        <f t="shared" si="6"/>
        <v>22.533013205282113</v>
      </c>
      <c r="L35" s="54">
        <f t="shared" si="6"/>
        <v>22.533013205282113</v>
      </c>
      <c r="M35" s="54">
        <f t="shared" si="6"/>
        <v>22.533013205282113</v>
      </c>
      <c r="N35" s="1031"/>
      <c r="O35" s="54"/>
      <c r="P35" s="54"/>
      <c r="Q35" s="54"/>
      <c r="R35" s="54"/>
      <c r="S35" s="54"/>
      <c r="T35" s="54"/>
      <c r="U35" s="54"/>
      <c r="V35" s="54"/>
    </row>
    <row r="36" spans="1:22" ht="13" x14ac:dyDescent="0.3">
      <c r="B36" s="90" t="s">
        <v>1758</v>
      </c>
      <c r="G36" s="54">
        <f>IF(G33 = "", MAX(G34:G35), G33)</f>
        <v>33.333333333333336</v>
      </c>
      <c r="H36" s="54">
        <f t="shared" ref="H36:M36" si="7">IF(H33 = "", MAX(H34:H35), H33)</f>
        <v>33.333333333333336</v>
      </c>
      <c r="I36" s="54">
        <f t="shared" si="7"/>
        <v>33.333333333333336</v>
      </c>
      <c r="J36" s="54">
        <f t="shared" si="7"/>
        <v>33.333333333333336</v>
      </c>
      <c r="K36" s="54">
        <f t="shared" si="7"/>
        <v>33.333333333333336</v>
      </c>
      <c r="L36" s="54">
        <f t="shared" si="7"/>
        <v>33.333333333333336</v>
      </c>
      <c r="M36" s="54">
        <f t="shared" si="7"/>
        <v>33.333333333333336</v>
      </c>
      <c r="N36" s="1031"/>
      <c r="O36" s="54"/>
      <c r="P36" s="54"/>
      <c r="Q36" s="54"/>
      <c r="R36" s="54"/>
      <c r="S36" s="54"/>
      <c r="T36" s="54"/>
      <c r="U36" s="54"/>
      <c r="V36" s="54"/>
    </row>
    <row r="37" spans="1:22" ht="13" x14ac:dyDescent="0.3">
      <c r="B37" s="353" t="s">
        <v>1759</v>
      </c>
      <c r="G37" s="63">
        <f ca="1">'Battery Design'!G233/'Battery Design'!G287*'Battery Design'!G31/'Battery Design'!G26^2/'Battery Design'!G30^2</f>
        <v>5.1033708270864842E-2</v>
      </c>
      <c r="H37" s="63">
        <f ca="1">'Battery Design'!H233/'Battery Design'!H287*'Battery Design'!H31/'Battery Design'!H26^2/'Battery Design'!H30^2</f>
        <v>5.1033708270864842E-2</v>
      </c>
      <c r="I37" s="63">
        <f ca="1">'Battery Design'!I233/'Battery Design'!I287*'Battery Design'!I31/'Battery Design'!I26^2/'Battery Design'!I30^2</f>
        <v>4.6271603067190206E-2</v>
      </c>
      <c r="J37" s="63">
        <f ca="1">'Battery Design'!J233/'Battery Design'!J287*'Battery Design'!J31/'Battery Design'!J26^2/'Battery Design'!J30^2</f>
        <v>4.0380409626632613E-2</v>
      </c>
      <c r="K37" s="63">
        <f ca="1">'Battery Design'!K233/'Battery Design'!K287*'Battery Design'!K31/'Battery Design'!K26^2/'Battery Design'!K30^2</f>
        <v>3.3529547811347538E-2</v>
      </c>
      <c r="L37" s="63">
        <f ca="1">'Battery Design'!L233/'Battery Design'!L287*'Battery Design'!L31/'Battery Design'!L26^2/'Battery Design'!L30^2</f>
        <v>2.5264987738545935E-2</v>
      </c>
      <c r="M37" s="63">
        <f ca="1">'Battery Design'!M233/'Battery Design'!M287*'Battery Design'!M31/'Battery Design'!M26^2/'Battery Design'!M30^2</f>
        <v>1.426240236414425E-2</v>
      </c>
      <c r="N37" s="718"/>
      <c r="O37" s="63"/>
      <c r="P37" s="139"/>
      <c r="Q37" s="139"/>
      <c r="R37" s="139"/>
      <c r="S37" s="139"/>
      <c r="T37" s="139"/>
      <c r="U37" s="139"/>
      <c r="V37" s="139"/>
    </row>
    <row r="38" spans="1:22" x14ac:dyDescent="0.25">
      <c r="B38" t="s">
        <v>1760</v>
      </c>
      <c r="G38" s="2">
        <f ca="1">('Battery Design'!G16+SQRT('Battery Design'!G16^2-4*1000*G36*G37))/2</f>
        <v>366.68124488915316</v>
      </c>
      <c r="H38" s="2">
        <f ca="1">('Battery Design'!H16+SQRT('Battery Design'!H16^2-4*1000*H36*H37))/2</f>
        <v>366.68124488915316</v>
      </c>
      <c r="I38" s="2">
        <f ca="1">('Battery Design'!I16+SQRT('Battery Design'!I16^2-4*1000*I36*I37))/2</f>
        <v>367.11916387785027</v>
      </c>
      <c r="J38" s="2">
        <f ca="1">('Battery Design'!J16+SQRT('Battery Design'!J16^2-4*1000*J36*J37))/2</f>
        <v>367.65945476249624</v>
      </c>
      <c r="K38" s="2">
        <f ca="1">('Battery Design'!K16+SQRT('Battery Design'!K16^2-4*1000*K36*K37))/2</f>
        <v>368.28574818539863</v>
      </c>
      <c r="L38" s="2">
        <f ca="1">('Battery Design'!L16+SQRT('Battery Design'!L16^2-4*1000*L36*L37))/2</f>
        <v>369.03843276594796</v>
      </c>
      <c r="M38" s="2">
        <f ca="1">('Battery Design'!M16+SQRT('Battery Design'!M16^2-4*1000*M36*M37))/2</f>
        <v>370.03571135223439</v>
      </c>
      <c r="N38" s="56"/>
      <c r="O38" s="56"/>
      <c r="P38" s="56"/>
    </row>
    <row r="39" spans="1:22" x14ac:dyDescent="0.25">
      <c r="B39" t="s">
        <v>1761</v>
      </c>
      <c r="G39" s="3">
        <f ca="1">G36*1000/G38</f>
        <v>90.905476617463549</v>
      </c>
      <c r="H39" s="3">
        <f t="shared" ref="H39:M39" ca="1" si="8">H36*1000/H38</f>
        <v>90.905476617463549</v>
      </c>
      <c r="I39" s="3">
        <f t="shared" ca="1" si="8"/>
        <v>90.797039798293312</v>
      </c>
      <c r="J39" s="3">
        <f t="shared" ca="1" si="8"/>
        <v>90.663609765907651</v>
      </c>
      <c r="K39" s="3">
        <f t="shared" ca="1" si="8"/>
        <v>90.509430510335719</v>
      </c>
      <c r="L39" s="3">
        <f t="shared" ca="1" si="8"/>
        <v>90.324828998160328</v>
      </c>
      <c r="M39" s="3">
        <f t="shared" ca="1" si="8"/>
        <v>90.081395688870614</v>
      </c>
      <c r="O39" s="54"/>
      <c r="P39" s="54"/>
    </row>
    <row r="40" spans="1:22" x14ac:dyDescent="0.25">
      <c r="B40" s="353" t="s">
        <v>1762</v>
      </c>
      <c r="G40" s="2">
        <f ca="1">G39^2*G37</f>
        <v>421.73264823166255</v>
      </c>
      <c r="H40" s="2">
        <f t="shared" ref="H40:M40" ca="1" si="9">H39^2*H37</f>
        <v>421.73264823166255</v>
      </c>
      <c r="I40" s="2">
        <f t="shared" ca="1" si="9"/>
        <v>381.46783556999549</v>
      </c>
      <c r="J40" s="2">
        <f t="shared" ca="1" si="9"/>
        <v>331.92253076890637</v>
      </c>
      <c r="K40" s="2">
        <f t="shared" ca="1" si="9"/>
        <v>274.67261427906442</v>
      </c>
      <c r="L40" s="2">
        <f t="shared" ca="1" si="9"/>
        <v>206.12629060707323</v>
      </c>
      <c r="M40" s="2">
        <f t="shared" ca="1" si="9"/>
        <v>115.73451529343446</v>
      </c>
      <c r="O40" s="56"/>
      <c r="P40" s="56"/>
    </row>
    <row r="41" spans="1:22" ht="16.149999999999999" customHeight="1" x14ac:dyDescent="0.3">
      <c r="A41" s="353" t="s">
        <v>438</v>
      </c>
      <c r="B41" s="353" t="s">
        <v>1763</v>
      </c>
      <c r="G41" s="3">
        <f t="shared" ref="G41:M41" ca="1" si="10">G36/(G36+G40/1000)*100</f>
        <v>98.75060932050323</v>
      </c>
      <c r="H41" s="3">
        <f t="shared" ca="1" si="10"/>
        <v>98.75060932050323</v>
      </c>
      <c r="I41" s="3">
        <f t="shared" ca="1" si="10"/>
        <v>98.868544905073207</v>
      </c>
      <c r="J41" s="3">
        <f t="shared" ca="1" si="10"/>
        <v>99.014050176511986</v>
      </c>
      <c r="K41" s="3">
        <f t="shared" ca="1" si="10"/>
        <v>99.182716717239288</v>
      </c>
      <c r="L41" s="3">
        <f t="shared" ca="1" si="10"/>
        <v>99.385421551455337</v>
      </c>
      <c r="M41" s="3">
        <f t="shared" ca="1" si="10"/>
        <v>99.65399778607528</v>
      </c>
      <c r="N41" s="1031"/>
      <c r="O41" s="54"/>
      <c r="P41" s="54"/>
    </row>
    <row r="42" spans="1:22" ht="13" x14ac:dyDescent="0.3">
      <c r="B42" s="353" t="s">
        <v>1764</v>
      </c>
      <c r="G42" s="3">
        <f t="shared" ref="G42:M42" ca="1" si="11">G13*(100-G41)/100*1000*3600/G14/G15/1000+G10</f>
        <v>39.959958366184807</v>
      </c>
      <c r="H42" s="3">
        <f t="shared" ca="1" si="11"/>
        <v>39.959958366184807</v>
      </c>
      <c r="I42" s="3">
        <f t="shared" ca="1" si="11"/>
        <v>38.954058169241449</v>
      </c>
      <c r="J42" s="3">
        <f t="shared" ca="1" si="11"/>
        <v>37.69749795585453</v>
      </c>
      <c r="K42" s="3">
        <f t="shared" ca="1" si="11"/>
        <v>36.262490197899268</v>
      </c>
      <c r="L42" s="3">
        <f t="shared" ca="1" si="11"/>
        <v>34.520578517452918</v>
      </c>
      <c r="M42" s="3">
        <f t="shared" ca="1" si="11"/>
        <v>32.247305030811525</v>
      </c>
      <c r="N42" s="122"/>
      <c r="V42" s="54"/>
    </row>
    <row r="44" spans="1:22" ht="15" customHeight="1" x14ac:dyDescent="0.3">
      <c r="B44" s="665" t="s">
        <v>1765</v>
      </c>
    </row>
    <row r="45" spans="1:22" ht="13" x14ac:dyDescent="0.3">
      <c r="B45" s="353" t="s">
        <v>1759</v>
      </c>
      <c r="G45" s="63">
        <f ca="1">'Battery Design'!G232/'Battery Design'!G287*'Battery Design'!G31/'Battery Design'!G26^2/'Battery Design'!G30^2</f>
        <v>4.2129589031353283E-2</v>
      </c>
      <c r="H45" s="63">
        <f ca="1">'Battery Design'!H232/'Battery Design'!H287*'Battery Design'!H31/'Battery Design'!H26^2/'Battery Design'!H30^2</f>
        <v>4.2129589031353283E-2</v>
      </c>
      <c r="I45" s="63">
        <f ca="1">'Battery Design'!I232/'Battery Design'!I287*'Battery Design'!I31/'Battery Design'!I26^2/'Battery Design'!I30^2</f>
        <v>3.8528947063475691E-2</v>
      </c>
      <c r="J45" s="63">
        <f ca="1">'Battery Design'!J232/'Battery Design'!J287*'Battery Design'!J31/'Battery Design'!J26^2/'Battery Design'!J30^2</f>
        <v>3.4073129881898812E-2</v>
      </c>
      <c r="K45" s="63">
        <f ca="1">'Battery Design'!K232/'Battery Design'!K287*'Battery Design'!K31/'Battery Design'!K26^2/'Battery Design'!K30^2</f>
        <v>2.8896429180151818E-2</v>
      </c>
      <c r="L45" s="63">
        <f ca="1">'Battery Design'!L232/'Battery Design'!L287*'Battery Design'!L31/'Battery Design'!L26^2/'Battery Design'!L30^2</f>
        <v>2.2650191885061913E-2</v>
      </c>
      <c r="M45" s="63">
        <f ca="1">'Battery Design'!M232/'Battery Design'!M287*'Battery Design'!M31/'Battery Design'!M26^2/'Battery Design'!M30^2</f>
        <v>1.4338244367402934E-2</v>
      </c>
      <c r="N45" s="718"/>
      <c r="O45" s="63"/>
      <c r="P45" s="139"/>
      <c r="Q45" s="139"/>
      <c r="R45" s="139"/>
      <c r="S45" s="139"/>
      <c r="T45" s="139"/>
      <c r="U45" s="139"/>
      <c r="V45" s="139"/>
    </row>
    <row r="46" spans="1:22" x14ac:dyDescent="0.25">
      <c r="B46" t="s">
        <v>1760</v>
      </c>
      <c r="G46" s="2">
        <f ca="1">'Battery Design'!G135*'Battery Design'!G31/('Battery Design'!G30*'Battery Design'!G26)*('Battery Design'!G113/100)</f>
        <v>315.56168476929076</v>
      </c>
      <c r="H46" s="2">
        <f ca="1">'Battery Design'!H135*'Battery Design'!H31/('Battery Design'!H30*'Battery Design'!H26)*('Battery Design'!H113/100)</f>
        <v>315.56168476929076</v>
      </c>
      <c r="I46" s="2">
        <f ca="1">'Battery Design'!I135*'Battery Design'!I31/('Battery Design'!I30*'Battery Design'!I26)*('Battery Design'!I113/100)</f>
        <v>319.42813030472507</v>
      </c>
      <c r="J46" s="2">
        <f ca="1">'Battery Design'!J135*'Battery Design'!J31/('Battery Design'!J30*'Battery Design'!J26)*('Battery Design'!J113/100)</f>
        <v>324.07144626490367</v>
      </c>
      <c r="K46" s="2">
        <f ca="1">'Battery Design'!K135*'Battery Design'!K31/('Battery Design'!K30*'Battery Design'!K26)*('Battery Design'!K113/100)</f>
        <v>329.28735123185027</v>
      </c>
      <c r="L46" s="2">
        <f ca="1">'Battery Design'!L135*'Battery Design'!L31/('Battery Design'!L30*'Battery Design'!L26)*('Battery Design'!L113/100)</f>
        <v>335.35117186453675</v>
      </c>
      <c r="M46" s="2">
        <f ca="1">'Battery Design'!M135*'Battery Design'!M31/('Battery Design'!M30*'Battery Design'!M26)*('Battery Design'!M113/100)</f>
        <v>343.07571425495269</v>
      </c>
      <c r="N46" s="56"/>
      <c r="O46" s="56"/>
      <c r="P46" s="56"/>
    </row>
    <row r="47" spans="1:22" x14ac:dyDescent="0.25">
      <c r="B47" t="s">
        <v>1761</v>
      </c>
      <c r="G47" s="3">
        <f t="shared" ref="G47:M47" ca="1" si="12">G16*1000/G46</f>
        <v>950.68575964579475</v>
      </c>
      <c r="H47" s="3">
        <f t="shared" ca="1" si="12"/>
        <v>950.68575964579475</v>
      </c>
      <c r="I47" s="3">
        <f t="shared" ca="1" si="12"/>
        <v>939.17839895255565</v>
      </c>
      <c r="J47" s="3">
        <f t="shared" ca="1" si="12"/>
        <v>925.72179208523323</v>
      </c>
      <c r="K47" s="3">
        <f t="shared" ca="1" si="12"/>
        <v>911.05837766835714</v>
      </c>
      <c r="L47" s="3">
        <f t="shared" ca="1" si="12"/>
        <v>894.58461806474122</v>
      </c>
      <c r="M47" s="3">
        <f t="shared" ca="1" si="12"/>
        <v>874.44254295732082</v>
      </c>
      <c r="O47" s="54"/>
      <c r="P47" s="54"/>
    </row>
    <row r="48" spans="1:22" x14ac:dyDescent="0.25">
      <c r="B48" t="s">
        <v>1766</v>
      </c>
      <c r="G48" s="2">
        <f ca="1">G47^2*G45</f>
        <v>38076.866379820021</v>
      </c>
      <c r="H48" s="2">
        <f t="shared" ref="H48:M48" ca="1" si="13">H47^2*H45</f>
        <v>38076.866379820021</v>
      </c>
      <c r="I48" s="2">
        <f t="shared" ca="1" si="13"/>
        <v>33984.69143767919</v>
      </c>
      <c r="J48" s="2">
        <f t="shared" ca="1" si="13"/>
        <v>29199.337880364415</v>
      </c>
      <c r="K48" s="2">
        <f t="shared" ca="1" si="13"/>
        <v>23984.827043120826</v>
      </c>
      <c r="L48" s="2">
        <f t="shared" ca="1" si="13"/>
        <v>18126.532682679408</v>
      </c>
      <c r="M48" s="2">
        <f t="shared" ca="1" si="13"/>
        <v>10963.735127743135</v>
      </c>
      <c r="O48" s="56"/>
      <c r="P48" s="56"/>
    </row>
    <row r="49" spans="2:16" x14ac:dyDescent="0.25">
      <c r="B49" s="353" t="s">
        <v>1767</v>
      </c>
      <c r="G49" s="2">
        <f t="shared" ref="G49:M49" ca="1" si="14">G48*G17</f>
        <v>380768.6637982002</v>
      </c>
      <c r="H49" s="2">
        <f t="shared" ca="1" si="14"/>
        <v>380768.6637982002</v>
      </c>
      <c r="I49" s="2">
        <f t="shared" ca="1" si="14"/>
        <v>339846.91437679192</v>
      </c>
      <c r="J49" s="2">
        <f t="shared" ca="1" si="14"/>
        <v>291993.37880364415</v>
      </c>
      <c r="K49" s="2">
        <f t="shared" ca="1" si="14"/>
        <v>239848.27043120825</v>
      </c>
      <c r="L49" s="2">
        <f t="shared" ca="1" si="14"/>
        <v>181265.32682679407</v>
      </c>
      <c r="M49" s="2">
        <f t="shared" ca="1" si="14"/>
        <v>109637.35127743136</v>
      </c>
    </row>
    <row r="50" spans="2:16" x14ac:dyDescent="0.25">
      <c r="B50" s="353" t="s">
        <v>1768</v>
      </c>
      <c r="G50" s="8">
        <f t="shared" ref="G50:M50" ca="1" si="15">G49/(G14*G15*1000)+G10</f>
        <v>30.991971134465743</v>
      </c>
      <c r="H50" s="8">
        <f t="shared" ca="1" si="15"/>
        <v>30.991971134465743</v>
      </c>
      <c r="I50" s="8">
        <f t="shared" ca="1" si="15"/>
        <v>30.878910177824046</v>
      </c>
      <c r="J50" s="8">
        <f t="shared" ca="1" si="15"/>
        <v>30.744982971152961</v>
      </c>
      <c r="K50" s="8">
        <f t="shared" ca="1" si="15"/>
        <v>30.600605919221316</v>
      </c>
      <c r="L50" s="8">
        <f t="shared" ca="1" si="15"/>
        <v>30.435722515309671</v>
      </c>
      <c r="M50" s="8">
        <f t="shared" ca="1" si="15"/>
        <v>30.232712790955745</v>
      </c>
    </row>
    <row r="51" spans="2:16" ht="14.25" customHeight="1" x14ac:dyDescent="0.4">
      <c r="B51" s="729"/>
      <c r="C51" s="729"/>
      <c r="D51" s="729"/>
      <c r="E51" s="729"/>
      <c r="F51" s="729"/>
      <c r="G51" s="729"/>
      <c r="H51" s="729"/>
      <c r="I51" s="729"/>
      <c r="J51" s="729"/>
      <c r="K51" s="729"/>
      <c r="L51" s="729"/>
      <c r="M51" s="729"/>
    </row>
    <row r="52" spans="2:16" ht="15.5" x14ac:dyDescent="0.35">
      <c r="B52" s="6" t="s">
        <v>1769</v>
      </c>
      <c r="N52" s="65"/>
      <c r="O52" s="65"/>
      <c r="P52" s="65"/>
    </row>
    <row r="53" spans="2:16" ht="13" x14ac:dyDescent="0.3">
      <c r="B53" s="353" t="s">
        <v>1770</v>
      </c>
      <c r="G53" s="126">
        <f>50</f>
        <v>50</v>
      </c>
      <c r="H53" s="126">
        <f>50</f>
        <v>50</v>
      </c>
      <c r="I53" s="126">
        <f>50</f>
        <v>50</v>
      </c>
      <c r="J53" s="126">
        <f>50</f>
        <v>50</v>
      </c>
      <c r="K53" s="126">
        <f>50</f>
        <v>50</v>
      </c>
      <c r="L53" s="126">
        <f>50</f>
        <v>50</v>
      </c>
      <c r="M53" s="126">
        <f>50</f>
        <v>50</v>
      </c>
    </row>
    <row r="54" spans="2:16" x14ac:dyDescent="0.25">
      <c r="B54" s="353" t="s">
        <v>1771</v>
      </c>
      <c r="G54" s="85">
        <f>'Battery Design'!G411/10</f>
        <v>1</v>
      </c>
      <c r="H54" s="85">
        <f>'Battery Design'!H411/10</f>
        <v>1</v>
      </c>
      <c r="I54" s="85">
        <f>'Battery Design'!I411/10</f>
        <v>1</v>
      </c>
      <c r="J54" s="85">
        <f>'Battery Design'!J411/10</f>
        <v>1</v>
      </c>
      <c r="K54" s="85">
        <f>'Battery Design'!K411/10</f>
        <v>1</v>
      </c>
      <c r="L54" s="85">
        <f>'Battery Design'!L411/10</f>
        <v>1</v>
      </c>
      <c r="M54" s="85">
        <f>'Battery Design'!M411/10</f>
        <v>1</v>
      </c>
    </row>
    <row r="55" spans="2:16" x14ac:dyDescent="0.25">
      <c r="B55" s="353" t="s">
        <v>1772</v>
      </c>
      <c r="G55" s="2">
        <f ca="1">(2*('Battery Design'!G406-'Battery Design'!G412)*('Battery Design'!G407-'Battery Design'!G412)+2*('Battery Design'!G406-'Battery Design'!G412)*('Battery Design'!G408-'Battery Design'!G412))/100</f>
        <v>55387.818556676022</v>
      </c>
      <c r="H55" s="2">
        <f ca="1">(2*('Battery Design'!H406-'Battery Design'!H412)*('Battery Design'!H407-'Battery Design'!H412)+2*('Battery Design'!H406-'Battery Design'!H412)*('Battery Design'!H408-'Battery Design'!H412))/100</f>
        <v>55387.818556676022</v>
      </c>
      <c r="I55" s="2">
        <f ca="1">(2*('Battery Design'!I406-'Battery Design'!I412)*('Battery Design'!I407-'Battery Design'!I412)+2*('Battery Design'!I406-'Battery Design'!I412)*('Battery Design'!I408-'Battery Design'!I412))/100</f>
        <v>55415.585250947195</v>
      </c>
      <c r="J55" s="2">
        <f ca="1">(2*('Battery Design'!J406-'Battery Design'!J412)*('Battery Design'!J407-'Battery Design'!J412)+2*('Battery Design'!J406-'Battery Design'!J412)*('Battery Design'!J408-'Battery Design'!J412))/100</f>
        <v>55917.715152405806</v>
      </c>
      <c r="K55" s="2">
        <f ca="1">(2*('Battery Design'!K406-'Battery Design'!K412)*('Battery Design'!K407-'Battery Design'!K412)+2*('Battery Design'!K406-'Battery Design'!K412)*('Battery Design'!K408-'Battery Design'!K412))/100</f>
        <v>55909.411845297211</v>
      </c>
      <c r="L55" s="2">
        <f ca="1">(2*('Battery Design'!L406-'Battery Design'!L412)*('Battery Design'!L407-'Battery Design'!L412)+2*('Battery Design'!L406-'Battery Design'!L412)*('Battery Design'!L408-'Battery Design'!L412))/100</f>
        <v>56974.885725253502</v>
      </c>
      <c r="M55" s="2">
        <f ca="1">(2*('Battery Design'!M406-'Battery Design'!M412)*('Battery Design'!M407-'Battery Design'!M412)+2*('Battery Design'!M406-'Battery Design'!M412)*('Battery Design'!M408-'Battery Design'!M412))/100</f>
        <v>59627.938299267786</v>
      </c>
    </row>
    <row r="56" spans="2:16" x14ac:dyDescent="0.25">
      <c r="B56" s="353" t="s">
        <v>1773</v>
      </c>
      <c r="G56" s="43">
        <f>0.00027</f>
        <v>2.7E-4</v>
      </c>
      <c r="H56" s="43">
        <f t="shared" ref="H56:M56" si="16">0.00027</f>
        <v>2.7E-4</v>
      </c>
      <c r="I56" s="43">
        <f t="shared" si="16"/>
        <v>2.7E-4</v>
      </c>
      <c r="J56" s="43">
        <f t="shared" si="16"/>
        <v>2.7E-4</v>
      </c>
      <c r="K56" s="43">
        <f t="shared" si="16"/>
        <v>2.7E-4</v>
      </c>
      <c r="L56" s="43">
        <f t="shared" si="16"/>
        <v>2.7E-4</v>
      </c>
      <c r="M56" s="43">
        <f t="shared" si="16"/>
        <v>2.7E-4</v>
      </c>
    </row>
    <row r="57" spans="2:16" x14ac:dyDescent="0.25">
      <c r="B57" s="353" t="s">
        <v>1774</v>
      </c>
      <c r="G57" s="2">
        <f t="shared" ref="G57:M57" ca="1" si="17">G56*G55/G54*(G53-G10)</f>
        <v>299.09422020605052</v>
      </c>
      <c r="H57" s="2">
        <f t="shared" ca="1" si="17"/>
        <v>299.09422020605052</v>
      </c>
      <c r="I57" s="2">
        <f t="shared" ca="1" si="17"/>
        <v>299.24416035511484</v>
      </c>
      <c r="J57" s="2">
        <f t="shared" ca="1" si="17"/>
        <v>301.95566182299137</v>
      </c>
      <c r="K57" s="2">
        <f t="shared" ca="1" si="17"/>
        <v>301.91082396460496</v>
      </c>
      <c r="L57" s="2">
        <f t="shared" ca="1" si="17"/>
        <v>307.66438291636894</v>
      </c>
      <c r="M57" s="2">
        <f t="shared" ca="1" si="17"/>
        <v>321.99086681604604</v>
      </c>
    </row>
    <row r="58" spans="2:16" x14ac:dyDescent="0.25">
      <c r="B58" s="353"/>
      <c r="G58" s="2"/>
      <c r="H58" s="2"/>
      <c r="I58" s="2"/>
      <c r="J58" s="2"/>
      <c r="K58" s="2"/>
      <c r="L58" s="2"/>
      <c r="M58" s="2"/>
    </row>
    <row r="59" spans="2:16" ht="15.5" x14ac:dyDescent="0.35">
      <c r="B59" s="6" t="s">
        <v>1775</v>
      </c>
      <c r="G59" s="2"/>
      <c r="H59" s="2"/>
      <c r="I59" s="2"/>
      <c r="J59" s="2"/>
      <c r="K59" s="2"/>
      <c r="L59" s="2"/>
      <c r="M59" s="2"/>
    </row>
    <row r="60" spans="2:16" x14ac:dyDescent="0.25">
      <c r="B60" s="353" t="s">
        <v>1776</v>
      </c>
      <c r="G60" s="934"/>
      <c r="H60" s="934"/>
      <c r="I60" s="934"/>
      <c r="J60" s="934"/>
      <c r="K60" s="934"/>
      <c r="L60" s="934"/>
      <c r="M60" s="934"/>
      <c r="O60" s="53"/>
      <c r="P60" s="53"/>
    </row>
    <row r="61" spans="2:16" x14ac:dyDescent="0.25">
      <c r="B61" s="353" t="s">
        <v>1777</v>
      </c>
      <c r="C61" s="353"/>
      <c r="D61" s="353"/>
      <c r="E61" s="353"/>
      <c r="F61" s="353"/>
      <c r="G61" s="12">
        <f ca="1">(G40+G57)*'Battery Design'!G12</f>
        <v>720.82686843771307</v>
      </c>
      <c r="H61" s="12">
        <f ca="1">(H40+H57)*'Battery Design'!H12</f>
        <v>720.82686843771307</v>
      </c>
      <c r="I61" s="12">
        <f ca="1">(I40+I57)*'Battery Design'!I12</f>
        <v>680.71199592511039</v>
      </c>
      <c r="J61" s="12">
        <f ca="1">(J40+J57)*'Battery Design'!J12</f>
        <v>633.87819259189769</v>
      </c>
      <c r="K61" s="12">
        <f ca="1">(K40+K57)*'Battery Design'!K12</f>
        <v>576.58343824366943</v>
      </c>
      <c r="L61" s="12">
        <f ca="1">(L40+L57)*'Battery Design'!L12</f>
        <v>513.79067352344214</v>
      </c>
      <c r="M61" s="12">
        <f ca="1">(M40+M57)*'Battery Design'!M12</f>
        <v>437.72538210948051</v>
      </c>
      <c r="N61" s="53"/>
      <c r="O61" s="53"/>
      <c r="P61" s="53"/>
    </row>
    <row r="62" spans="2:16" ht="13" x14ac:dyDescent="0.3">
      <c r="B62" s="353" t="s">
        <v>1778</v>
      </c>
      <c r="C62" s="353"/>
      <c r="D62" s="353"/>
      <c r="E62" s="353"/>
      <c r="F62" s="353"/>
      <c r="G62" s="12">
        <f ca="1">IF(G60=0,MAX(IF(AND('Vehicle Considerations'!$B$28, Dashboard!$D$34= "Yes"), $C$172/1.5,$C$169/2),  G61), G60)</f>
        <v>4000</v>
      </c>
      <c r="H62" s="12">
        <f ca="1">IF(H60=0,MAX(IF(AND('Vehicle Considerations'!$B$28, Dashboard!$D$34= "Yes"), $C$172/1.5,$C$169/2),  H61), H60)</f>
        <v>4000</v>
      </c>
      <c r="I62" s="12">
        <f ca="1">IF(I60=0,MAX(IF(AND('Vehicle Considerations'!$B$28, Dashboard!$D$34= "Yes"), $C$172/1.5,$C$169/2),  I61), I60)</f>
        <v>4000</v>
      </c>
      <c r="J62" s="12">
        <f ca="1">IF(J60=0,MAX(IF(AND('Vehicle Considerations'!$B$28, Dashboard!$D$34= "Yes"), $C$172/1.5,$C$169/2),  J61), J60)</f>
        <v>4000</v>
      </c>
      <c r="K62" s="12">
        <f ca="1">IF(K60=0,MAX(IF(AND('Vehicle Considerations'!$B$28, Dashboard!$D$34= "Yes"), $C$172/1.5,$C$169/2),  K61), K60)</f>
        <v>4000</v>
      </c>
      <c r="L62" s="12">
        <f ca="1">IF(L60=0,MAX(IF(AND('Vehicle Considerations'!$B$28, Dashboard!$D$34= "Yes"), $C$172/1.5,$C$169/2),  L61), L60)</f>
        <v>4000</v>
      </c>
      <c r="M62" s="12">
        <f ca="1">IF(M60=0,MAX(IF(AND('Vehicle Considerations'!$B$28, Dashboard!$D$34= "Yes"), $C$172/1.5,$C$169/2),  M61), M60)</f>
        <v>4000</v>
      </c>
      <c r="N62" s="1031"/>
      <c r="O62" s="62"/>
      <c r="P62" s="62"/>
    </row>
    <row r="63" spans="2:16" ht="13" thickBot="1" x14ac:dyDescent="0.3">
      <c r="B63" s="353"/>
      <c r="G63" s="2"/>
      <c r="H63" s="2"/>
      <c r="I63" s="2"/>
      <c r="J63" s="2"/>
      <c r="K63" s="2"/>
      <c r="L63" s="2"/>
      <c r="M63" s="2"/>
    </row>
    <row r="64" spans="2:16" ht="20.5" thickBot="1" x14ac:dyDescent="0.45">
      <c r="B64" s="1453" t="s">
        <v>1779</v>
      </c>
      <c r="C64" s="1454"/>
      <c r="D64" s="1454"/>
      <c r="E64" s="1454"/>
      <c r="F64" s="1454"/>
      <c r="G64" s="1454"/>
      <c r="H64" s="1454"/>
      <c r="I64" s="1454"/>
      <c r="J64" s="1454"/>
      <c r="K64" s="1454"/>
      <c r="L64" s="1454"/>
      <c r="M64" s="1455"/>
    </row>
    <row r="65" spans="2:14" ht="13.5" customHeight="1" x14ac:dyDescent="0.4">
      <c r="B65" s="729"/>
      <c r="C65" s="729"/>
      <c r="D65" s="729"/>
      <c r="E65" s="729"/>
      <c r="F65" s="729"/>
      <c r="G65" s="729"/>
      <c r="H65" s="729"/>
      <c r="I65" s="729"/>
      <c r="J65" s="729"/>
      <c r="K65" s="729"/>
      <c r="L65" s="729"/>
      <c r="M65" s="729"/>
    </row>
    <row r="66" spans="2:14" ht="15.5" x14ac:dyDescent="0.35">
      <c r="B66" s="6" t="s">
        <v>1780</v>
      </c>
      <c r="C66" s="353"/>
      <c r="D66" s="353"/>
      <c r="E66" s="353"/>
      <c r="F66" s="353"/>
      <c r="G66" s="12"/>
      <c r="H66" s="12"/>
      <c r="I66" s="12"/>
      <c r="J66" s="12"/>
      <c r="K66" s="12"/>
      <c r="L66" s="12"/>
      <c r="M66" s="12"/>
    </row>
    <row r="67" spans="2:14" ht="14" x14ac:dyDescent="0.3">
      <c r="B67" s="665" t="s">
        <v>1781</v>
      </c>
      <c r="G67" s="3"/>
      <c r="H67" s="3"/>
      <c r="I67" s="3"/>
      <c r="J67" s="3"/>
      <c r="K67" s="3"/>
      <c r="L67" s="3"/>
      <c r="M67" s="3"/>
    </row>
    <row r="68" spans="2:14" ht="13" x14ac:dyDescent="0.3">
      <c r="B68" s="353" t="s">
        <v>1782</v>
      </c>
      <c r="G68" s="3">
        <f>'Battery Design'!$E63</f>
        <v>15</v>
      </c>
      <c r="H68" s="3">
        <f>'Battery Design'!$E63</f>
        <v>15</v>
      </c>
      <c r="I68" s="3">
        <f>'Battery Design'!$E63</f>
        <v>15</v>
      </c>
      <c r="J68" s="3">
        <f>'Battery Design'!$E63</f>
        <v>15</v>
      </c>
      <c r="K68" s="3">
        <f>'Battery Design'!$E63</f>
        <v>15</v>
      </c>
      <c r="L68" s="3">
        <f>'Battery Design'!$E63</f>
        <v>15</v>
      </c>
      <c r="M68" s="3">
        <f>'Battery Design'!$E63</f>
        <v>15</v>
      </c>
    </row>
    <row r="69" spans="2:14" x14ac:dyDescent="0.25">
      <c r="B69" s="353" t="s">
        <v>1783</v>
      </c>
      <c r="G69" s="3">
        <f>'Battery Design'!$E64</f>
        <v>10</v>
      </c>
      <c r="H69" s="3">
        <f>'Battery Design'!$E64</f>
        <v>10</v>
      </c>
      <c r="I69" s="3">
        <f>'Battery Design'!$E64</f>
        <v>10</v>
      </c>
      <c r="J69" s="3">
        <f>'Battery Design'!$E64</f>
        <v>10</v>
      </c>
      <c r="K69" s="3">
        <f>'Battery Design'!$E64</f>
        <v>10</v>
      </c>
      <c r="L69" s="3">
        <f>'Battery Design'!$E64</f>
        <v>10</v>
      </c>
      <c r="M69" s="3">
        <f>'Battery Design'!$E64</f>
        <v>10</v>
      </c>
    </row>
    <row r="70" spans="2:14" x14ac:dyDescent="0.25">
      <c r="B70" s="61" t="s">
        <v>1784</v>
      </c>
      <c r="G70" s="3">
        <f ca="1">'Battery Design'!G276</f>
        <v>120</v>
      </c>
      <c r="H70" s="3">
        <f ca="1">'Battery Design'!H276</f>
        <v>120</v>
      </c>
      <c r="I70" s="3">
        <f ca="1">'Battery Design'!I276</f>
        <v>108.28682636679949</v>
      </c>
      <c r="J70" s="3">
        <f ca="1">'Battery Design'!J276</f>
        <v>93.859128158890144</v>
      </c>
      <c r="K70" s="3">
        <f ca="1">'Battery Design'!K276</f>
        <v>77.09682591912636</v>
      </c>
      <c r="L70" s="3">
        <f ca="1">'Battery Design'!L276</f>
        <v>56.979291521262034</v>
      </c>
      <c r="M70" s="3">
        <f ca="1">'Battery Design'!M276</f>
        <v>30.309835647059309</v>
      </c>
    </row>
    <row r="71" spans="2:14" x14ac:dyDescent="0.25">
      <c r="B71" s="61" t="s">
        <v>1785</v>
      </c>
      <c r="G71" s="3">
        <f ca="1">'Battery Design'!G277</f>
        <v>152.69056152957771</v>
      </c>
      <c r="H71" s="3">
        <f ca="1">'Battery Design'!H277</f>
        <v>152.69056152957771</v>
      </c>
      <c r="I71" s="3">
        <f ca="1">'Battery Design'!I277</f>
        <v>137.78646936835412</v>
      </c>
      <c r="J71" s="3">
        <f ca="1">'Battery Design'!J277</f>
        <v>119.42835819381278</v>
      </c>
      <c r="K71" s="3">
        <f ca="1">'Battery Design'!K277</f>
        <v>98.099647014495872</v>
      </c>
      <c r="L71" s="3">
        <f ca="1">'Battery Design'!L277</f>
        <v>72.501666816158377</v>
      </c>
      <c r="M71" s="3">
        <f ca="1">'Battery Design'!M277</f>
        <v>38.566881873489137</v>
      </c>
    </row>
    <row r="72" spans="2:14" x14ac:dyDescent="0.25">
      <c r="B72" s="61" t="s">
        <v>1786</v>
      </c>
      <c r="G72" s="3">
        <f>'Battery Design'!$E65</f>
        <v>15</v>
      </c>
      <c r="H72" s="3">
        <f>'Battery Design'!$E65</f>
        <v>15</v>
      </c>
      <c r="I72" s="3">
        <f>'Battery Design'!$E65</f>
        <v>15</v>
      </c>
      <c r="J72" s="3">
        <f>'Battery Design'!$E65</f>
        <v>15</v>
      </c>
      <c r="K72" s="3">
        <f>'Battery Design'!$E65</f>
        <v>15</v>
      </c>
      <c r="L72" s="3">
        <f>'Battery Design'!$E65</f>
        <v>15</v>
      </c>
      <c r="M72" s="3">
        <f>'Battery Design'!$E65</f>
        <v>15</v>
      </c>
    </row>
    <row r="73" spans="2:14" x14ac:dyDescent="0.25">
      <c r="B73" s="61" t="s">
        <v>1787</v>
      </c>
      <c r="G73" s="3">
        <f t="shared" ref="G73:M73" ca="1" si="18">G68+G69+2*(G70+G71+G72)</f>
        <v>600.38112305915547</v>
      </c>
      <c r="H73" s="3">
        <f t="shared" ca="1" si="18"/>
        <v>600.38112305915547</v>
      </c>
      <c r="I73" s="3">
        <f t="shared" ca="1" si="18"/>
        <v>547.14659147030716</v>
      </c>
      <c r="J73" s="3">
        <f t="shared" ca="1" si="18"/>
        <v>481.57497270540586</v>
      </c>
      <c r="K73" s="3">
        <f t="shared" ca="1" si="18"/>
        <v>405.39294586724446</v>
      </c>
      <c r="L73" s="3">
        <f t="shared" ca="1" si="18"/>
        <v>313.96191667484084</v>
      </c>
      <c r="M73" s="3">
        <f t="shared" ca="1" si="18"/>
        <v>192.75343504109691</v>
      </c>
    </row>
    <row r="74" spans="2:14" x14ac:dyDescent="0.25">
      <c r="B74" s="61"/>
      <c r="G74" s="3"/>
      <c r="H74" s="3"/>
      <c r="I74" s="3"/>
      <c r="J74" s="3"/>
      <c r="K74" s="3"/>
      <c r="L74" s="3"/>
      <c r="M74" s="3"/>
    </row>
    <row r="75" spans="2:14" ht="14" x14ac:dyDescent="0.3">
      <c r="B75" s="665" t="s">
        <v>1788</v>
      </c>
      <c r="C75" s="353"/>
      <c r="D75" s="84"/>
      <c r="E75" s="84"/>
      <c r="F75" s="84"/>
      <c r="G75" s="84"/>
      <c r="H75" s="84"/>
      <c r="I75" s="84"/>
      <c r="J75" s="84"/>
      <c r="K75" s="84"/>
      <c r="L75" s="84"/>
      <c r="M75" s="84"/>
    </row>
    <row r="76" spans="2:14" ht="13" x14ac:dyDescent="0.3">
      <c r="B76" s="9" t="s">
        <v>1789</v>
      </c>
      <c r="C76" s="353"/>
      <c r="D76" s="353"/>
      <c r="E76" s="353"/>
      <c r="F76" s="84"/>
      <c r="G76" s="89">
        <f>IF(Chem!$C$30 = "Aluminum", _therm_cond_Al, _therm_cond_Cu)</f>
        <v>2</v>
      </c>
      <c r="H76" s="89">
        <f>IF(Chem!$C$30 = "Aluminum", _therm_cond_Al, _therm_cond_Cu)</f>
        <v>2</v>
      </c>
      <c r="I76" s="89">
        <f>IF(Chem!$C$30 = "Aluminum", _therm_cond_Al, _therm_cond_Cu)</f>
        <v>2</v>
      </c>
      <c r="J76" s="89">
        <f>IF(Chem!$C$30 = "Aluminum", _therm_cond_Al, _therm_cond_Cu)</f>
        <v>2</v>
      </c>
      <c r="K76" s="89">
        <f>IF(Chem!$C$30 = "Aluminum", _therm_cond_Al, _therm_cond_Cu)</f>
        <v>2</v>
      </c>
      <c r="L76" s="89">
        <f>IF(Chem!$C$30 = "Aluminum", _therm_cond_Al, _therm_cond_Cu)</f>
        <v>2</v>
      </c>
      <c r="M76" s="89">
        <f>IF(Chem!$C$30 = "Aluminum", _therm_cond_Al, _therm_cond_Cu)</f>
        <v>2</v>
      </c>
      <c r="N76" s="88"/>
    </row>
    <row r="77" spans="2:14" ht="13" x14ac:dyDescent="0.3">
      <c r="B77" s="9" t="s">
        <v>1790</v>
      </c>
      <c r="C77" s="353"/>
      <c r="D77" s="353"/>
      <c r="E77" s="353"/>
      <c r="F77" s="84"/>
      <c r="G77" s="89">
        <f>IF(Chem!$C$57 = "Aluminum", _therm_cond_Al, _therm_cond_Cu)</f>
        <v>3.8</v>
      </c>
      <c r="H77" s="89">
        <f>IF(Chem!$C$57 = "Aluminum", _therm_cond_Al, _therm_cond_Cu)</f>
        <v>3.8</v>
      </c>
      <c r="I77" s="89">
        <f>IF(Chem!$C$57 = "Aluminum", _therm_cond_Al, _therm_cond_Cu)</f>
        <v>3.8</v>
      </c>
      <c r="J77" s="89">
        <f>IF(Chem!$C$57 = "Aluminum", _therm_cond_Al, _therm_cond_Cu)</f>
        <v>3.8</v>
      </c>
      <c r="K77" s="89">
        <f>IF(Chem!$C$57 = "Aluminum", _therm_cond_Al, _therm_cond_Cu)</f>
        <v>3.8</v>
      </c>
      <c r="L77" s="89">
        <f>IF(Chem!$C$57 = "Aluminum", _therm_cond_Al, _therm_cond_Cu)</f>
        <v>3.8</v>
      </c>
      <c r="M77" s="89">
        <f>IF(Chem!$C$57 = "Aluminum", _therm_cond_Al, _therm_cond_Cu)</f>
        <v>3.8</v>
      </c>
      <c r="N77" s="88"/>
    </row>
    <row r="78" spans="2:14" x14ac:dyDescent="0.25">
      <c r="B78" s="61" t="s">
        <v>1791</v>
      </c>
      <c r="C78" s="353"/>
      <c r="D78" s="353"/>
      <c r="E78" s="353"/>
      <c r="F78" s="84"/>
      <c r="G78" s="935">
        <v>1.2999999999999999E-2</v>
      </c>
      <c r="H78" s="935">
        <v>1.2999999999999999E-2</v>
      </c>
      <c r="I78" s="935">
        <v>1.2999999999999999E-2</v>
      </c>
      <c r="J78" s="935">
        <v>1.2999999999999999E-2</v>
      </c>
      <c r="K78" s="935">
        <v>1.2999999999999999E-2</v>
      </c>
      <c r="L78" s="935">
        <v>1.2999999999999999E-2</v>
      </c>
      <c r="M78" s="935">
        <v>1.2999999999999999E-2</v>
      </c>
    </row>
    <row r="79" spans="2:14" x14ac:dyDescent="0.25">
      <c r="B79" s="61" t="s">
        <v>1792</v>
      </c>
      <c r="C79" s="353"/>
      <c r="D79" s="353"/>
      <c r="E79" s="353"/>
      <c r="F79" s="84"/>
      <c r="G79" s="935">
        <v>1.2999999999999999E-2</v>
      </c>
      <c r="H79" s="935">
        <v>1.2999999999999999E-2</v>
      </c>
      <c r="I79" s="935">
        <v>1.2999999999999999E-2</v>
      </c>
      <c r="J79" s="935">
        <v>1.2999999999999999E-2</v>
      </c>
      <c r="K79" s="935">
        <v>1.2999999999999999E-2</v>
      </c>
      <c r="L79" s="935">
        <v>1.2999999999999999E-2</v>
      </c>
      <c r="M79" s="935">
        <v>1.2999999999999999E-2</v>
      </c>
    </row>
    <row r="80" spans="2:14" x14ac:dyDescent="0.25">
      <c r="B80" s="61" t="s">
        <v>1793</v>
      </c>
      <c r="C80" s="353"/>
      <c r="D80" s="353"/>
      <c r="E80" s="353"/>
      <c r="F80" s="84"/>
      <c r="G80" s="936">
        <v>2E-3</v>
      </c>
      <c r="H80" s="936">
        <v>2E-3</v>
      </c>
      <c r="I80" s="936">
        <v>2E-3</v>
      </c>
      <c r="J80" s="936">
        <v>2E-3</v>
      </c>
      <c r="K80" s="936">
        <v>2E-3</v>
      </c>
      <c r="L80" s="936">
        <v>2E-3</v>
      </c>
      <c r="M80" s="936">
        <v>2E-3</v>
      </c>
    </row>
    <row r="81" spans="2:23" x14ac:dyDescent="0.25">
      <c r="B81" s="353" t="s">
        <v>1794</v>
      </c>
      <c r="F81" s="39"/>
      <c r="G81" s="42">
        <f t="shared" ref="G81:M81" si="19">0.01</f>
        <v>0.01</v>
      </c>
      <c r="H81" s="42">
        <f t="shared" si="19"/>
        <v>0.01</v>
      </c>
      <c r="I81" s="42">
        <f t="shared" si="19"/>
        <v>0.01</v>
      </c>
      <c r="J81" s="42">
        <f t="shared" si="19"/>
        <v>0.01</v>
      </c>
      <c r="K81" s="42">
        <f t="shared" si="19"/>
        <v>0.01</v>
      </c>
      <c r="L81" s="42">
        <f t="shared" si="19"/>
        <v>0.01</v>
      </c>
      <c r="M81" s="42">
        <f t="shared" si="19"/>
        <v>0.01</v>
      </c>
    </row>
    <row r="82" spans="2:23" ht="13" x14ac:dyDescent="0.3">
      <c r="B82" s="9" t="s">
        <v>1795</v>
      </c>
      <c r="C82" s="67"/>
      <c r="D82" s="67"/>
      <c r="E82" s="67"/>
      <c r="F82" s="84"/>
      <c r="G82" s="326">
        <f t="shared" ref="G82:M82" ca="1" si="20">G73/(G68/G76+G69/G77+2*(G70/G78+G71/G79+G72/G80))</f>
        <v>1.053993157954927E-2</v>
      </c>
      <c r="H82" s="326">
        <f t="shared" ca="1" si="20"/>
        <v>1.053993157954927E-2</v>
      </c>
      <c r="I82" s="326">
        <f t="shared" ca="1" si="20"/>
        <v>1.0349382002094608E-2</v>
      </c>
      <c r="J82" s="326">
        <f t="shared" ca="1" si="20"/>
        <v>1.0069820405705501E-2</v>
      </c>
      <c r="K82" s="326">
        <f t="shared" ca="1" si="20"/>
        <v>9.6606234649678976E-3</v>
      </c>
      <c r="L82" s="326">
        <f t="shared" ca="1" si="20"/>
        <v>8.988245313922642E-3</v>
      </c>
      <c r="M82" s="326">
        <f t="shared" ca="1" si="20"/>
        <v>7.5275051737831609E-3</v>
      </c>
      <c r="N82" s="88"/>
    </row>
    <row r="83" spans="2:23" ht="13" x14ac:dyDescent="0.3">
      <c r="B83" s="61" t="s">
        <v>1796</v>
      </c>
      <c r="C83" s="67"/>
      <c r="D83" s="67"/>
      <c r="E83" s="67"/>
      <c r="F83" s="84"/>
      <c r="G83" s="326">
        <f t="shared" ref="G83:M83" ca="1" si="21">(G76*G68+G77*G69+2*(G78*G70+G79*G71+G80*G72))/G73</f>
        <v>0.12517041544686358</v>
      </c>
      <c r="H83" s="326">
        <f t="shared" ca="1" si="21"/>
        <v>0.12517041544686358</v>
      </c>
      <c r="I83" s="326">
        <f t="shared" ca="1" si="21"/>
        <v>0.13608401633103243</v>
      </c>
      <c r="J83" s="326">
        <f t="shared" ca="1" si="21"/>
        <v>0.1528432306846581</v>
      </c>
      <c r="K83" s="326">
        <f t="shared" ca="1" si="21"/>
        <v>0.17912277220544856</v>
      </c>
      <c r="L83" s="326">
        <f t="shared" ca="1" si="21"/>
        <v>0.22750053787812363</v>
      </c>
      <c r="M83" s="326">
        <f t="shared" ca="1" si="21"/>
        <v>0.36238417562126141</v>
      </c>
    </row>
    <row r="84" spans="2:23" ht="15.5" x14ac:dyDescent="0.35">
      <c r="B84" s="61" t="s">
        <v>1797</v>
      </c>
      <c r="G84" s="85">
        <v>2.5999999999999998E-4</v>
      </c>
      <c r="H84" s="85">
        <v>2.5999999999999998E-4</v>
      </c>
      <c r="I84" s="85">
        <v>2.5999999999999998E-4</v>
      </c>
      <c r="J84" s="85">
        <v>2.5999999999999998E-4</v>
      </c>
      <c r="K84" s="85">
        <v>2.5999999999999998E-4</v>
      </c>
      <c r="L84" s="85">
        <v>2.5999999999999998E-4</v>
      </c>
      <c r="M84" s="85">
        <v>2.5999999999999998E-4</v>
      </c>
      <c r="N84" s="7"/>
      <c r="O84" s="7"/>
      <c r="P84" s="7"/>
      <c r="Q84" s="7"/>
      <c r="R84" s="7"/>
      <c r="S84" s="7"/>
      <c r="T84" s="7"/>
      <c r="U84" s="7"/>
    </row>
    <row r="85" spans="2:23" ht="13" x14ac:dyDescent="0.3">
      <c r="B85" s="353" t="s">
        <v>1798</v>
      </c>
      <c r="C85" s="67"/>
      <c r="D85" s="67"/>
      <c r="E85" s="67"/>
      <c r="F85" s="84"/>
      <c r="G85" s="936">
        <v>4.3E-3</v>
      </c>
      <c r="H85" s="936">
        <v>4.3E-3</v>
      </c>
      <c r="I85" s="936">
        <v>4.3E-3</v>
      </c>
      <c r="J85" s="936">
        <v>4.3E-3</v>
      </c>
      <c r="K85" s="936">
        <v>4.3E-3</v>
      </c>
      <c r="L85" s="936">
        <v>4.3E-3</v>
      </c>
      <c r="M85" s="936">
        <v>4.3E-3</v>
      </c>
    </row>
    <row r="86" spans="2:23" ht="13" x14ac:dyDescent="0.3">
      <c r="B86" s="353"/>
      <c r="C86" s="67"/>
      <c r="D86" s="67"/>
      <c r="E86" s="67"/>
      <c r="F86" s="84"/>
      <c r="G86" s="514"/>
      <c r="H86" s="514"/>
      <c r="I86" s="514"/>
      <c r="J86" s="514"/>
      <c r="K86" s="514"/>
      <c r="L86" s="514"/>
      <c r="M86" s="514"/>
    </row>
    <row r="87" spans="2:23" ht="15.5" x14ac:dyDescent="0.35">
      <c r="B87" s="6" t="s">
        <v>1799</v>
      </c>
      <c r="F87" s="39"/>
      <c r="G87" s="3"/>
      <c r="H87" s="3"/>
      <c r="I87" s="3"/>
      <c r="J87" s="3"/>
      <c r="K87" s="3"/>
      <c r="L87" s="3"/>
      <c r="M87" s="3"/>
      <c r="V87" s="54"/>
    </row>
    <row r="88" spans="2:23" ht="14" x14ac:dyDescent="0.3">
      <c r="B88" s="665" t="s">
        <v>1800</v>
      </c>
      <c r="F88" s="39"/>
      <c r="G88" s="3"/>
      <c r="H88" s="3"/>
      <c r="I88" s="3"/>
      <c r="J88" s="3"/>
      <c r="K88" s="3"/>
      <c r="L88" s="3"/>
      <c r="M88" s="3"/>
      <c r="V88" s="54"/>
    </row>
    <row r="89" spans="2:23" x14ac:dyDescent="0.25">
      <c r="B89" s="353" t="s">
        <v>1801</v>
      </c>
      <c r="D89" s="2"/>
      <c r="F89" s="75"/>
      <c r="G89" s="8">
        <f ca="1">G40/'Battery Design'!G31</f>
        <v>1.0543316205791564</v>
      </c>
      <c r="H89" s="8">
        <f ca="1">H40/'Battery Design'!H31</f>
        <v>1.0543316205791564</v>
      </c>
      <c r="I89" s="8">
        <f ca="1">I40/'Battery Design'!I31</f>
        <v>0.95366958892498876</v>
      </c>
      <c r="J89" s="8">
        <f ca="1">J40/'Battery Design'!J31</f>
        <v>0.82980632692226597</v>
      </c>
      <c r="K89" s="8">
        <f ca="1">K40/'Battery Design'!K31</f>
        <v>0.68668153569766099</v>
      </c>
      <c r="L89" s="8">
        <f ca="1">L40/'Battery Design'!L31</f>
        <v>0.51531572651768309</v>
      </c>
      <c r="M89" s="8">
        <f ca="1">M40/'Battery Design'!M31</f>
        <v>0.28933628823358615</v>
      </c>
      <c r="V89" s="44"/>
      <c r="W89" s="44"/>
    </row>
    <row r="90" spans="2:23" x14ac:dyDescent="0.25">
      <c r="B90" s="353" t="s">
        <v>1802</v>
      </c>
      <c r="D90" s="2"/>
      <c r="F90" s="75"/>
      <c r="G90" s="8">
        <f ca="1">'Battery Design'!G333/10</f>
        <v>20.504043295675991</v>
      </c>
      <c r="H90" s="8">
        <f ca="1">'Battery Design'!H333/10</f>
        <v>20.504043295675991</v>
      </c>
      <c r="I90" s="8">
        <f ca="1">'Battery Design'!I333/10</f>
        <v>20.622884709612258</v>
      </c>
      <c r="J90" s="8">
        <f ca="1">'Battery Design'!J333/10</f>
        <v>20.702238501287106</v>
      </c>
      <c r="K90" s="8">
        <f ca="1">'Battery Design'!K333/10</f>
        <v>21.041273503777877</v>
      </c>
      <c r="L90" s="8">
        <f ca="1">'Battery Design'!L333/10</f>
        <v>21.449807727539341</v>
      </c>
      <c r="M90" s="8">
        <f ca="1">'Battery Design'!M333/10</f>
        <v>23.010215006606597</v>
      </c>
      <c r="V90" s="44"/>
      <c r="W90" s="44"/>
    </row>
    <row r="91" spans="2:23" x14ac:dyDescent="0.25">
      <c r="B91" s="353" t="s">
        <v>1803</v>
      </c>
      <c r="F91" s="39"/>
      <c r="G91" s="66">
        <f>'Battery Design'!G334/10+2*'Battery Design'!G70/10000+'Battery Design'!G391/10+'Battery Design'!G340/10</f>
        <v>0.12</v>
      </c>
      <c r="H91" s="66">
        <f>'Battery Design'!H334/10+2*'Battery Design'!H70/10000+'Battery Design'!H391/10+'Battery Design'!H340/10</f>
        <v>0.12</v>
      </c>
      <c r="I91" s="66">
        <f>'Battery Design'!I334/10+2*'Battery Design'!I70/10000+'Battery Design'!I391/10+'Battery Design'!I340/10</f>
        <v>0.12</v>
      </c>
      <c r="J91" s="66">
        <f>'Battery Design'!J334/10+2*'Battery Design'!J70/10000+'Battery Design'!J391/10+'Battery Design'!J340/10</f>
        <v>0.12</v>
      </c>
      <c r="K91" s="66">
        <f>'Battery Design'!K334/10+2*'Battery Design'!K70/10000+'Battery Design'!K391/10+'Battery Design'!K340/10</f>
        <v>0.12</v>
      </c>
      <c r="L91" s="66">
        <f>'Battery Design'!L334/10+2*'Battery Design'!L70/10000+'Battery Design'!L391/10+'Battery Design'!L340/10</f>
        <v>0.12</v>
      </c>
      <c r="M91" s="66">
        <f>'Battery Design'!M334/10+2*'Battery Design'!M70/10000+'Battery Design'!M391/10+'Battery Design'!M340/10</f>
        <v>0.12</v>
      </c>
      <c r="V91" s="79"/>
      <c r="W91" s="79"/>
    </row>
    <row r="92" spans="2:23" x14ac:dyDescent="0.25">
      <c r="B92" s="353" t="s">
        <v>1804</v>
      </c>
      <c r="F92" s="39"/>
      <c r="G92" s="8">
        <f ca="1">'Battery Design'!G81/10</f>
        <v>2.0110917842490692</v>
      </c>
      <c r="H92" s="8">
        <f ca="1">'Battery Design'!H81/10</f>
        <v>2.0110917842490692</v>
      </c>
      <c r="I92" s="8">
        <f ca="1">'Battery Design'!I81/10</f>
        <v>2.0046883370495339</v>
      </c>
      <c r="J92" s="8">
        <f ca="1">'Battery Design'!J81/10</f>
        <v>2.0164715249111476</v>
      </c>
      <c r="K92" s="8">
        <f ca="1">'Battery Design'!K81/10</f>
        <v>1.9954895781958339</v>
      </c>
      <c r="L92" s="8">
        <f ca="1">'Battery Design'!L81/10</f>
        <v>2.0056724738105833</v>
      </c>
      <c r="M92" s="8">
        <f ca="1">'Battery Design'!M81/10</f>
        <v>1.9984047291165612</v>
      </c>
      <c r="V92" s="44"/>
      <c r="W92" s="44"/>
    </row>
    <row r="93" spans="2:23" x14ac:dyDescent="0.25">
      <c r="B93" s="353" t="s">
        <v>1805</v>
      </c>
      <c r="F93" s="76"/>
      <c r="G93" s="3">
        <f ca="1">'Battery Design'!G305/10</f>
        <v>7.0346810985586643</v>
      </c>
      <c r="H93" s="3">
        <f ca="1">'Battery Design'!H305/10</f>
        <v>7.0346810985586643</v>
      </c>
      <c r="I93" s="3">
        <f ca="1">'Battery Design'!I305/10</f>
        <v>7.0742949032040867</v>
      </c>
      <c r="J93" s="3">
        <f ca="1">'Battery Design'!J305/10</f>
        <v>7.1007461670957017</v>
      </c>
      <c r="K93" s="3">
        <f ca="1">'Battery Design'!K305/10</f>
        <v>7.2137578345926254</v>
      </c>
      <c r="L93" s="3">
        <f ca="1">'Battery Design'!L305/10</f>
        <v>7.3499359091797798</v>
      </c>
      <c r="M93" s="3">
        <f ca="1">'Battery Design'!M305/10</f>
        <v>7.8700716688688654</v>
      </c>
      <c r="V93" s="54"/>
      <c r="W93" s="54"/>
    </row>
    <row r="94" spans="2:23" x14ac:dyDescent="0.25">
      <c r="B94" s="353" t="s">
        <v>1806</v>
      </c>
      <c r="F94" s="76"/>
      <c r="G94" s="8">
        <f>'Battery Design'!G82/10</f>
        <v>0.1</v>
      </c>
      <c r="H94" s="8">
        <f>'Battery Design'!H82/10</f>
        <v>0.1</v>
      </c>
      <c r="I94" s="8">
        <f>'Battery Design'!I82/10</f>
        <v>0.1</v>
      </c>
      <c r="J94" s="8">
        <f>'Battery Design'!J82/10</f>
        <v>0.1</v>
      </c>
      <c r="K94" s="8">
        <f>'Battery Design'!K82/10</f>
        <v>0.1</v>
      </c>
      <c r="L94" s="8">
        <f>'Battery Design'!L82/10</f>
        <v>0.1</v>
      </c>
      <c r="M94" s="8">
        <f>'Battery Design'!M82/10</f>
        <v>0.1</v>
      </c>
      <c r="V94" s="44"/>
      <c r="W94" s="44"/>
    </row>
    <row r="95" spans="2:23" x14ac:dyDescent="0.25">
      <c r="B95" s="353" t="s">
        <v>1807</v>
      </c>
      <c r="G95" s="69">
        <f ca="1">3.917*G90/10*G83^0.58*G82^-0.19*G92^1.2*G93^-0.75</f>
        <v>3.0597774739547754</v>
      </c>
      <c r="H95" s="69">
        <f t="shared" ref="H95:M95" ca="1" si="22">3.917*H90/10*H83^0.58*H82^-0.19*H92^1.2*H93^-0.75</f>
        <v>3.0597774739547754</v>
      </c>
      <c r="I95" s="69">
        <f t="shared" ca="1" si="22"/>
        <v>3.2156682764493252</v>
      </c>
      <c r="J95" s="69">
        <f t="shared" ca="1" si="22"/>
        <v>3.4857165933869982</v>
      </c>
      <c r="K95" s="69">
        <f t="shared" ca="1" si="22"/>
        <v>3.8206764921282517</v>
      </c>
      <c r="L95" s="69">
        <f t="shared" ca="1" si="22"/>
        <v>4.5001594501920605</v>
      </c>
      <c r="M95" s="69">
        <f t="shared" ca="1" si="22"/>
        <v>6.1867820932721287</v>
      </c>
      <c r="V95" s="97"/>
      <c r="W95" s="97"/>
    </row>
    <row r="96" spans="2:23" ht="13" x14ac:dyDescent="0.3">
      <c r="B96" s="353" t="s">
        <v>1808</v>
      </c>
      <c r="G96" s="69">
        <f t="shared" ref="G96:M96" ca="1" si="23">1628*G90/10*G83^0.55*G82^0.58*G92^-0.21*G93^-0.7*G91^0.72</f>
        <v>3.6356701222893912</v>
      </c>
      <c r="H96" s="69">
        <f t="shared" ca="1" si="23"/>
        <v>3.6356701222893912</v>
      </c>
      <c r="I96" s="69">
        <f t="shared" ca="1" si="23"/>
        <v>3.7761612847831847</v>
      </c>
      <c r="J96" s="69">
        <f t="shared" ca="1" si="23"/>
        <v>3.9618049421541151</v>
      </c>
      <c r="K96" s="69">
        <f t="shared" ca="1" si="23"/>
        <v>4.2515703698700067</v>
      </c>
      <c r="L96" s="69">
        <f t="shared" ca="1" si="23"/>
        <v>4.6739816067122151</v>
      </c>
      <c r="M96" s="69">
        <f t="shared" ca="1" si="23"/>
        <v>5.5751641534067096</v>
      </c>
      <c r="N96" s="737"/>
      <c r="V96" s="97"/>
      <c r="W96" s="97"/>
    </row>
    <row r="97" spans="2:23" x14ac:dyDescent="0.25">
      <c r="B97" s="353" t="s">
        <v>1809</v>
      </c>
      <c r="G97" s="8">
        <f ca="1">G89/(G95+G96)</f>
        <v>0.15746992347017805</v>
      </c>
      <c r="H97" s="8">
        <f t="shared" ref="H97:M97" ca="1" si="24">H89/(H95+H96)</f>
        <v>0.15746992347017805</v>
      </c>
      <c r="I97" s="8">
        <f t="shared" ca="1" si="24"/>
        <v>0.13639771687410487</v>
      </c>
      <c r="J97" s="8">
        <f t="shared" ca="1" si="24"/>
        <v>0.11142046692476933</v>
      </c>
      <c r="K97" s="8">
        <f t="shared" ca="1" si="24"/>
        <v>8.5066964308333243E-2</v>
      </c>
      <c r="L97" s="8">
        <f t="shared" ca="1" si="24"/>
        <v>5.6170460353873318E-2</v>
      </c>
      <c r="M97" s="8">
        <f t="shared" ca="1" si="24"/>
        <v>2.4599354746692927E-2</v>
      </c>
      <c r="V97" s="44"/>
      <c r="W97" s="44"/>
    </row>
    <row r="98" spans="2:23" x14ac:dyDescent="0.25">
      <c r="B98" s="353"/>
      <c r="G98" s="8"/>
      <c r="H98" s="8"/>
      <c r="I98" s="8"/>
      <c r="J98" s="8"/>
      <c r="K98" s="8"/>
      <c r="L98" s="8"/>
      <c r="M98" s="8"/>
      <c r="V98" s="44"/>
      <c r="W98" s="44"/>
    </row>
    <row r="99" spans="2:23" ht="14" x14ac:dyDescent="0.3">
      <c r="B99" s="665" t="s">
        <v>1810</v>
      </c>
      <c r="D99" s="130"/>
      <c r="G99" s="71"/>
      <c r="H99" s="71"/>
      <c r="I99" s="71"/>
      <c r="J99" s="71"/>
      <c r="K99" s="71"/>
      <c r="L99" s="71"/>
      <c r="M99" s="71"/>
      <c r="V99" s="82"/>
      <c r="W99" s="82"/>
    </row>
    <row r="100" spans="2:23" ht="13" x14ac:dyDescent="0.3">
      <c r="B100" s="327" t="s">
        <v>1811</v>
      </c>
      <c r="D100" s="52"/>
      <c r="E100" s="52"/>
      <c r="F100" s="52"/>
      <c r="G100" s="71"/>
      <c r="H100" s="71"/>
      <c r="I100" s="71"/>
      <c r="J100" s="71"/>
      <c r="K100" s="71"/>
      <c r="L100" s="71"/>
      <c r="M100" s="71"/>
      <c r="N100" s="1051" t="s">
        <v>1812</v>
      </c>
      <c r="V100" s="82"/>
      <c r="W100" s="82"/>
    </row>
    <row r="101" spans="2:23" ht="13" x14ac:dyDescent="0.3">
      <c r="B101" s="353" t="s">
        <v>1813</v>
      </c>
      <c r="D101" s="44"/>
      <c r="E101" s="45"/>
      <c r="F101" s="45"/>
      <c r="G101" s="42">
        <v>3.2639999999999998</v>
      </c>
      <c r="H101" s="42">
        <v>3.2639999999999998</v>
      </c>
      <c r="I101" s="42">
        <v>3.2639999999999998</v>
      </c>
      <c r="J101" s="42">
        <v>3.2639999999999998</v>
      </c>
      <c r="K101" s="42">
        <v>3.2639999999999998</v>
      </c>
      <c r="L101" s="42">
        <v>3.2639999999999998</v>
      </c>
      <c r="M101" s="42">
        <v>3.2639999999999998</v>
      </c>
      <c r="N101" s="42">
        <v>1.51</v>
      </c>
      <c r="V101" s="44"/>
      <c r="W101" s="44"/>
    </row>
    <row r="102" spans="2:23" ht="13" x14ac:dyDescent="0.3">
      <c r="B102" s="353" t="s">
        <v>1814</v>
      </c>
      <c r="D102" s="52"/>
      <c r="E102" s="45"/>
      <c r="F102" s="45"/>
      <c r="G102" s="42">
        <v>1.07</v>
      </c>
      <c r="H102" s="42">
        <v>1.07</v>
      </c>
      <c r="I102" s="42">
        <v>1.07</v>
      </c>
      <c r="J102" s="42">
        <v>1.07</v>
      </c>
      <c r="K102" s="42">
        <v>1.07</v>
      </c>
      <c r="L102" s="42">
        <v>1.07</v>
      </c>
      <c r="M102" s="42">
        <v>1.07</v>
      </c>
      <c r="N102" s="42">
        <v>0.96</v>
      </c>
      <c r="V102" s="44"/>
      <c r="W102" s="44"/>
    </row>
    <row r="103" spans="2:23" ht="13" x14ac:dyDescent="0.3">
      <c r="B103" s="353" t="s">
        <v>1815</v>
      </c>
      <c r="G103" s="565">
        <v>5.5E-2</v>
      </c>
      <c r="H103" s="565">
        <v>5.5E-2</v>
      </c>
      <c r="I103" s="565">
        <v>5.5E-2</v>
      </c>
      <c r="J103" s="565">
        <v>5.5E-2</v>
      </c>
      <c r="K103" s="565">
        <v>5.5E-2</v>
      </c>
      <c r="L103" s="565">
        <v>5.5E-2</v>
      </c>
      <c r="M103" s="565">
        <v>5.5E-2</v>
      </c>
      <c r="N103" s="42">
        <v>0.5</v>
      </c>
      <c r="V103" s="44"/>
      <c r="W103" s="44"/>
    </row>
    <row r="104" spans="2:23" x14ac:dyDescent="0.25">
      <c r="B104" s="353" t="s">
        <v>1816</v>
      </c>
      <c r="G104" s="82">
        <f t="shared" ref="G104:M104" si="25">G85</f>
        <v>4.3E-3</v>
      </c>
      <c r="H104" s="82">
        <f t="shared" si="25"/>
        <v>4.3E-3</v>
      </c>
      <c r="I104" s="82">
        <f t="shared" si="25"/>
        <v>4.3E-3</v>
      </c>
      <c r="J104" s="82">
        <f t="shared" si="25"/>
        <v>4.3E-3</v>
      </c>
      <c r="K104" s="82">
        <f t="shared" si="25"/>
        <v>4.3E-3</v>
      </c>
      <c r="L104" s="82">
        <f t="shared" si="25"/>
        <v>4.3E-3</v>
      </c>
      <c r="M104" s="82">
        <f t="shared" si="25"/>
        <v>4.3E-3</v>
      </c>
      <c r="N104" s="81">
        <v>1.5100000000000001E-3</v>
      </c>
      <c r="V104" s="82"/>
      <c r="W104" s="82"/>
    </row>
    <row r="105" spans="2:23" x14ac:dyDescent="0.25">
      <c r="B105" s="353"/>
      <c r="G105" s="82"/>
      <c r="H105" s="82"/>
      <c r="I105" s="82"/>
      <c r="J105" s="82"/>
      <c r="K105" s="82"/>
      <c r="L105" s="82"/>
      <c r="M105" s="82"/>
      <c r="N105" s="97"/>
      <c r="V105" s="82"/>
      <c r="W105" s="82"/>
    </row>
    <row r="106" spans="2:23" x14ac:dyDescent="0.25">
      <c r="B106" s="353" t="s">
        <v>1817</v>
      </c>
      <c r="G106" s="54">
        <f>G101*G103/G104</f>
        <v>41.748837209302323</v>
      </c>
      <c r="H106" s="54">
        <f t="shared" ref="H106:M106" si="26">H101*H103/H104</f>
        <v>41.748837209302323</v>
      </c>
      <c r="I106" s="54">
        <f t="shared" si="26"/>
        <v>41.748837209302323</v>
      </c>
      <c r="J106" s="54">
        <f t="shared" si="26"/>
        <v>41.748837209302323</v>
      </c>
      <c r="K106" s="54">
        <f t="shared" si="26"/>
        <v>41.748837209302323</v>
      </c>
      <c r="L106" s="54">
        <f t="shared" si="26"/>
        <v>41.748837209302323</v>
      </c>
      <c r="M106" s="54">
        <f t="shared" si="26"/>
        <v>41.748837209302323</v>
      </c>
      <c r="N106" s="97"/>
      <c r="V106" s="82"/>
      <c r="W106" s="82"/>
    </row>
    <row r="107" spans="2:23" ht="13" x14ac:dyDescent="0.3">
      <c r="B107" s="353" t="s">
        <v>1818</v>
      </c>
      <c r="F107" s="74"/>
      <c r="G107" s="3">
        <f ca="1">2*G125/G128*G106*G129</f>
        <v>20.686460283247442</v>
      </c>
      <c r="H107" s="3">
        <f t="shared" ref="H107:M107" ca="1" si="27">2*H125/H128*H106*H129</f>
        <v>20.686460283247442</v>
      </c>
      <c r="I107" s="3">
        <f t="shared" ca="1" si="27"/>
        <v>20.634161940174668</v>
      </c>
      <c r="J107" s="3">
        <f t="shared" ca="1" si="27"/>
        <v>20.441907873941044</v>
      </c>
      <c r="K107" s="3">
        <f t="shared" ca="1" si="27"/>
        <v>20.325846147144404</v>
      </c>
      <c r="L107" s="3">
        <f t="shared" ca="1" si="27"/>
        <v>19.852434126399707</v>
      </c>
      <c r="M107" s="3">
        <f t="shared" ca="1" si="27"/>
        <v>18.605098189504776</v>
      </c>
      <c r="N107" s="737"/>
      <c r="V107" s="56"/>
      <c r="W107" s="56"/>
    </row>
    <row r="108" spans="2:23" x14ac:dyDescent="0.25">
      <c r="B108" s="353" t="s">
        <v>1819</v>
      </c>
      <c r="F108" s="65"/>
      <c r="G108" s="8">
        <f t="shared" ref="G108:M108" ca="1" si="28">(5.385^3.592+(2.255*G107^(1/3))^3.592)^(1/3.592)</f>
        <v>7.063191773573096</v>
      </c>
      <c r="H108" s="8">
        <f t="shared" ca="1" si="28"/>
        <v>7.063191773573096</v>
      </c>
      <c r="I108" s="8">
        <f t="shared" ca="1" si="28"/>
        <v>7.0594843324981662</v>
      </c>
      <c r="J108" s="8">
        <f t="shared" ca="1" si="28"/>
        <v>7.0458278911691679</v>
      </c>
      <c r="K108" s="8">
        <f t="shared" ca="1" si="28"/>
        <v>7.0375626310315313</v>
      </c>
      <c r="L108" s="8">
        <f t="shared" ca="1" si="28"/>
        <v>7.0036837487196335</v>
      </c>
      <c r="M108" s="8">
        <f t="shared" ca="1" si="28"/>
        <v>6.9131269477845381</v>
      </c>
      <c r="V108" s="44"/>
      <c r="W108" s="44"/>
    </row>
    <row r="109" spans="2:23" x14ac:dyDescent="0.25">
      <c r="B109" s="353" t="s">
        <v>1820</v>
      </c>
      <c r="F109" s="39"/>
      <c r="G109" s="72">
        <f t="shared" ref="G109:M109" ca="1" si="29">G108*G104/G125</f>
        <v>3.1112352320824196E-2</v>
      </c>
      <c r="H109" s="72">
        <f t="shared" ca="1" si="29"/>
        <v>3.1112352320824196E-2</v>
      </c>
      <c r="I109" s="72">
        <f t="shared" ca="1" si="29"/>
        <v>3.1091755871535811E-2</v>
      </c>
      <c r="J109" s="72">
        <f t="shared" ca="1" si="29"/>
        <v>3.102879384404239E-2</v>
      </c>
      <c r="K109" s="72">
        <f t="shared" ca="1" si="29"/>
        <v>3.0980618357226878E-2</v>
      </c>
      <c r="L109" s="72">
        <f t="shared" ca="1" si="29"/>
        <v>3.0817847347298821E-2</v>
      </c>
      <c r="M109" s="72">
        <f t="shared" ca="1" si="29"/>
        <v>3.0372386077834476E-2</v>
      </c>
      <c r="V109" s="83"/>
      <c r="W109" s="83"/>
    </row>
    <row r="110" spans="2:23" x14ac:dyDescent="0.25">
      <c r="B110" s="353" t="s">
        <v>1821</v>
      </c>
      <c r="G110" s="2">
        <f ca="1">2*'Battery Design'!G29*'Battery Design'!G298/10*'Battery Design'!G348/10</f>
        <v>32707.785445588663</v>
      </c>
      <c r="H110" s="2">
        <f ca="1">2*'Battery Design'!H29*'Battery Design'!H298/10*'Battery Design'!H348/10</f>
        <v>32707.785445588663</v>
      </c>
      <c r="I110" s="2">
        <f ca="1">2*'Battery Design'!I29*'Battery Design'!I298/10*'Battery Design'!I348/10</f>
        <v>32800.501995168364</v>
      </c>
      <c r="J110" s="2">
        <f ca="1">2*'Battery Design'!J29*'Battery Design'!J298/10*'Battery Design'!J348/10</f>
        <v>33119.990224298665</v>
      </c>
      <c r="K110" s="2">
        <f ca="1">2*'Battery Design'!K29*'Battery Design'!K298/10*'Battery Design'!K348/10</f>
        <v>33335.458402001466</v>
      </c>
      <c r="L110" s="2">
        <f ca="1">2*'Battery Design'!L29*'Battery Design'!L298/10*'Battery Design'!L348/10</f>
        <v>34171.541740522429</v>
      </c>
      <c r="M110" s="2">
        <f ca="1">2*'Battery Design'!M29*'Battery Design'!M298/10*'Battery Design'!M348/10</f>
        <v>36598.655116004506</v>
      </c>
      <c r="V110" s="56"/>
      <c r="W110" s="56"/>
    </row>
    <row r="111" spans="2:23" x14ac:dyDescent="0.25">
      <c r="B111" s="353" t="s">
        <v>1822</v>
      </c>
      <c r="G111" s="8">
        <f t="shared" ref="G111:M111" ca="1" si="30">G40/G109/G110</f>
        <v>0.41443195506026792</v>
      </c>
      <c r="H111" s="8">
        <f t="shared" ca="1" si="30"/>
        <v>0.41443195506026792</v>
      </c>
      <c r="I111" s="8">
        <f t="shared" ca="1" si="30"/>
        <v>0.37405217618065123</v>
      </c>
      <c r="J111" s="8">
        <f t="shared" ca="1" si="30"/>
        <v>0.32298446890819943</v>
      </c>
      <c r="K111" s="8">
        <f t="shared" ca="1" si="30"/>
        <v>0.26596154532817945</v>
      </c>
      <c r="L111" s="8">
        <f t="shared" ca="1" si="30"/>
        <v>0.19573410965001398</v>
      </c>
      <c r="M111" s="8">
        <f t="shared" ca="1" si="30"/>
        <v>0.10411633176455828</v>
      </c>
      <c r="V111" s="44"/>
      <c r="W111" s="44"/>
    </row>
    <row r="112" spans="2:23" x14ac:dyDescent="0.25">
      <c r="B112" s="353"/>
      <c r="G112" s="8"/>
      <c r="H112" s="8"/>
      <c r="I112" s="8"/>
      <c r="J112" s="8"/>
      <c r="K112" s="8"/>
      <c r="L112" s="8"/>
      <c r="M112" s="8"/>
      <c r="V112" s="44"/>
      <c r="W112" s="44"/>
    </row>
    <row r="113" spans="2:23" ht="14" x14ac:dyDescent="0.3">
      <c r="B113" s="665" t="s">
        <v>1823</v>
      </c>
      <c r="G113" s="8"/>
      <c r="H113" s="8"/>
      <c r="I113" s="8"/>
      <c r="J113" s="8"/>
      <c r="K113" s="8"/>
      <c r="L113" s="8"/>
      <c r="M113" s="8"/>
      <c r="V113" s="44"/>
      <c r="W113" s="44"/>
    </row>
    <row r="114" spans="2:23" x14ac:dyDescent="0.25">
      <c r="B114" s="353" t="s">
        <v>1824</v>
      </c>
      <c r="C114" s="353"/>
      <c r="D114" s="353"/>
      <c r="E114" s="353"/>
      <c r="G114" s="3">
        <f t="shared" ref="G114:M114" ca="1" si="31">G97+G111</f>
        <v>0.57190187853044594</v>
      </c>
      <c r="H114" s="3">
        <f t="shared" ca="1" si="31"/>
        <v>0.57190187853044594</v>
      </c>
      <c r="I114" s="3">
        <f t="shared" ca="1" si="31"/>
        <v>0.51044989305475608</v>
      </c>
      <c r="J114" s="3">
        <f t="shared" ca="1" si="31"/>
        <v>0.43440493583296874</v>
      </c>
      <c r="K114" s="3">
        <f t="shared" ca="1" si="31"/>
        <v>0.35102850963651266</v>
      </c>
      <c r="L114" s="3">
        <f t="shared" ca="1" si="31"/>
        <v>0.25190457000388727</v>
      </c>
      <c r="M114" s="3">
        <f t="shared" ca="1" si="31"/>
        <v>0.1287156865112512</v>
      </c>
      <c r="V114" s="63"/>
      <c r="W114" s="63"/>
    </row>
    <row r="115" spans="2:23" x14ac:dyDescent="0.25">
      <c r="B115" s="353" t="s">
        <v>1825</v>
      </c>
      <c r="G115" s="3">
        <f t="shared" ref="G115:M115" ca="1" si="32">MIN(G97+G111+G11+G12,G42)</f>
        <v>20.571901878530447</v>
      </c>
      <c r="H115" s="3">
        <f t="shared" ca="1" si="32"/>
        <v>20.571901878530447</v>
      </c>
      <c r="I115" s="3">
        <f t="shared" ca="1" si="32"/>
        <v>20.510449893054755</v>
      </c>
      <c r="J115" s="3">
        <f t="shared" ca="1" si="32"/>
        <v>20.434404935832969</v>
      </c>
      <c r="K115" s="3">
        <f t="shared" ca="1" si="32"/>
        <v>20.351028509636514</v>
      </c>
      <c r="L115" s="3">
        <f t="shared" ca="1" si="32"/>
        <v>20.251904570003887</v>
      </c>
      <c r="M115" s="3">
        <f t="shared" ca="1" si="32"/>
        <v>20.128715686511249</v>
      </c>
      <c r="V115" s="54"/>
      <c r="W115" s="54"/>
    </row>
    <row r="116" spans="2:23" ht="13" thickBot="1" x14ac:dyDescent="0.3">
      <c r="G116" s="39"/>
      <c r="H116" s="39"/>
      <c r="I116" s="39"/>
      <c r="J116" s="39"/>
      <c r="K116" s="39"/>
      <c r="L116" s="39"/>
      <c r="M116" s="39"/>
    </row>
    <row r="117" spans="2:23" ht="20.5" thickBot="1" x14ac:dyDescent="0.45">
      <c r="B117" s="1453" t="s">
        <v>1826</v>
      </c>
      <c r="C117" s="1454"/>
      <c r="D117" s="1454"/>
      <c r="E117" s="1454"/>
      <c r="F117" s="1454"/>
      <c r="G117" s="1454"/>
      <c r="H117" s="1454"/>
      <c r="I117" s="1454"/>
      <c r="J117" s="1454"/>
      <c r="K117" s="1454"/>
      <c r="L117" s="1454"/>
      <c r="M117" s="1455"/>
      <c r="P117" s="28"/>
    </row>
    <row r="118" spans="2:23" x14ac:dyDescent="0.25">
      <c r="B118" s="122"/>
      <c r="C118" s="122"/>
      <c r="D118" s="122"/>
      <c r="E118" s="122"/>
      <c r="F118" s="122"/>
      <c r="N118" s="122"/>
    </row>
    <row r="119" spans="2:23" x14ac:dyDescent="0.25">
      <c r="B119" s="353" t="s">
        <v>1827</v>
      </c>
      <c r="F119" s="122"/>
      <c r="G119" s="8">
        <f ca="1">G128*('Battery Design'!G407-2*'Battery Design'!G412)/10*G123/1000</f>
        <v>24.708123214991033</v>
      </c>
      <c r="H119" s="8">
        <f ca="1">H128*('Battery Design'!H407-2*'Battery Design'!H412)/10*Thermal!H123/1000</f>
        <v>24.708123214991033</v>
      </c>
      <c r="I119" s="8">
        <f ca="1">I128*('Battery Design'!I407-2*'Battery Design'!I412)/10*Thermal!I123/1000</f>
        <v>24.721006855921381</v>
      </c>
      <c r="J119" s="8">
        <f ca="1">J128*('Battery Design'!J407-2*'Battery Design'!J412)/10*Thermal!J123/1000</f>
        <v>24.9525934680238</v>
      </c>
      <c r="K119" s="8">
        <f ca="1">K128*('Battery Design'!K407-2*'Battery Design'!K412)/10*Thermal!K123/1000</f>
        <v>24.949128386759639</v>
      </c>
      <c r="L119" s="8">
        <f ca="1">L128*('Battery Design'!L407-2*'Battery Design'!L412)/10*Thermal!L123/1000</f>
        <v>25.441028742229019</v>
      </c>
      <c r="M119" s="8">
        <f ca="1">M128*('Battery Design'!M407-2*'Battery Design'!M412)/10*Thermal!M123/1000</f>
        <v>26.668756836053742</v>
      </c>
      <c r="V119" s="44"/>
      <c r="W119" s="44"/>
    </row>
    <row r="120" spans="2:23" x14ac:dyDescent="0.25">
      <c r="B120" s="353" t="s">
        <v>1828</v>
      </c>
      <c r="G120" s="8">
        <f t="shared" ref="G120:M120" ca="1" si="33">G119*G102</f>
        <v>26.437691840040408</v>
      </c>
      <c r="H120" s="8">
        <f t="shared" ca="1" si="33"/>
        <v>26.437691840040408</v>
      </c>
      <c r="I120" s="8">
        <f t="shared" ca="1" si="33"/>
        <v>26.451477335835879</v>
      </c>
      <c r="J120" s="8">
        <f t="shared" ca="1" si="33"/>
        <v>26.699275010785467</v>
      </c>
      <c r="K120" s="8">
        <f t="shared" ca="1" si="33"/>
        <v>26.695567373832816</v>
      </c>
      <c r="L120" s="8">
        <f t="shared" ca="1" si="33"/>
        <v>27.22190075418505</v>
      </c>
      <c r="M120" s="8">
        <f t="shared" ca="1" si="33"/>
        <v>28.535569814577507</v>
      </c>
      <c r="V120" s="44"/>
      <c r="W120" s="44"/>
    </row>
    <row r="121" spans="2:23" ht="13" x14ac:dyDescent="0.3">
      <c r="B121" s="353" t="s">
        <v>1829</v>
      </c>
      <c r="F121" s="39"/>
      <c r="G121" s="2">
        <f t="shared" ref="G121:M121" ca="1" si="34">G62/G101/G102/G12</f>
        <v>229.06358805204323</v>
      </c>
      <c r="H121" s="2">
        <f t="shared" ca="1" si="34"/>
        <v>229.06358805204323</v>
      </c>
      <c r="I121" s="2">
        <f t="shared" ca="1" si="34"/>
        <v>229.06358805204323</v>
      </c>
      <c r="J121" s="2">
        <f t="shared" ca="1" si="34"/>
        <v>229.06358805204323</v>
      </c>
      <c r="K121" s="2">
        <f t="shared" ca="1" si="34"/>
        <v>229.06358805204323</v>
      </c>
      <c r="L121" s="2">
        <f t="shared" ca="1" si="34"/>
        <v>229.06358805204323</v>
      </c>
      <c r="M121" s="2">
        <f t="shared" ca="1" si="34"/>
        <v>229.06358805204323</v>
      </c>
      <c r="V121" s="56"/>
      <c r="W121" s="56"/>
    </row>
    <row r="122" spans="2:23" x14ac:dyDescent="0.25">
      <c r="B122" s="353" t="s">
        <v>1830</v>
      </c>
      <c r="F122" s="65"/>
      <c r="G122" s="8">
        <f t="shared" ref="G122:M122" ca="1" si="35">G121*G102/G126</f>
        <v>5.9768221243313002</v>
      </c>
      <c r="H122" s="8">
        <f t="shared" ca="1" si="35"/>
        <v>5.9768221243313002</v>
      </c>
      <c r="I122" s="8">
        <f t="shared" ca="1" si="35"/>
        <v>5.9423800953861434</v>
      </c>
      <c r="J122" s="8">
        <f t="shared" ca="1" si="35"/>
        <v>5.919602346394762</v>
      </c>
      <c r="K122" s="8">
        <f t="shared" ca="1" si="35"/>
        <v>5.8242206483291019</v>
      </c>
      <c r="L122" s="8">
        <f t="shared" ca="1" si="35"/>
        <v>5.7132922198879585</v>
      </c>
      <c r="M122" s="8">
        <f t="shared" ca="1" si="35"/>
        <v>5.3258528689391804</v>
      </c>
      <c r="V122" s="44"/>
      <c r="W122" s="44"/>
    </row>
    <row r="123" spans="2:23" x14ac:dyDescent="0.25">
      <c r="B123" s="353" t="s">
        <v>1831</v>
      </c>
      <c r="F123" s="189"/>
      <c r="G123" s="44">
        <f>'Battery Design'!G390/10</f>
        <v>0.5</v>
      </c>
      <c r="H123" s="44">
        <f>'Battery Design'!H390/10</f>
        <v>0.5</v>
      </c>
      <c r="I123" s="44">
        <f>'Battery Design'!I390/10</f>
        <v>0.5</v>
      </c>
      <c r="J123" s="44">
        <f>'Battery Design'!J390/10</f>
        <v>0.5</v>
      </c>
      <c r="K123" s="44">
        <f>'Battery Design'!K390/10</f>
        <v>0.5</v>
      </c>
      <c r="L123" s="44">
        <f>'Battery Design'!L390/10</f>
        <v>0.5</v>
      </c>
      <c r="M123" s="44">
        <f>'Battery Design'!M390/10</f>
        <v>0.5</v>
      </c>
      <c r="N123" s="30"/>
      <c r="V123" s="44"/>
      <c r="W123" s="44"/>
    </row>
    <row r="124" spans="2:23" x14ac:dyDescent="0.25">
      <c r="B124" s="353" t="s">
        <v>1832</v>
      </c>
      <c r="F124" s="189"/>
      <c r="G124" s="44">
        <f ca="1">'Battery Design'!G389/10</f>
        <v>20.504043295675991</v>
      </c>
      <c r="H124" s="44">
        <f ca="1">'Battery Design'!H389/10</f>
        <v>20.504043295675991</v>
      </c>
      <c r="I124" s="44">
        <f ca="1">'Battery Design'!I389/10</f>
        <v>20.622884709612258</v>
      </c>
      <c r="J124" s="44">
        <f ca="1">'Battery Design'!J389/10</f>
        <v>20.702238501287106</v>
      </c>
      <c r="K124" s="44">
        <f ca="1">'Battery Design'!K389/10</f>
        <v>21.041273503777877</v>
      </c>
      <c r="L124" s="44">
        <f ca="1">'Battery Design'!L389/10</f>
        <v>21.449807727539341</v>
      </c>
      <c r="M124" s="44">
        <f ca="1">'Battery Design'!M389/10</f>
        <v>23.010215006606597</v>
      </c>
      <c r="N124" s="30"/>
      <c r="V124" s="44"/>
      <c r="W124" s="44"/>
    </row>
    <row r="125" spans="2:23" ht="15.5" x14ac:dyDescent="0.4">
      <c r="B125" s="353" t="s">
        <v>1833</v>
      </c>
      <c r="F125" s="65"/>
      <c r="G125" s="8">
        <f ca="1">2*G123*(G124)/(G124+G123)</f>
        <v>0.97619505954346741</v>
      </c>
      <c r="H125" s="8">
        <f t="shared" ref="H125:M125" ca="1" si="36">2*H123*(H124)/(H124+H123)</f>
        <v>0.97619505954346741</v>
      </c>
      <c r="I125" s="8">
        <f t="shared" ca="1" si="36"/>
        <v>0.97632899071912904</v>
      </c>
      <c r="J125" s="8">
        <f t="shared" ca="1" si="36"/>
        <v>0.97641758439941861</v>
      </c>
      <c r="K125" s="8">
        <f t="shared" ca="1" si="36"/>
        <v>0.97678874464351839</v>
      </c>
      <c r="L125" s="8">
        <f t="shared" ca="1" si="36"/>
        <v>0.97722075718355039</v>
      </c>
      <c r="M125" s="8">
        <f t="shared" ca="1" si="36"/>
        <v>0.97873264877162991</v>
      </c>
      <c r="V125" s="44"/>
      <c r="W125" s="566" t="s">
        <v>1834</v>
      </c>
    </row>
    <row r="126" spans="2:23" x14ac:dyDescent="0.25">
      <c r="B126" s="353" t="s">
        <v>1835</v>
      </c>
      <c r="F126" s="39"/>
      <c r="G126" s="3">
        <f ca="1">IF(Dashboard!$D6=0,25,G124*'Battery Design'!G28*G123)</f>
        <v>41.008086591351983</v>
      </c>
      <c r="H126" s="3">
        <f ca="1">IF(Dashboard!$D6=0,25,H124*'Battery Design'!H28*H123)</f>
        <v>41.008086591351983</v>
      </c>
      <c r="I126" s="3">
        <f ca="1">IF(Dashboard!$D6=0,25,I124*'Battery Design'!I28*I123)</f>
        <v>41.245769419224516</v>
      </c>
      <c r="J126" s="3">
        <f ca="1">IF(Dashboard!$D6=0,25,J124*'Battery Design'!J28*J123)</f>
        <v>41.404477002574211</v>
      </c>
      <c r="K126" s="3">
        <f ca="1">IF(Dashboard!$D6=0,25,K124*'Battery Design'!K28*K123)</f>
        <v>42.082547007555753</v>
      </c>
      <c r="L126" s="3">
        <f ca="1">IF(Dashboard!$D6=0,25,L124*'Battery Design'!L28*L123)</f>
        <v>42.899615455078681</v>
      </c>
      <c r="M126" s="3">
        <f ca="1">IF(Dashboard!$D6=0,25,M124*'Battery Design'!M28*M123)</f>
        <v>46.020430013213193</v>
      </c>
      <c r="V126" s="54"/>
      <c r="W126" s="54"/>
    </row>
    <row r="127" spans="2:23" x14ac:dyDescent="0.25">
      <c r="B127" s="353" t="s">
        <v>1836</v>
      </c>
      <c r="F127" s="65"/>
      <c r="G127" s="3">
        <f t="shared" ref="G127:M127" ca="1" si="37">G121/G126</f>
        <v>5.5858150694685049</v>
      </c>
      <c r="H127" s="3">
        <f t="shared" ca="1" si="37"/>
        <v>5.5858150694685049</v>
      </c>
      <c r="I127" s="3">
        <f t="shared" ca="1" si="37"/>
        <v>5.5536262573702277</v>
      </c>
      <c r="J127" s="3">
        <f t="shared" ca="1" si="37"/>
        <v>5.5323386414904316</v>
      </c>
      <c r="K127" s="3">
        <f t="shared" ca="1" si="37"/>
        <v>5.4431968675972913</v>
      </c>
      <c r="L127" s="3">
        <f t="shared" ca="1" si="37"/>
        <v>5.339525439147625</v>
      </c>
      <c r="M127" s="3">
        <f t="shared" ca="1" si="37"/>
        <v>4.9774325877936265</v>
      </c>
      <c r="V127" s="54"/>
      <c r="W127" s="54"/>
    </row>
    <row r="128" spans="2:23" x14ac:dyDescent="0.25">
      <c r="B128" s="353" t="s">
        <v>1837</v>
      </c>
      <c r="F128" s="37"/>
      <c r="G128" s="2">
        <f ca="1">('Battery Design'!G27*'Battery Design'!G348*2+'Battery Design'!G349)/10</f>
        <v>417.99303794837249</v>
      </c>
      <c r="H128" s="2">
        <f ca="1">('Battery Design'!H27*'Battery Design'!H348*2+'Battery Design'!H349)/10</f>
        <v>417.99303794837249</v>
      </c>
      <c r="I128" s="2">
        <f ca="1">('Battery Design'!I27*'Battery Design'!I348*2+'Battery Design'!I349)/10</f>
        <v>416.75196231311077</v>
      </c>
      <c r="J128" s="2">
        <f ca="1">('Battery Design'!J27*'Battery Design'!J348*2+'Battery Design'!J349)/10</f>
        <v>419.13505114932525</v>
      </c>
      <c r="K128" s="2">
        <f ca="1">('Battery Design'!K27*'Battery Design'!K348*2+'Battery Design'!K349)/10</f>
        <v>415.05167347375937</v>
      </c>
      <c r="L128" s="2">
        <f ca="1">('Battery Design'!L27*'Battery Design'!L348*2+'Battery Design'!L349)/10</f>
        <v>417.22443067129643</v>
      </c>
      <c r="M128" s="2">
        <f ca="1">('Battery Design'!M27*'Battery Design'!M348*2+'Battery Design'!M349)/10</f>
        <v>416.29101749218114</v>
      </c>
      <c r="V128" s="56"/>
      <c r="W128" s="56"/>
    </row>
    <row r="129" spans="2:23" x14ac:dyDescent="0.25">
      <c r="B129" s="353" t="s">
        <v>1838</v>
      </c>
      <c r="F129" s="65"/>
      <c r="G129" s="2">
        <f t="shared" ref="G129:M129" ca="1" si="38">G125*G127*G102/G103</f>
        <v>106.08262235531467</v>
      </c>
      <c r="H129" s="2">
        <f t="shared" ca="1" si="38"/>
        <v>106.08262235531467</v>
      </c>
      <c r="I129" s="2">
        <f t="shared" ca="1" si="38"/>
        <v>105.48578110905083</v>
      </c>
      <c r="J129" s="2">
        <f t="shared" ca="1" si="38"/>
        <v>105.09097861221645</v>
      </c>
      <c r="K129" s="2">
        <f t="shared" ca="1" si="38"/>
        <v>103.43696682924076</v>
      </c>
      <c r="L129" s="2">
        <f t="shared" ca="1" si="38"/>
        <v>101.51177725690545</v>
      </c>
      <c r="M129" s="2">
        <f t="shared" ca="1" si="38"/>
        <v>94.774292461542331</v>
      </c>
      <c r="V129" s="56"/>
      <c r="W129" s="56"/>
    </row>
    <row r="130" spans="2:23" ht="13" x14ac:dyDescent="0.3">
      <c r="B130" s="353" t="s">
        <v>1839</v>
      </c>
      <c r="F130" s="37"/>
      <c r="G130" s="69">
        <f t="shared" ref="G130:M130" ca="1" si="39">48*G103*G122*G128/(G102*G125^2)/1000000</f>
        <v>6.4682428586713648E-3</v>
      </c>
      <c r="H130" s="69">
        <f t="shared" ca="1" si="39"/>
        <v>6.4682428586713648E-3</v>
      </c>
      <c r="I130" s="69">
        <f t="shared" ca="1" si="39"/>
        <v>6.4101155669600536E-3</v>
      </c>
      <c r="J130" s="69">
        <f t="shared" ca="1" si="39"/>
        <v>6.4208936979392103E-3</v>
      </c>
      <c r="K130" s="69">
        <f t="shared" ca="1" si="39"/>
        <v>6.2511345212069389E-3</v>
      </c>
      <c r="L130" s="69">
        <f t="shared" ca="1" si="39"/>
        <v>6.1587269662381344E-3</v>
      </c>
      <c r="M130" s="69">
        <f t="shared" ca="1" si="39"/>
        <v>5.710553465778429E-3</v>
      </c>
      <c r="V130" s="63"/>
      <c r="W130" s="63"/>
    </row>
    <row r="131" spans="2:23" ht="13" x14ac:dyDescent="0.3">
      <c r="B131" s="353" t="s">
        <v>1840</v>
      </c>
      <c r="F131" s="73"/>
      <c r="G131" s="126">
        <v>200</v>
      </c>
      <c r="H131" s="126">
        <v>200</v>
      </c>
      <c r="I131" s="126">
        <v>200</v>
      </c>
      <c r="J131" s="126">
        <v>200</v>
      </c>
      <c r="K131" s="126">
        <v>200</v>
      </c>
      <c r="L131" s="126">
        <v>200</v>
      </c>
      <c r="M131" s="126">
        <v>200</v>
      </c>
      <c r="N131" s="737"/>
      <c r="V131" s="63"/>
      <c r="W131" s="63"/>
    </row>
    <row r="132" spans="2:23" x14ac:dyDescent="0.25">
      <c r="B132" s="353" t="s">
        <v>1841</v>
      </c>
      <c r="G132" s="126">
        <v>50</v>
      </c>
      <c r="H132" s="126">
        <v>50</v>
      </c>
      <c r="I132" s="126">
        <v>50</v>
      </c>
      <c r="J132" s="126">
        <v>50</v>
      </c>
      <c r="K132" s="126">
        <v>50</v>
      </c>
      <c r="L132" s="126">
        <v>50</v>
      </c>
      <c r="M132" s="126">
        <v>50</v>
      </c>
      <c r="V132" s="56"/>
      <c r="W132" s="56"/>
    </row>
    <row r="133" spans="2:23" x14ac:dyDescent="0.25">
      <c r="B133" s="353" t="s">
        <v>1842</v>
      </c>
      <c r="G133" s="63">
        <f t="shared" ref="G133:M133" ca="1" si="40">G121*G130*(1+G131/100)/(G132/100)/10</f>
        <v>0.88898335055956079</v>
      </c>
      <c r="H133" s="63">
        <f t="shared" ca="1" si="40"/>
        <v>0.88898335055956079</v>
      </c>
      <c r="I133" s="63">
        <f t="shared" ca="1" si="40"/>
        <v>0.88099444295767637</v>
      </c>
      <c r="J133" s="63">
        <f t="shared" ca="1" si="40"/>
        <v>0.8824757693704246</v>
      </c>
      <c r="K133" s="63">
        <f t="shared" ca="1" si="40"/>
        <v>0.85914438169419149</v>
      </c>
      <c r="L133" s="63">
        <f t="shared" ca="1" si="40"/>
        <v>0.84644405803162925</v>
      </c>
      <c r="M133" s="63">
        <f t="shared" ca="1" si="40"/>
        <v>0.78484791998054271</v>
      </c>
      <c r="V133" s="56"/>
      <c r="W133" s="56"/>
    </row>
    <row r="134" spans="2:23" x14ac:dyDescent="0.25">
      <c r="B134" s="353" t="s">
        <v>1843</v>
      </c>
      <c r="G134" s="8">
        <f t="shared" ref="G134:M134" ca="1" si="41">G62/INDEX($F$169:$F$172, MATCH(G141, $B$169:$B$172, 0))/(G132/100)</f>
        <v>3200</v>
      </c>
      <c r="H134" s="8">
        <f t="shared" ca="1" si="41"/>
        <v>3200</v>
      </c>
      <c r="I134" s="8">
        <f t="shared" ca="1" si="41"/>
        <v>3200</v>
      </c>
      <c r="J134" s="8">
        <f t="shared" ca="1" si="41"/>
        <v>3200</v>
      </c>
      <c r="K134" s="8">
        <f t="shared" ca="1" si="41"/>
        <v>3200</v>
      </c>
      <c r="L134" s="8">
        <f t="shared" ca="1" si="41"/>
        <v>3200</v>
      </c>
      <c r="M134" s="8">
        <f t="shared" ca="1" si="41"/>
        <v>3200</v>
      </c>
      <c r="V134" s="56"/>
      <c r="W134" s="56"/>
    </row>
    <row r="135" spans="2:23" x14ac:dyDescent="0.25">
      <c r="B135" s="353" t="s">
        <v>1844</v>
      </c>
      <c r="F135" s="55"/>
      <c r="G135" s="8">
        <f ca="1">G134+G133</f>
        <v>3200.8889833505596</v>
      </c>
      <c r="H135" s="8">
        <f t="shared" ref="H135:M135" ca="1" si="42">H134+H133</f>
        <v>3200.8889833505596</v>
      </c>
      <c r="I135" s="8">
        <f t="shared" ca="1" si="42"/>
        <v>3200.8809944429577</v>
      </c>
      <c r="J135" s="8">
        <f t="shared" ca="1" si="42"/>
        <v>3200.8824757693706</v>
      </c>
      <c r="K135" s="8">
        <f t="shared" ca="1" si="42"/>
        <v>3200.859144381694</v>
      </c>
      <c r="L135" s="8">
        <f t="shared" ca="1" si="42"/>
        <v>3200.8464440580315</v>
      </c>
      <c r="M135" s="8">
        <f t="shared" ca="1" si="42"/>
        <v>3200.7848479199806</v>
      </c>
      <c r="V135" s="56"/>
      <c r="W135" s="56"/>
    </row>
    <row r="136" spans="2:23" ht="13" thickBot="1" x14ac:dyDescent="0.3">
      <c r="B136" s="353"/>
      <c r="F136" s="55"/>
      <c r="G136" s="2"/>
      <c r="H136" s="2"/>
      <c r="I136" s="2"/>
      <c r="J136" s="2"/>
      <c r="K136" s="2"/>
      <c r="L136" s="2"/>
      <c r="M136" s="2"/>
      <c r="V136" s="56"/>
      <c r="W136" s="56"/>
    </row>
    <row r="137" spans="2:23" ht="20.5" thickBot="1" x14ac:dyDescent="0.45">
      <c r="B137" s="1453" t="s">
        <v>1845</v>
      </c>
      <c r="C137" s="1454"/>
      <c r="D137" s="1454"/>
      <c r="E137" s="1454"/>
      <c r="F137" s="1454"/>
      <c r="G137" s="1454"/>
      <c r="H137" s="1454"/>
      <c r="I137" s="1454"/>
      <c r="J137" s="1454"/>
      <c r="K137" s="1454"/>
      <c r="L137" s="1454"/>
      <c r="M137" s="1455"/>
    </row>
    <row r="138" spans="2:23" x14ac:dyDescent="0.25">
      <c r="B138" s="353"/>
      <c r="G138" s="2"/>
      <c r="H138" s="2"/>
      <c r="I138" s="2"/>
      <c r="J138" s="2"/>
      <c r="K138" s="2"/>
      <c r="L138" s="2"/>
      <c r="M138" s="2"/>
    </row>
    <row r="139" spans="2:23" ht="15.5" x14ac:dyDescent="0.35">
      <c r="B139" s="6" t="s">
        <v>1846</v>
      </c>
      <c r="G139" s="2"/>
      <c r="H139" s="2"/>
      <c r="I139" s="2"/>
      <c r="J139" s="2"/>
      <c r="K139" s="2"/>
      <c r="L139" s="2"/>
      <c r="M139" s="2"/>
    </row>
    <row r="140" spans="2:23" x14ac:dyDescent="0.25">
      <c r="B140" s="353" t="s">
        <v>1778</v>
      </c>
      <c r="G140" s="2">
        <f t="shared" ref="G140:M140" ca="1" si="43">G62</f>
        <v>4000</v>
      </c>
      <c r="H140" s="2">
        <f t="shared" ca="1" si="43"/>
        <v>4000</v>
      </c>
      <c r="I140" s="2">
        <f t="shared" ca="1" si="43"/>
        <v>4000</v>
      </c>
      <c r="J140" s="2">
        <f t="shared" ca="1" si="43"/>
        <v>4000</v>
      </c>
      <c r="K140" s="2">
        <f t="shared" ca="1" si="43"/>
        <v>4000</v>
      </c>
      <c r="L140" s="2">
        <f t="shared" ca="1" si="43"/>
        <v>4000</v>
      </c>
      <c r="M140" s="2">
        <f t="shared" ca="1" si="43"/>
        <v>4000</v>
      </c>
    </row>
    <row r="141" spans="2:23" x14ac:dyDescent="0.25">
      <c r="B141" s="353" t="s">
        <v>1847</v>
      </c>
      <c r="G141" s="85" t="str">
        <f ca="1">INDEX($B$169:$B$172, MATCH( G140, $C$168:$C$172,1))</f>
        <v>Refrig 4</v>
      </c>
      <c r="H141" s="85" t="str">
        <f t="shared" ref="H141:M141" ca="1" si="44">INDEX($B$169:$B$172, MATCH( H140, $C$168:$C$172,1))</f>
        <v>Refrig 4</v>
      </c>
      <c r="I141" s="85" t="str">
        <f t="shared" ca="1" si="44"/>
        <v>Refrig 4</v>
      </c>
      <c r="J141" s="85" t="str">
        <f t="shared" ca="1" si="44"/>
        <v>Refrig 4</v>
      </c>
      <c r="K141" s="85" t="str">
        <f t="shared" ca="1" si="44"/>
        <v>Refrig 4</v>
      </c>
      <c r="L141" s="85" t="str">
        <f t="shared" ca="1" si="44"/>
        <v>Refrig 4</v>
      </c>
      <c r="M141" s="85" t="str">
        <f t="shared" ca="1" si="44"/>
        <v>Refrig 4</v>
      </c>
    </row>
    <row r="142" spans="2:23" x14ac:dyDescent="0.25">
      <c r="B142" s="353" t="s">
        <v>1848</v>
      </c>
      <c r="C142" s="353"/>
      <c r="D142" s="353"/>
      <c r="E142" s="353"/>
      <c r="F142" s="353"/>
      <c r="G142" s="12">
        <f ca="1">G135*'Battery Design'!G12</f>
        <v>3200.8889833505596</v>
      </c>
      <c r="H142" s="12">
        <f ca="1">H135*'Battery Design'!H12</f>
        <v>3200.8889833505596</v>
      </c>
      <c r="I142" s="12">
        <f ca="1">I135*'Battery Design'!I12</f>
        <v>3200.8809944429577</v>
      </c>
      <c r="J142" s="12">
        <f ca="1">J135*'Battery Design'!J12</f>
        <v>3200.8824757693706</v>
      </c>
      <c r="K142" s="12">
        <f ca="1">K135*'Battery Design'!K12</f>
        <v>3200.859144381694</v>
      </c>
      <c r="L142" s="12">
        <f ca="1">L135*'Battery Design'!L12</f>
        <v>3200.8464440580315</v>
      </c>
      <c r="M142" s="12">
        <f ca="1">M135*'Battery Design'!M12</f>
        <v>3200.7848479199806</v>
      </c>
      <c r="N142" s="62"/>
      <c r="O142" s="62"/>
      <c r="P142" s="62"/>
    </row>
    <row r="143" spans="2:23" ht="13" x14ac:dyDescent="0.3">
      <c r="B143" s="9" t="s">
        <v>1849</v>
      </c>
      <c r="C143" s="681"/>
      <c r="D143" s="681"/>
      <c r="E143" s="681"/>
      <c r="F143" s="681"/>
      <c r="G143" s="489">
        <f t="shared" ref="G143:M143" ca="1" si="45">MATCH(MAX(G115-G10, 0.01), $C$159:$C$163, 1)</f>
        <v>1</v>
      </c>
      <c r="H143" s="489">
        <f t="shared" ca="1" si="45"/>
        <v>1</v>
      </c>
      <c r="I143" s="489">
        <f t="shared" ca="1" si="45"/>
        <v>1</v>
      </c>
      <c r="J143" s="489">
        <f t="shared" ca="1" si="45"/>
        <v>1</v>
      </c>
      <c r="K143" s="489">
        <f t="shared" ca="1" si="45"/>
        <v>1</v>
      </c>
      <c r="L143" s="489">
        <f t="shared" ca="1" si="45"/>
        <v>1</v>
      </c>
      <c r="M143" s="489">
        <f t="shared" ca="1" si="45"/>
        <v>1</v>
      </c>
      <c r="P143" s="28"/>
    </row>
    <row r="144" spans="2:23" x14ac:dyDescent="0.25">
      <c r="B144" s="353" t="s">
        <v>1850</v>
      </c>
      <c r="C144" s="353"/>
      <c r="D144" s="353"/>
      <c r="E144" s="353"/>
      <c r="F144" s="353"/>
      <c r="G144" s="189" t="str" cm="1">
        <f t="array" aca="1" ref="G144" ca="1">INDEX($B$160:$B$163,G143)</f>
        <v>Excellent</v>
      </c>
      <c r="H144" s="189" t="str" cm="1">
        <f t="array" aca="1" ref="H144" ca="1">INDEX($B$160:$B$163,H143)</f>
        <v>Excellent</v>
      </c>
      <c r="I144" s="189" t="str" cm="1">
        <f t="array" aca="1" ref="I144" ca="1">INDEX($B$160:$B$163,I143)</f>
        <v>Excellent</v>
      </c>
      <c r="J144" s="189" t="str" cm="1">
        <f t="array" aca="1" ref="J144" ca="1">INDEX($B$160:$B$163,J143)</f>
        <v>Excellent</v>
      </c>
      <c r="K144" s="189" t="str" cm="1">
        <f t="array" aca="1" ref="K144" ca="1">INDEX($B$160:$B$163,K143)</f>
        <v>Excellent</v>
      </c>
      <c r="L144" s="189" t="str" cm="1">
        <f t="array" aca="1" ref="L144" ca="1">INDEX($B$160:$B$163,L143)</f>
        <v>Excellent</v>
      </c>
      <c r="M144" s="189" t="str" cm="1">
        <f t="array" aca="1" ref="M144" ca="1">INDEX($B$160:$B$163,M143)</f>
        <v>Excellent</v>
      </c>
      <c r="P144" s="353"/>
      <c r="Q144" s="8"/>
      <c r="R144" s="8"/>
      <c r="S144" s="8"/>
      <c r="T144" s="8"/>
      <c r="U144" s="8"/>
    </row>
    <row r="145" spans="2:23" ht="13" x14ac:dyDescent="0.3">
      <c r="B145" s="9" t="s">
        <v>1851</v>
      </c>
      <c r="C145" s="681"/>
      <c r="D145" s="681"/>
      <c r="E145" s="681"/>
      <c r="F145" s="681"/>
      <c r="G145" s="866">
        <f t="shared" ref="G145:M145" ca="1" si="46">MAX(G50-G10, 0)</f>
        <v>0.99197113446574292</v>
      </c>
      <c r="H145" s="866">
        <f t="shared" ca="1" si="46"/>
        <v>0.99197113446574292</v>
      </c>
      <c r="I145" s="866">
        <f t="shared" ca="1" si="46"/>
        <v>0.87891017782404646</v>
      </c>
      <c r="J145" s="866">
        <f t="shared" ca="1" si="46"/>
        <v>0.74498297115296097</v>
      </c>
      <c r="K145" s="866">
        <f t="shared" ca="1" si="46"/>
        <v>0.60060591922131579</v>
      </c>
      <c r="L145" s="866">
        <f t="shared" ca="1" si="46"/>
        <v>0.43572251530967065</v>
      </c>
      <c r="M145" s="866">
        <f t="shared" ca="1" si="46"/>
        <v>0.23271279095574471</v>
      </c>
      <c r="P145" s="28"/>
    </row>
    <row r="146" spans="2:23" ht="13" x14ac:dyDescent="0.3">
      <c r="B146" s="9" t="s">
        <v>1852</v>
      </c>
      <c r="C146" s="681"/>
      <c r="D146" s="681"/>
      <c r="E146" s="681"/>
      <c r="F146" s="681"/>
      <c r="G146" s="1341">
        <f t="shared" ref="G146:M146" ca="1" si="47">INDEX($G$169:$G$172, MATCH( G141, $B$169:$B$172,1))</f>
        <v>200</v>
      </c>
      <c r="H146" s="1341">
        <f t="shared" ca="1" si="47"/>
        <v>200</v>
      </c>
      <c r="I146" s="1341">
        <f t="shared" ca="1" si="47"/>
        <v>200</v>
      </c>
      <c r="J146" s="1341">
        <f t="shared" ca="1" si="47"/>
        <v>200</v>
      </c>
      <c r="K146" s="1341">
        <f t="shared" ca="1" si="47"/>
        <v>200</v>
      </c>
      <c r="L146" s="1341">
        <f t="shared" ca="1" si="47"/>
        <v>200</v>
      </c>
      <c r="M146" s="1341">
        <f t="shared" ca="1" si="47"/>
        <v>200</v>
      </c>
      <c r="P146" s="28"/>
    </row>
    <row r="147" spans="2:23" ht="11.25" customHeight="1" x14ac:dyDescent="0.4">
      <c r="B147" s="729"/>
      <c r="C147" s="729"/>
      <c r="D147" s="729"/>
      <c r="E147" s="729"/>
      <c r="F147" s="729"/>
      <c r="G147" s="729"/>
      <c r="H147" s="729"/>
      <c r="I147" s="729"/>
      <c r="J147" s="729"/>
      <c r="K147" s="729"/>
      <c r="L147" s="729"/>
      <c r="M147" s="729"/>
      <c r="P147" s="28"/>
    </row>
    <row r="148" spans="2:23" ht="15.5" x14ac:dyDescent="0.35">
      <c r="B148" s="6" t="s">
        <v>1853</v>
      </c>
    </row>
    <row r="149" spans="2:23" ht="13" x14ac:dyDescent="0.3">
      <c r="B149" s="353" t="s">
        <v>1854</v>
      </c>
      <c r="G149" s="95">
        <f>-15</f>
        <v>-15</v>
      </c>
      <c r="H149" s="95">
        <f t="shared" ref="H149:L149" si="48">-15</f>
        <v>-15</v>
      </c>
      <c r="I149" s="95">
        <f t="shared" si="48"/>
        <v>-15</v>
      </c>
      <c r="J149" s="95">
        <f t="shared" si="48"/>
        <v>-15</v>
      </c>
      <c r="K149" s="95">
        <f t="shared" si="48"/>
        <v>-15</v>
      </c>
      <c r="L149" s="95">
        <f t="shared" si="48"/>
        <v>-15</v>
      </c>
      <c r="M149" s="95">
        <v>-15</v>
      </c>
    </row>
    <row r="150" spans="2:23" ht="13" x14ac:dyDescent="0.3">
      <c r="B150" s="353" t="s">
        <v>1855</v>
      </c>
      <c r="G150" s="95">
        <f>5</f>
        <v>5</v>
      </c>
      <c r="H150" s="95">
        <f>5</f>
        <v>5</v>
      </c>
      <c r="I150" s="95">
        <f>5</f>
        <v>5</v>
      </c>
      <c r="J150" s="95">
        <f>5</f>
        <v>5</v>
      </c>
      <c r="K150" s="95">
        <f>5</f>
        <v>5</v>
      </c>
      <c r="L150" s="95">
        <f>5</f>
        <v>5</v>
      </c>
      <c r="M150" s="95">
        <f>5</f>
        <v>5</v>
      </c>
    </row>
    <row r="151" spans="2:23" x14ac:dyDescent="0.25">
      <c r="B151" s="353" t="s">
        <v>1856</v>
      </c>
      <c r="G151" s="2">
        <f t="shared" ref="G151:M151" ca="1" si="49">(G150-G149)*G14*G15/3600*1000</f>
        <v>2132.5030457512853</v>
      </c>
      <c r="H151" s="2">
        <f t="shared" ca="1" si="49"/>
        <v>2132.5030457512853</v>
      </c>
      <c r="I151" s="2">
        <f t="shared" ca="1" si="49"/>
        <v>2148.1585500337396</v>
      </c>
      <c r="J151" s="2">
        <f t="shared" ca="1" si="49"/>
        <v>2177.4798896241491</v>
      </c>
      <c r="K151" s="2">
        <f t="shared" ca="1" si="49"/>
        <v>2218.5768548735991</v>
      </c>
      <c r="L151" s="2">
        <f t="shared" ca="1" si="49"/>
        <v>2311.1718079716061</v>
      </c>
      <c r="M151" s="2">
        <f t="shared" ca="1" si="49"/>
        <v>2617.3739461599375</v>
      </c>
    </row>
    <row r="152" spans="2:23" ht="13" x14ac:dyDescent="0.3">
      <c r="B152" s="353" t="s">
        <v>1857</v>
      </c>
      <c r="D152" s="35"/>
      <c r="G152" s="95">
        <f>1000</f>
        <v>1000</v>
      </c>
      <c r="H152" s="95">
        <f>1000</f>
        <v>1000</v>
      </c>
      <c r="I152" s="95">
        <f>1000</f>
        <v>1000</v>
      </c>
      <c r="J152" s="95">
        <f>1000</f>
        <v>1000</v>
      </c>
      <c r="K152" s="95">
        <f>1000</f>
        <v>1000</v>
      </c>
      <c r="L152" s="95">
        <f>1000</f>
        <v>1000</v>
      </c>
      <c r="M152" s="95">
        <f>1000</f>
        <v>1000</v>
      </c>
      <c r="N152" s="88"/>
      <c r="O152" s="130"/>
      <c r="P152" s="130"/>
      <c r="Q152" s="130"/>
      <c r="R152" s="130"/>
    </row>
    <row r="153" spans="2:23" ht="13" x14ac:dyDescent="0.3">
      <c r="B153" s="353" t="s">
        <v>1858</v>
      </c>
      <c r="G153" s="3">
        <f ca="1">IF(G152=0,0,G151/G152*60)</f>
        <v>127.95018274507711</v>
      </c>
      <c r="H153" s="3">
        <f t="shared" ref="H153:M153" ca="1" si="50">IF(H152=0,0,H151/H152*60)</f>
        <v>127.95018274507711</v>
      </c>
      <c r="I153" s="3">
        <f t="shared" ca="1" si="50"/>
        <v>128.88951300202436</v>
      </c>
      <c r="J153" s="3">
        <f t="shared" ca="1" si="50"/>
        <v>130.64879337744892</v>
      </c>
      <c r="K153" s="3">
        <f t="shared" ca="1" si="50"/>
        <v>133.11461129241596</v>
      </c>
      <c r="L153" s="3">
        <f t="shared" ca="1" si="50"/>
        <v>138.67030847829636</v>
      </c>
      <c r="M153" s="3">
        <f t="shared" ca="1" si="50"/>
        <v>157.04243676959626</v>
      </c>
      <c r="N153" s="737"/>
    </row>
    <row r="154" spans="2:23" ht="13.5" thickBot="1" x14ac:dyDescent="0.35">
      <c r="B154" s="9"/>
      <c r="C154" s="681"/>
      <c r="D154" s="681"/>
      <c r="E154" s="681"/>
      <c r="F154" s="681"/>
      <c r="G154" s="866"/>
      <c r="H154" s="866"/>
      <c r="I154" s="866"/>
      <c r="J154" s="866"/>
      <c r="K154" s="866"/>
      <c r="L154" s="866"/>
      <c r="M154" s="866"/>
      <c r="P154" s="28"/>
    </row>
    <row r="155" spans="2:23" ht="20.5" thickBot="1" x14ac:dyDescent="0.45">
      <c r="B155" s="1453" t="s">
        <v>1859</v>
      </c>
      <c r="C155" s="1454"/>
      <c r="D155" s="1454"/>
      <c r="E155" s="1454"/>
      <c r="F155" s="1454"/>
      <c r="G155" s="1454"/>
      <c r="H155" s="1454"/>
      <c r="I155" s="1454"/>
      <c r="J155" s="1454"/>
      <c r="K155" s="1454"/>
      <c r="L155" s="1454"/>
      <c r="M155" s="1455"/>
      <c r="V155" s="56"/>
      <c r="W155" s="56"/>
    </row>
    <row r="156" spans="2:23" x14ac:dyDescent="0.25">
      <c r="B156" s="353"/>
      <c r="F156" s="55"/>
      <c r="G156" s="2"/>
      <c r="H156" s="2"/>
      <c r="I156" s="2"/>
      <c r="J156" s="2"/>
      <c r="K156" s="2"/>
      <c r="L156" s="2"/>
      <c r="M156" s="2"/>
      <c r="V156" s="56"/>
      <c r="W156" s="56"/>
    </row>
    <row r="157" spans="2:23" ht="15.5" x14ac:dyDescent="0.35">
      <c r="B157" s="6" t="s">
        <v>1860</v>
      </c>
      <c r="C157" s="122"/>
      <c r="D157" s="122"/>
      <c r="E157" s="122"/>
      <c r="F157" s="122"/>
      <c r="N157" s="122"/>
    </row>
    <row r="158" spans="2:23" ht="13.5" thickBot="1" x14ac:dyDescent="0.35">
      <c r="B158" s="1352" t="s">
        <v>1861</v>
      </c>
      <c r="C158" s="1352" t="s">
        <v>1862</v>
      </c>
      <c r="D158" s="1351"/>
    </row>
    <row r="159" spans="2:23" x14ac:dyDescent="0.25">
      <c r="B159" s="353"/>
      <c r="C159" s="1346">
        <v>0</v>
      </c>
      <c r="D159" s="1343"/>
    </row>
    <row r="160" spans="2:23" x14ac:dyDescent="0.25">
      <c r="B160" s="353" t="s">
        <v>1863</v>
      </c>
      <c r="C160" s="1347">
        <v>5</v>
      </c>
      <c r="D160" s="1344"/>
    </row>
    <row r="161" spans="2:8" x14ac:dyDescent="0.25">
      <c r="B161" s="353" t="s">
        <v>1864</v>
      </c>
      <c r="C161" s="1348">
        <v>10</v>
      </c>
      <c r="D161" s="1345"/>
    </row>
    <row r="162" spans="2:8" x14ac:dyDescent="0.25">
      <c r="B162" s="353" t="s">
        <v>1865</v>
      </c>
      <c r="C162" s="1349">
        <v>15</v>
      </c>
      <c r="D162" s="1343"/>
    </row>
    <row r="163" spans="2:8" ht="13" thickBot="1" x14ac:dyDescent="0.3">
      <c r="B163" s="353" t="s">
        <v>1866</v>
      </c>
      <c r="C163" s="1350">
        <v>200</v>
      </c>
      <c r="D163" s="1343"/>
    </row>
    <row r="164" spans="2:8" ht="13" x14ac:dyDescent="0.3">
      <c r="B164" s="353"/>
      <c r="C164" s="28"/>
    </row>
    <row r="165" spans="2:8" ht="15.5" x14ac:dyDescent="0.35">
      <c r="B165" s="6" t="s">
        <v>1867</v>
      </c>
    </row>
    <row r="166" spans="2:8" x14ac:dyDescent="0.25">
      <c r="B166" s="85"/>
      <c r="C166" s="85" t="s">
        <v>1868</v>
      </c>
      <c r="D166" s="54" t="s">
        <v>1869</v>
      </c>
      <c r="E166" s="54" t="s">
        <v>1869</v>
      </c>
      <c r="F166" s="54" t="s">
        <v>1870</v>
      </c>
      <c r="G166" s="54" t="s">
        <v>1031</v>
      </c>
    </row>
    <row r="167" spans="2:8" ht="13" thickBot="1" x14ac:dyDescent="0.3">
      <c r="B167" s="937" t="s">
        <v>119</v>
      </c>
      <c r="C167" s="937" t="s">
        <v>1871</v>
      </c>
      <c r="D167" s="938" t="s">
        <v>1872</v>
      </c>
      <c r="E167" s="938" t="s">
        <v>1873</v>
      </c>
      <c r="F167" s="939" t="s">
        <v>1874</v>
      </c>
      <c r="G167" s="939" t="s">
        <v>1875</v>
      </c>
    </row>
    <row r="168" spans="2:8" x14ac:dyDescent="0.25">
      <c r="B168" s="937"/>
      <c r="C168" s="1336">
        <v>0</v>
      </c>
      <c r="D168" s="1337">
        <v>0</v>
      </c>
      <c r="E168" s="1337">
        <v>0</v>
      </c>
      <c r="F168" s="1374">
        <v>0</v>
      </c>
      <c r="G168" s="1338">
        <v>0</v>
      </c>
    </row>
    <row r="169" spans="2:8" ht="13" x14ac:dyDescent="0.3">
      <c r="B169" s="44" t="s">
        <v>1876</v>
      </c>
      <c r="C169" s="1335">
        <v>500</v>
      </c>
      <c r="D169" s="1334">
        <v>2</v>
      </c>
      <c r="E169" s="1334">
        <f>D169/2.5</f>
        <v>0.8</v>
      </c>
      <c r="F169" s="1375">
        <v>2.5</v>
      </c>
      <c r="G169" s="1377">
        <v>30</v>
      </c>
      <c r="H169" s="737"/>
    </row>
    <row r="170" spans="2:8" x14ac:dyDescent="0.25">
      <c r="B170" s="44" t="s">
        <v>1877</v>
      </c>
      <c r="C170" s="1335">
        <v>1000</v>
      </c>
      <c r="D170" s="1334">
        <v>3</v>
      </c>
      <c r="E170" s="1334">
        <f>D170/2.5</f>
        <v>1.2</v>
      </c>
      <c r="F170" s="1375">
        <v>2.5</v>
      </c>
      <c r="G170" s="1377">
        <v>80</v>
      </c>
    </row>
    <row r="171" spans="2:8" x14ac:dyDescent="0.25">
      <c r="B171" s="44" t="s">
        <v>1878</v>
      </c>
      <c r="C171" s="1335">
        <v>3000</v>
      </c>
      <c r="D171" s="1334">
        <v>5</v>
      </c>
      <c r="E171" s="1334">
        <f>D171/2.5</f>
        <v>2</v>
      </c>
      <c r="F171" s="1375">
        <v>2.5</v>
      </c>
      <c r="G171" s="1377">
        <v>120</v>
      </c>
    </row>
    <row r="172" spans="2:8" ht="13" thickBot="1" x14ac:dyDescent="0.3">
      <c r="B172" s="44" t="s">
        <v>1879</v>
      </c>
      <c r="C172" s="1339">
        <v>6000</v>
      </c>
      <c r="D172" s="1340">
        <v>7</v>
      </c>
      <c r="E172" s="1340">
        <f>D172/2.5</f>
        <v>2.8</v>
      </c>
      <c r="F172" s="1376">
        <v>2.5</v>
      </c>
      <c r="G172" s="1378">
        <v>200</v>
      </c>
    </row>
  </sheetData>
  <mergeCells count="14">
    <mergeCell ref="B155:M155"/>
    <mergeCell ref="N1:O1"/>
    <mergeCell ref="B64:M64"/>
    <mergeCell ref="B21:M21"/>
    <mergeCell ref="B8:M8"/>
    <mergeCell ref="B137:M137"/>
    <mergeCell ref="B1:M1"/>
    <mergeCell ref="B2:M2"/>
    <mergeCell ref="B3:M3"/>
    <mergeCell ref="B4:E4"/>
    <mergeCell ref="G4:M4"/>
    <mergeCell ref="B5:E5"/>
    <mergeCell ref="G5:M5"/>
    <mergeCell ref="B117:M117"/>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65" min="1" max="12" man="1"/>
    <brk id="98" min="1" max="12" man="1"/>
    <brk id="51"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sheetView>
  </sheetViews>
  <sheetFormatPr defaultColWidth="8.54296875" defaultRowHeight="12.5" x14ac:dyDescent="0.25"/>
  <cols>
    <col min="2" max="2" width="13.54296875" customWidth="1"/>
    <col min="4" max="4" width="11.453125" customWidth="1"/>
    <col min="5" max="5" width="47.453125" customWidth="1"/>
    <col min="6" max="12" width="12.453125" style="210" customWidth="1"/>
    <col min="13" max="13" width="10.54296875" customWidth="1"/>
    <col min="14" max="15" width="17.453125" bestFit="1" customWidth="1"/>
    <col min="16" max="16" width="24" bestFit="1" customWidth="1"/>
  </cols>
  <sheetData>
    <row r="1" spans="1:15" ht="18.5" thickBot="1" x14ac:dyDescent="0.45">
      <c r="B1" s="1506" t="s">
        <v>1880</v>
      </c>
      <c r="C1" s="1508"/>
      <c r="D1" s="1508"/>
      <c r="E1" s="1508"/>
      <c r="F1" s="1508"/>
      <c r="G1" s="1508"/>
      <c r="H1" s="1508"/>
      <c r="I1" s="1508"/>
      <c r="J1" s="1508"/>
      <c r="K1" s="1508"/>
      <c r="L1" s="1508"/>
      <c r="M1" s="1509"/>
      <c r="N1" s="1419" t="s">
        <v>6</v>
      </c>
      <c r="O1" s="1420"/>
    </row>
    <row r="2" spans="1:15"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1:15" ht="15.5" x14ac:dyDescent="0.35">
      <c r="B3" s="1445" t="s">
        <v>122</v>
      </c>
      <c r="C3" s="1466"/>
      <c r="D3" s="1466"/>
      <c r="E3" s="1466"/>
      <c r="F3" s="1466"/>
      <c r="G3" s="1466"/>
      <c r="H3" s="1466"/>
      <c r="I3" s="1466"/>
      <c r="J3" s="1466"/>
      <c r="K3" s="1466"/>
      <c r="L3" s="1466"/>
      <c r="M3" s="1467"/>
      <c r="N3" s="1243" t="s">
        <v>12</v>
      </c>
      <c r="O3" s="1242" t="s">
        <v>13</v>
      </c>
    </row>
    <row r="4" spans="1:15" ht="13" x14ac:dyDescent="0.3">
      <c r="B4" s="1447" t="s">
        <v>282</v>
      </c>
      <c r="C4" s="1468"/>
      <c r="D4" s="1468"/>
      <c r="E4" s="1469"/>
      <c r="F4" s="245"/>
      <c r="G4" s="1448" t="s">
        <v>9</v>
      </c>
      <c r="H4" s="1473"/>
      <c r="I4" s="1473"/>
      <c r="J4" s="1473"/>
      <c r="K4" s="1473"/>
      <c r="L4" s="1473"/>
      <c r="M4" s="1474"/>
      <c r="N4" s="1240" t="s">
        <v>14</v>
      </c>
      <c r="O4" s="1242" t="s">
        <v>15</v>
      </c>
    </row>
    <row r="5" spans="1:15" ht="13.5" thickBot="1" x14ac:dyDescent="0.35">
      <c r="B5" s="1450" t="s">
        <v>10</v>
      </c>
      <c r="C5" s="1488"/>
      <c r="D5" s="1488"/>
      <c r="E5" s="1489"/>
      <c r="F5" s="254"/>
      <c r="G5" s="1451" t="s">
        <v>11</v>
      </c>
      <c r="H5" s="1475"/>
      <c r="I5" s="1475"/>
      <c r="J5" s="1475"/>
      <c r="K5" s="1475"/>
      <c r="L5" s="1475"/>
      <c r="M5" s="1476"/>
      <c r="N5" s="1240" t="s">
        <v>17</v>
      </c>
      <c r="O5" s="1246" t="s">
        <v>18</v>
      </c>
    </row>
    <row r="6" spans="1:15" ht="16" thickBot="1" x14ac:dyDescent="0.4">
      <c r="G6" s="60" t="s">
        <v>50</v>
      </c>
      <c r="H6" s="60" t="s">
        <v>51</v>
      </c>
      <c r="I6" s="60" t="s">
        <v>52</v>
      </c>
      <c r="J6" s="60" t="s">
        <v>53</v>
      </c>
      <c r="K6" s="60" t="s">
        <v>54</v>
      </c>
      <c r="L6" s="60" t="s">
        <v>55</v>
      </c>
      <c r="M6" s="60" t="s">
        <v>56</v>
      </c>
      <c r="N6" s="1244" t="s">
        <v>22</v>
      </c>
      <c r="O6" s="1245" t="s">
        <v>23</v>
      </c>
    </row>
    <row r="7" spans="1:15" ht="16" thickBot="1" x14ac:dyDescent="0.4">
      <c r="G7" s="60"/>
      <c r="H7" s="60"/>
      <c r="I7" s="60"/>
      <c r="J7" s="60"/>
      <c r="K7" s="60"/>
      <c r="L7" s="60"/>
      <c r="M7" s="60"/>
    </row>
    <row r="8" spans="1:15" ht="20.5" thickBot="1" x14ac:dyDescent="0.45">
      <c r="B8" s="1453" t="s">
        <v>1881</v>
      </c>
      <c r="C8" s="1454"/>
      <c r="D8" s="1454"/>
      <c r="E8" s="1454"/>
      <c r="F8" s="1454"/>
      <c r="G8" s="1454"/>
      <c r="H8" s="1454"/>
      <c r="I8" s="1454"/>
      <c r="J8" s="1454"/>
      <c r="K8" s="1454"/>
      <c r="L8" s="1454"/>
      <c r="M8" s="1455"/>
    </row>
    <row r="9" spans="1:15" ht="15.5" x14ac:dyDescent="0.35">
      <c r="B9" s="6"/>
      <c r="C9" s="353"/>
      <c r="D9" s="353"/>
      <c r="E9" s="353"/>
    </row>
    <row r="10" spans="1:15" x14ac:dyDescent="0.25">
      <c r="B10" s="353" t="s">
        <v>1882</v>
      </c>
      <c r="C10" s="353"/>
      <c r="D10" s="353"/>
      <c r="E10" s="353"/>
      <c r="G10" s="445">
        <f>'Battery Design'!G$32</f>
        <v>400</v>
      </c>
      <c r="H10" s="445">
        <f>'Battery Design'!H$32</f>
        <v>400</v>
      </c>
      <c r="I10" s="445">
        <f>'Battery Design'!I$32</f>
        <v>400</v>
      </c>
      <c r="J10" s="445">
        <f>'Battery Design'!J$32</f>
        <v>400</v>
      </c>
      <c r="K10" s="445">
        <f>'Battery Design'!K$32</f>
        <v>400</v>
      </c>
      <c r="L10" s="445">
        <f>'Battery Design'!L$32</f>
        <v>400</v>
      </c>
      <c r="M10" s="445">
        <f>'Battery Design'!M$32</f>
        <v>400</v>
      </c>
    </row>
    <row r="11" spans="1:15" x14ac:dyDescent="0.25">
      <c r="B11" s="353" t="s">
        <v>1883</v>
      </c>
      <c r="C11" s="353"/>
      <c r="D11" s="353"/>
      <c r="E11" s="353"/>
      <c r="G11" s="474">
        <f>'Battery Design'!G$29*G12</f>
        <v>20</v>
      </c>
      <c r="H11" s="474">
        <f>'Battery Design'!H$29*H12</f>
        <v>20</v>
      </c>
      <c r="I11" s="474">
        <f>'Battery Design'!I$29*I12</f>
        <v>20</v>
      </c>
      <c r="J11" s="474">
        <f>'Battery Design'!J$29*J12</f>
        <v>20</v>
      </c>
      <c r="K11" s="474">
        <f>'Battery Design'!K$29*K12</f>
        <v>20</v>
      </c>
      <c r="L11" s="474">
        <f>'Battery Design'!L$29*L12</f>
        <v>20</v>
      </c>
      <c r="M11" s="474">
        <f>'Battery Design'!M$29*M12</f>
        <v>20</v>
      </c>
    </row>
    <row r="12" spans="1:15" x14ac:dyDescent="0.25">
      <c r="B12" s="353" t="s">
        <v>1173</v>
      </c>
      <c r="C12" s="353"/>
      <c r="D12" s="353"/>
      <c r="E12" s="353"/>
      <c r="G12" s="474">
        <f>'Battery Design'!G$12</f>
        <v>1</v>
      </c>
      <c r="H12" s="474">
        <f>'Battery Design'!H$12</f>
        <v>1</v>
      </c>
      <c r="I12" s="474">
        <f>'Battery Design'!I$12</f>
        <v>1</v>
      </c>
      <c r="J12" s="474">
        <f>'Battery Design'!J$12</f>
        <v>1</v>
      </c>
      <c r="K12" s="474">
        <f>'Battery Design'!K$12</f>
        <v>1</v>
      </c>
      <c r="L12" s="474">
        <f>'Battery Design'!L$12</f>
        <v>1</v>
      </c>
      <c r="M12" s="474">
        <f>'Battery Design'!M$12</f>
        <v>1</v>
      </c>
    </row>
    <row r="13" spans="1:15" x14ac:dyDescent="0.25">
      <c r="B13" s="353"/>
      <c r="C13" s="353"/>
      <c r="D13" s="353"/>
      <c r="E13" s="353"/>
      <c r="F13" s="227"/>
      <c r="G13" s="227"/>
      <c r="H13" s="227"/>
      <c r="I13" s="227"/>
      <c r="J13" s="227"/>
      <c r="K13" s="227"/>
      <c r="L13" s="227"/>
    </row>
    <row r="14" spans="1:15" ht="13" thickBot="1" x14ac:dyDescent="0.3">
      <c r="B14" s="353"/>
      <c r="C14" s="353"/>
      <c r="D14" s="353"/>
      <c r="E14" s="353"/>
      <c r="F14" s="227"/>
      <c r="G14" s="227"/>
      <c r="H14" s="227"/>
      <c r="I14" s="227"/>
      <c r="J14" s="227"/>
      <c r="K14" s="227"/>
      <c r="L14" s="227"/>
    </row>
    <row r="15" spans="1:15" ht="20.5" thickBot="1" x14ac:dyDescent="0.45">
      <c r="B15" s="1453" t="s">
        <v>1884</v>
      </c>
      <c r="C15" s="1454"/>
      <c r="D15" s="1454"/>
      <c r="E15" s="1454"/>
      <c r="F15" s="1454"/>
      <c r="G15" s="1454"/>
      <c r="H15" s="1454"/>
      <c r="I15" s="1454"/>
      <c r="J15" s="1454"/>
      <c r="K15" s="1454"/>
      <c r="L15" s="1454"/>
      <c r="M15" s="1455"/>
    </row>
    <row r="16" spans="1:15" ht="15.5" x14ac:dyDescent="0.35">
      <c r="A16" s="1380"/>
      <c r="B16" s="124"/>
      <c r="C16" s="353"/>
      <c r="D16" s="353"/>
      <c r="E16" s="353"/>
      <c r="F16" s="445"/>
      <c r="G16" s="445"/>
      <c r="H16" s="445"/>
      <c r="I16" s="445"/>
      <c r="J16" s="445"/>
      <c r="K16" s="445"/>
      <c r="L16" s="445"/>
    </row>
    <row r="17" spans="1:21" ht="15.5" x14ac:dyDescent="0.35">
      <c r="B17" s="1189" t="s">
        <v>1885</v>
      </c>
      <c r="C17" s="1190"/>
      <c r="D17" s="1190"/>
      <c r="E17" s="1190" t="s">
        <v>1886</v>
      </c>
      <c r="F17" s="1190"/>
      <c r="G17" s="994" t="s">
        <v>1872</v>
      </c>
      <c r="H17" s="994" t="s">
        <v>1872</v>
      </c>
      <c r="I17" s="994" t="s">
        <v>1872</v>
      </c>
      <c r="J17" s="994" t="s">
        <v>1872</v>
      </c>
      <c r="K17" s="994" t="s">
        <v>1872</v>
      </c>
      <c r="L17" s="994" t="s">
        <v>1872</v>
      </c>
      <c r="M17" s="995" t="s">
        <v>1872</v>
      </c>
    </row>
    <row r="18" spans="1:21" ht="13" x14ac:dyDescent="0.3">
      <c r="B18" s="967" t="s">
        <v>1887</v>
      </c>
      <c r="C18" s="968"/>
      <c r="D18" s="968"/>
      <c r="E18" s="968"/>
      <c r="F18" s="233"/>
      <c r="G18" s="969">
        <f ca="1">'Battery Design'!G$77/1000*G10</f>
        <v>297.64961727448906</v>
      </c>
      <c r="H18" s="969">
        <f ca="1">'Battery Design'!H$77/1000*H10</f>
        <v>297.64961727448906</v>
      </c>
      <c r="I18" s="969">
        <f ca="1">'Battery Design'!I$77/1000*I10</f>
        <v>300.69412973925824</v>
      </c>
      <c r="J18" s="969">
        <f ca="1">'Battery Design'!J$77/1000*J10</f>
        <v>305.66776179863274</v>
      </c>
      <c r="K18" s="969">
        <f ca="1">'Battery Design'!K$77/1000*K10</f>
        <v>313.78485609421961</v>
      </c>
      <c r="L18" s="969">
        <f ca="1">'Battery Design'!L$77/1000*L10</f>
        <v>330.33182453578934</v>
      </c>
      <c r="M18" s="970">
        <f ca="1">'Battery Design'!M$77/1000*M10</f>
        <v>386.49486965253044</v>
      </c>
      <c r="O18" s="55"/>
    </row>
    <row r="19" spans="1:21" ht="13" x14ac:dyDescent="0.3">
      <c r="B19" s="964" t="s">
        <v>1888</v>
      </c>
      <c r="C19" s="965"/>
      <c r="D19" s="965"/>
      <c r="E19" s="965"/>
      <c r="F19" s="233"/>
      <c r="G19" s="966"/>
      <c r="H19" s="966"/>
      <c r="I19" s="966"/>
      <c r="J19" s="966"/>
      <c r="K19" s="966"/>
      <c r="L19" s="966"/>
      <c r="M19" s="971"/>
    </row>
    <row r="20" spans="1:21" ht="13" x14ac:dyDescent="0.3">
      <c r="B20" s="232" t="s">
        <v>1889</v>
      </c>
      <c r="C20" s="948"/>
      <c r="D20" s="948"/>
      <c r="E20" s="948" t="s">
        <v>1890</v>
      </c>
      <c r="F20" s="233"/>
      <c r="G20" s="949">
        <f ca="1">'Battery Design'!G$351*G11-G18-G21</f>
        <v>31.981334395829272</v>
      </c>
      <c r="H20" s="949">
        <f ca="1">'Battery Design'!H$351*H11-H18-H21</f>
        <v>31.981334395829272</v>
      </c>
      <c r="I20" s="949">
        <f ca="1">'Battery Design'!I$351*I11-I18-I21</f>
        <v>32.106518061727087</v>
      </c>
      <c r="J20" s="949">
        <f ca="1">'Battery Design'!J$351*J11-J18-J21</f>
        <v>32.376637798417363</v>
      </c>
      <c r="K20" s="949">
        <f ca="1">'Battery Design'!K$351*K11-K18-K21</f>
        <v>32.703105675547093</v>
      </c>
      <c r="L20" s="949">
        <f ca="1">'Battery Design'!L$351*L11-L18-L21</f>
        <v>33.51739928366667</v>
      </c>
      <c r="M20" s="950">
        <f ca="1">'Battery Design'!M$351*M11-M18-M21</f>
        <v>36.134365540780479</v>
      </c>
    </row>
    <row r="21" spans="1:21" ht="13" x14ac:dyDescent="0.3">
      <c r="A21" s="1380" t="s">
        <v>438</v>
      </c>
      <c r="B21" s="967" t="s">
        <v>1891</v>
      </c>
      <c r="C21" s="968"/>
      <c r="D21" s="968"/>
      <c r="E21" s="968" t="s">
        <v>1892</v>
      </c>
      <c r="F21" s="233"/>
      <c r="G21" s="969">
        <f ca="1">('Battery Design'!G$338/1000+'Battery Design'!G316/1000)*G11</f>
        <v>7.6797095137542248</v>
      </c>
      <c r="H21" s="969">
        <f ca="1">('Battery Design'!H$338/1000+'Battery Design'!H316/1000)*H11</f>
        <v>7.6797095137542248</v>
      </c>
      <c r="I21" s="969">
        <f ca="1">('Battery Design'!I$338/1000+'Battery Design'!I316/1000)*I11</f>
        <v>7.666398539991607</v>
      </c>
      <c r="J21" s="969">
        <f ca="1">('Battery Design'!J$338/1000+'Battery Design'!J316/1000)*J11</f>
        <v>7.6908924882633016</v>
      </c>
      <c r="K21" s="969">
        <f ca="1">('Battery Design'!K$338/1000+'Battery Design'!K316/1000)*K11</f>
        <v>7.647276895987245</v>
      </c>
      <c r="L21" s="969">
        <f ca="1">('Battery Design'!L$338/1000+'Battery Design'!L316/1000)*L11</f>
        <v>7.668444284759536</v>
      </c>
      <c r="M21" s="970">
        <f ca="1">('Battery Design'!M$338/1000+'Battery Design'!M316/1000)*M11</f>
        <v>7.6533366785091808</v>
      </c>
    </row>
    <row r="22" spans="1:21" ht="13" x14ac:dyDescent="0.3">
      <c r="B22" s="967" t="s">
        <v>1893</v>
      </c>
      <c r="C22" s="968"/>
      <c r="D22" s="968"/>
      <c r="E22" s="968"/>
      <c r="F22" s="233"/>
      <c r="G22" s="969"/>
      <c r="H22" s="969"/>
      <c r="I22" s="969"/>
      <c r="J22" s="969"/>
      <c r="K22" s="969"/>
      <c r="L22" s="969"/>
      <c r="M22" s="970"/>
    </row>
    <row r="23" spans="1:21" ht="13" x14ac:dyDescent="0.3">
      <c r="B23" s="232" t="s">
        <v>1894</v>
      </c>
      <c r="C23" s="948"/>
      <c r="D23" s="948"/>
      <c r="E23" s="948" t="s">
        <v>1895</v>
      </c>
      <c r="F23" s="233"/>
      <c r="G23" s="949">
        <f ca="1">('Battery Design'!G$444-'Battery Design'!G$443-G25)*G12 + 'Battery Design'!G386*'Battery Design'!G28</f>
        <v>116.2889330695433</v>
      </c>
      <c r="H23" s="949">
        <f ca="1">('Battery Design'!H$444-'Battery Design'!H$443-H25)*H12 + 'Battery Design'!H386*'Battery Design'!H28</f>
        <v>116.2889330695433</v>
      </c>
      <c r="I23" s="949">
        <f ca="1">('Battery Design'!I$444-'Battery Design'!I$443-I25)*I12 + 'Battery Design'!I386*'Battery Design'!I28</f>
        <v>116.3808166208922</v>
      </c>
      <c r="J23" s="949">
        <f ca="1">('Battery Design'!J$444-'Battery Design'!J$443-J25)*J12 + 'Battery Design'!J386*'Battery Design'!J28</f>
        <v>117.34838758135386</v>
      </c>
      <c r="K23" s="949">
        <f ca="1">('Battery Design'!K$444-'Battery Design'!K$443-K25)*K12 + 'Battery Design'!K386*'Battery Design'!K28</f>
        <v>117.44960104164595</v>
      </c>
      <c r="L23" s="949">
        <f ca="1">('Battery Design'!L$444-'Battery Design'!L$443-L25)*L12 + 'Battery Design'!L386*'Battery Design'!L28</f>
        <v>119.58829637452062</v>
      </c>
      <c r="M23" s="950">
        <f ca="1">('Battery Design'!M$444-'Battery Design'!M$443-M25)*M12 + 'Battery Design'!M386*'Battery Design'!M28</f>
        <v>125.137871572726</v>
      </c>
      <c r="O23" s="55"/>
      <c r="P23" s="55"/>
      <c r="Q23" s="55"/>
      <c r="R23" s="55"/>
      <c r="S23" s="55"/>
      <c r="T23" s="55"/>
      <c r="U23" s="55"/>
    </row>
    <row r="24" spans="1:21" ht="13" x14ac:dyDescent="0.3">
      <c r="B24" s="232" t="s">
        <v>1896</v>
      </c>
      <c r="C24" s="948"/>
      <c r="D24" s="948"/>
      <c r="E24" s="948" t="s">
        <v>1897</v>
      </c>
      <c r="F24" s="233"/>
      <c r="G24" s="949">
        <f ca="1">('Battery Design'!G$443+'Battery Design'!G$403)*G12</f>
        <v>29.036501851397706</v>
      </c>
      <c r="H24" s="949">
        <f ca="1">('Battery Design'!H$443+'Battery Design'!H$403)*H12</f>
        <v>29.036501851397706</v>
      </c>
      <c r="I24" s="949">
        <f ca="1">('Battery Design'!I$443+'Battery Design'!I$403)*I12</f>
        <v>29.11603047428839</v>
      </c>
      <c r="J24" s="949">
        <f ca="1">('Battery Design'!J$443+'Battery Design'!J$403)*J12</f>
        <v>29.370554215780668</v>
      </c>
      <c r="K24" s="949">
        <f ca="1">('Battery Design'!K$443+'Battery Design'!K$403)*K12</f>
        <v>29.559346555657815</v>
      </c>
      <c r="L24" s="949">
        <f ca="1">('Battery Design'!L$443+'Battery Design'!L$403)*L12</f>
        <v>30.237253637798897</v>
      </c>
      <c r="M24" s="950">
        <f ca="1">('Battery Design'!M$443+'Battery Design'!M$403)*M12</f>
        <v>32.228491786154017</v>
      </c>
    </row>
    <row r="25" spans="1:21" ht="13" x14ac:dyDescent="0.3">
      <c r="B25" s="232" t="s">
        <v>1898</v>
      </c>
      <c r="C25" s="948"/>
      <c r="D25" s="948"/>
      <c r="E25" s="948" t="s">
        <v>1899</v>
      </c>
      <c r="F25" s="233"/>
      <c r="G25" s="949">
        <f ca="1">('Battery Design'!G$440+'Battery Design'!G$439*('Battery Design'!G$29+1))/1000*G12</f>
        <v>2.5126791467714602</v>
      </c>
      <c r="H25" s="949">
        <f ca="1">('Battery Design'!H$440+'Battery Design'!H$439*('Battery Design'!H$29+1))/1000*H12</f>
        <v>2.5126791467714602</v>
      </c>
      <c r="I25" s="949">
        <f ca="1">('Battery Design'!I$440+'Battery Design'!I$439*('Battery Design'!I$29+1))/1000*I12</f>
        <v>2.5181304503734445</v>
      </c>
      <c r="J25" s="949">
        <f ca="1">('Battery Design'!J$440+'Battery Design'!J$439*('Battery Design'!J$29+1))/1000*J12</f>
        <v>2.5238009322907748</v>
      </c>
      <c r="K25" s="949">
        <f ca="1">('Battery Design'!K$440+'Battery Design'!K$439*('Battery Design'!K$29+1))/1000*K12</f>
        <v>2.5390094512569994</v>
      </c>
      <c r="L25" s="949">
        <f ca="1">('Battery Design'!L$440+'Battery Design'!L$439*('Battery Design'!L$29+1))/1000*L12</f>
        <v>2.5618198946612813</v>
      </c>
      <c r="M25" s="950">
        <f ca="1">('Battery Design'!M$440+'Battery Design'!M$439*('Battery Design'!M$29+1))/1000*M12</f>
        <v>2.6431083230274708</v>
      </c>
    </row>
    <row r="26" spans="1:21" ht="13" x14ac:dyDescent="0.3">
      <c r="B26" s="232" t="s">
        <v>1900</v>
      </c>
      <c r="C26" s="948"/>
      <c r="D26" s="948"/>
      <c r="E26" s="948" t="s">
        <v>1901</v>
      </c>
      <c r="F26" s="233"/>
      <c r="G26" s="949">
        <f ca="1">'Battery Design'!G$445*G12</f>
        <v>3.5776000000000003</v>
      </c>
      <c r="H26" s="949">
        <f ca="1">'Battery Design'!H$445*H12</f>
        <v>3.5776000000000003</v>
      </c>
      <c r="I26" s="949">
        <f ca="1">'Battery Design'!I$445*I12</f>
        <v>3.5776000000000003</v>
      </c>
      <c r="J26" s="949">
        <f ca="1">'Battery Design'!J$445*J12</f>
        <v>3.5776000000000003</v>
      </c>
      <c r="K26" s="949">
        <f ca="1">'Battery Design'!K$445*K12</f>
        <v>3.5776000000000003</v>
      </c>
      <c r="L26" s="949">
        <f ca="1">'Battery Design'!L$445*L12</f>
        <v>3.5776000000000003</v>
      </c>
      <c r="M26" s="950">
        <f ca="1">'Battery Design'!M$445*M12</f>
        <v>3.5776000000000003</v>
      </c>
    </row>
    <row r="27" spans="1:21" ht="13" x14ac:dyDescent="0.3">
      <c r="B27" s="232" t="s">
        <v>1902</v>
      </c>
      <c r="C27" s="948"/>
      <c r="D27" s="948"/>
      <c r="E27" s="948"/>
      <c r="F27" s="233"/>
      <c r="G27" s="949">
        <f t="shared" ref="G27:M27" ca="1" si="0">SUM(G18:G26)</f>
        <v>488.72637525178504</v>
      </c>
      <c r="H27" s="949">
        <f t="shared" ca="1" si="0"/>
        <v>488.72637525178504</v>
      </c>
      <c r="I27" s="949">
        <f t="shared" ca="1" si="0"/>
        <v>492.05962388653103</v>
      </c>
      <c r="J27" s="949">
        <f t="shared" ca="1" si="0"/>
        <v>498.55563481473871</v>
      </c>
      <c r="K27" s="949">
        <f t="shared" ca="1" si="0"/>
        <v>507.26079571431478</v>
      </c>
      <c r="L27" s="949">
        <f t="shared" ca="1" si="0"/>
        <v>527.48263801119629</v>
      </c>
      <c r="M27" s="950">
        <f t="shared" ca="1" si="0"/>
        <v>593.86964355372754</v>
      </c>
      <c r="O27" s="55"/>
    </row>
    <row r="28" spans="1:21" ht="13" x14ac:dyDescent="0.3">
      <c r="B28" s="232" t="s">
        <v>1903</v>
      </c>
      <c r="C28" s="948"/>
      <c r="D28" s="948"/>
      <c r="E28" s="948" t="s">
        <v>1904</v>
      </c>
      <c r="F28" s="233"/>
      <c r="G28" s="949">
        <f ca="1">'Battery Design'!G$453</f>
        <v>7</v>
      </c>
      <c r="H28" s="949">
        <f ca="1">'Battery Design'!H$453</f>
        <v>7</v>
      </c>
      <c r="I28" s="949">
        <f ca="1">'Battery Design'!I$453</f>
        <v>7</v>
      </c>
      <c r="J28" s="949">
        <f ca="1">'Battery Design'!J$453</f>
        <v>7</v>
      </c>
      <c r="K28" s="949">
        <f ca="1">'Battery Design'!K$453</f>
        <v>7</v>
      </c>
      <c r="L28" s="949">
        <f ca="1">'Battery Design'!L$453</f>
        <v>7</v>
      </c>
      <c r="M28" s="950">
        <f ca="1">'Battery Design'!M$453</f>
        <v>7</v>
      </c>
    </row>
    <row r="29" spans="1:21" ht="13" x14ac:dyDescent="0.3">
      <c r="B29" s="232" t="s">
        <v>1905</v>
      </c>
      <c r="C29" s="948"/>
      <c r="D29" s="948"/>
      <c r="E29" s="948"/>
      <c r="F29" s="233"/>
      <c r="G29" s="949">
        <f t="shared" ref="G29:M29" ca="1" si="1">G27+G28</f>
        <v>495.72637525178504</v>
      </c>
      <c r="H29" s="949">
        <f t="shared" ca="1" si="1"/>
        <v>495.72637525178504</v>
      </c>
      <c r="I29" s="949">
        <f t="shared" ca="1" si="1"/>
        <v>499.05962388653103</v>
      </c>
      <c r="J29" s="949">
        <f t="shared" ca="1" si="1"/>
        <v>505.55563481473871</v>
      </c>
      <c r="K29" s="949">
        <f t="shared" ca="1" si="1"/>
        <v>514.26079571431478</v>
      </c>
      <c r="L29" s="949">
        <f t="shared" ca="1" si="1"/>
        <v>534.48263801119629</v>
      </c>
      <c r="M29" s="950">
        <f t="shared" ca="1" si="1"/>
        <v>600.86964355372754</v>
      </c>
    </row>
    <row r="30" spans="1:21" ht="13" x14ac:dyDescent="0.3">
      <c r="B30" s="232" t="s">
        <v>1906</v>
      </c>
      <c r="C30" s="948"/>
      <c r="D30" s="948"/>
      <c r="E30" s="948"/>
      <c r="F30" s="233"/>
      <c r="G30" s="951">
        <f t="shared" ref="G30:M30" ca="1" si="2">G18/G27</f>
        <v>0.60903121326559084</v>
      </c>
      <c r="H30" s="951">
        <f t="shared" ca="1" si="2"/>
        <v>0.60903121326559084</v>
      </c>
      <c r="I30" s="951">
        <f t="shared" ca="1" si="2"/>
        <v>0.61109287399812817</v>
      </c>
      <c r="J30" s="951">
        <f t="shared" ca="1" si="2"/>
        <v>0.61310662332041976</v>
      </c>
      <c r="K30" s="951">
        <f t="shared" ca="1" si="2"/>
        <v>0.61858684673700015</v>
      </c>
      <c r="L30" s="951">
        <f t="shared" ca="1" si="2"/>
        <v>0.62624208027256012</v>
      </c>
      <c r="M30" s="952">
        <f t="shared" ca="1" si="2"/>
        <v>0.65080758689691154</v>
      </c>
    </row>
    <row r="31" spans="1:21" ht="13" x14ac:dyDescent="0.3">
      <c r="A31" s="1380"/>
      <c r="B31" s="353"/>
      <c r="C31" s="353"/>
      <c r="D31" s="353"/>
      <c r="E31" s="353"/>
      <c r="F31" s="445"/>
      <c r="G31" s="445"/>
      <c r="H31" s="445"/>
      <c r="I31" s="445"/>
      <c r="J31" s="445"/>
      <c r="K31" s="445"/>
      <c r="L31" s="445"/>
    </row>
    <row r="32" spans="1:21" ht="13" x14ac:dyDescent="0.3">
      <c r="A32" s="1380"/>
      <c r="B32" s="353"/>
      <c r="C32" s="353"/>
      <c r="D32" s="353"/>
      <c r="E32" s="353"/>
      <c r="F32" s="445"/>
      <c r="G32" s="445"/>
      <c r="H32" s="445"/>
      <c r="I32" s="445"/>
      <c r="J32" s="445"/>
      <c r="K32" s="445"/>
      <c r="L32" s="445"/>
    </row>
    <row r="33" spans="1:13" ht="13" x14ac:dyDescent="0.3">
      <c r="A33" s="1380"/>
      <c r="B33" s="353"/>
      <c r="C33" s="353"/>
      <c r="D33" s="353"/>
      <c r="E33" s="353"/>
      <c r="F33" s="445"/>
      <c r="G33" s="445"/>
      <c r="H33" s="445"/>
      <c r="I33" s="445"/>
      <c r="J33" s="445"/>
      <c r="K33" s="445"/>
      <c r="L33" s="445"/>
    </row>
    <row r="34" spans="1:13" ht="15.5" x14ac:dyDescent="0.35">
      <c r="B34" s="990" t="s">
        <v>1885</v>
      </c>
      <c r="C34" s="991"/>
      <c r="D34" s="991"/>
      <c r="E34" s="991" t="s">
        <v>1886</v>
      </c>
      <c r="F34" s="991"/>
      <c r="G34" s="992" t="s">
        <v>1873</v>
      </c>
      <c r="H34" s="992" t="s">
        <v>1873</v>
      </c>
      <c r="I34" s="992" t="s">
        <v>1873</v>
      </c>
      <c r="J34" s="992" t="s">
        <v>1873</v>
      </c>
      <c r="K34" s="992" t="s">
        <v>1873</v>
      </c>
      <c r="L34" s="992" t="s">
        <v>1873</v>
      </c>
      <c r="M34" s="993" t="s">
        <v>1873</v>
      </c>
    </row>
    <row r="35" spans="1:13" ht="13" x14ac:dyDescent="0.3">
      <c r="B35" s="974" t="s">
        <v>1887</v>
      </c>
      <c r="C35" s="975"/>
      <c r="D35" s="975"/>
      <c r="E35" s="975"/>
      <c r="F35" s="231"/>
      <c r="G35" s="976">
        <f ca="1">'Battery Design'!G$307/1000*G10</f>
        <v>154.66301566455547</v>
      </c>
      <c r="H35" s="976">
        <f ca="1">'Battery Design'!H$307/1000*H10</f>
        <v>154.66301566455547</v>
      </c>
      <c r="I35" s="976">
        <f ca="1">'Battery Design'!I$307/1000*I10</f>
        <v>155.62569853067842</v>
      </c>
      <c r="J35" s="976">
        <f ca="1">'Battery Design'!J$307/1000*J10</f>
        <v>157.74221059336722</v>
      </c>
      <c r="K35" s="976">
        <f ca="1">'Battery Design'!K$307/1000*K10</f>
        <v>160.24748394642302</v>
      </c>
      <c r="L35" s="976">
        <f ca="1">'Battery Design'!L$307/1000*L10</f>
        <v>166.65881728395831</v>
      </c>
      <c r="M35" s="977">
        <f ca="1">'Battery Design'!M$307/1000*M10</f>
        <v>187.51303101790475</v>
      </c>
    </row>
    <row r="36" spans="1:13" ht="13" x14ac:dyDescent="0.3">
      <c r="B36" s="230" t="s">
        <v>1888</v>
      </c>
      <c r="C36" s="953"/>
      <c r="D36" s="953"/>
      <c r="E36" s="953"/>
      <c r="F36" s="231"/>
      <c r="G36" s="954"/>
      <c r="H36" s="954"/>
      <c r="I36" s="954"/>
      <c r="J36" s="954"/>
      <c r="K36" s="954"/>
      <c r="L36" s="954"/>
      <c r="M36" s="955"/>
    </row>
    <row r="37" spans="1:13" ht="13" x14ac:dyDescent="0.3">
      <c r="B37" s="230" t="s">
        <v>1889</v>
      </c>
      <c r="C37" s="953"/>
      <c r="D37" s="953"/>
      <c r="E37" s="953" t="s">
        <v>1890</v>
      </c>
      <c r="F37" s="231"/>
      <c r="G37" s="954">
        <f ca="1">'Battery Design'!G$350*G11-G35-'Battery Design'!G$307/1000</f>
        <v>10.78006534801442</v>
      </c>
      <c r="H37" s="954">
        <f ca="1">'Battery Design'!H$350*H11-H35-'Battery Design'!H$307/1000</f>
        <v>10.78006534801442</v>
      </c>
      <c r="I37" s="954">
        <f ca="1">'Battery Design'!I$350*I11-I35-'Battery Design'!I$307/1000</f>
        <v>10.822191410150525</v>
      </c>
      <c r="J37" s="954">
        <f ca="1">'Battery Design'!J$350*J11-J35-'Battery Design'!J$307/1000</f>
        <v>10.917677812755533</v>
      </c>
      <c r="K37" s="954">
        <f ca="1">'Battery Design'!K$350*K11-K35-'Battery Design'!K$307/1000</f>
        <v>11.026464904275395</v>
      </c>
      <c r="L37" s="954">
        <f ca="1">'Battery Design'!L$350*L11-L35-'Battery Design'!L$307/1000</f>
        <v>11.309139398879818</v>
      </c>
      <c r="M37" s="955">
        <f ca="1">'Battery Design'!M$350*M11-M35-'Battery Design'!M$307/1000</f>
        <v>12.205967558704184</v>
      </c>
    </row>
    <row r="38" spans="1:13" ht="13" x14ac:dyDescent="0.3">
      <c r="B38" s="230" t="s">
        <v>1891</v>
      </c>
      <c r="C38" s="953"/>
      <c r="D38" s="953"/>
      <c r="E38" s="953" t="s">
        <v>1892</v>
      </c>
      <c r="F38" s="231"/>
      <c r="G38" s="978" t="s">
        <v>1907</v>
      </c>
      <c r="H38" s="978" t="s">
        <v>1907</v>
      </c>
      <c r="I38" s="979" t="s">
        <v>1907</v>
      </c>
      <c r="J38" s="979" t="s">
        <v>1907</v>
      </c>
      <c r="K38" s="979" t="s">
        <v>1907</v>
      </c>
      <c r="L38" s="979" t="s">
        <v>1907</v>
      </c>
      <c r="M38" s="980" t="s">
        <v>1907</v>
      </c>
    </row>
    <row r="39" spans="1:13" ht="13" x14ac:dyDescent="0.3">
      <c r="A39" s="353"/>
      <c r="B39" s="230" t="s">
        <v>1893</v>
      </c>
      <c r="C39" s="953"/>
      <c r="D39" s="953"/>
      <c r="E39" s="953"/>
      <c r="F39" s="231"/>
      <c r="G39" s="954"/>
      <c r="H39" s="954"/>
      <c r="I39" s="954"/>
      <c r="J39" s="954"/>
      <c r="K39" s="954"/>
      <c r="L39" s="954"/>
      <c r="M39" s="955"/>
    </row>
    <row r="40" spans="1:13" ht="13" x14ac:dyDescent="0.3">
      <c r="B40" s="230" t="s">
        <v>1894</v>
      </c>
      <c r="C40" s="953"/>
      <c r="D40" s="953"/>
      <c r="E40" s="953" t="s">
        <v>1895</v>
      </c>
      <c r="F40" s="231"/>
      <c r="G40" s="979" t="s">
        <v>1907</v>
      </c>
      <c r="H40" s="979" t="s">
        <v>1907</v>
      </c>
      <c r="I40" s="979" t="s">
        <v>1907</v>
      </c>
      <c r="J40" s="979" t="s">
        <v>1907</v>
      </c>
      <c r="K40" s="979" t="s">
        <v>1907</v>
      </c>
      <c r="L40" s="979" t="s">
        <v>1907</v>
      </c>
      <c r="M40" s="981" t="s">
        <v>1907</v>
      </c>
    </row>
    <row r="41" spans="1:13" ht="13" x14ac:dyDescent="0.3">
      <c r="B41" s="230" t="s">
        <v>1896</v>
      </c>
      <c r="C41" s="953"/>
      <c r="D41" s="953"/>
      <c r="E41" s="953" t="s">
        <v>1897</v>
      </c>
      <c r="F41" s="231"/>
      <c r="G41" s="979" t="s">
        <v>1907</v>
      </c>
      <c r="H41" s="979" t="s">
        <v>1907</v>
      </c>
      <c r="I41" s="979" t="s">
        <v>1907</v>
      </c>
      <c r="J41" s="979" t="s">
        <v>1907</v>
      </c>
      <c r="K41" s="979" t="s">
        <v>1907</v>
      </c>
      <c r="L41" s="979" t="s">
        <v>1907</v>
      </c>
      <c r="M41" s="981" t="s">
        <v>1907</v>
      </c>
    </row>
    <row r="42" spans="1:13" ht="13" x14ac:dyDescent="0.3">
      <c r="A42" s="353"/>
      <c r="B42" s="230" t="s">
        <v>1898</v>
      </c>
      <c r="C42" s="953"/>
      <c r="D42" s="953"/>
      <c r="E42" s="953" t="s">
        <v>1899</v>
      </c>
      <c r="F42" s="231"/>
      <c r="G42" s="979" t="s">
        <v>1907</v>
      </c>
      <c r="H42" s="979" t="s">
        <v>1907</v>
      </c>
      <c r="I42" s="979" t="s">
        <v>1907</v>
      </c>
      <c r="J42" s="979" t="s">
        <v>1907</v>
      </c>
      <c r="K42" s="979" t="s">
        <v>1907</v>
      </c>
      <c r="L42" s="979" t="s">
        <v>1907</v>
      </c>
      <c r="M42" s="981" t="s">
        <v>1907</v>
      </c>
    </row>
    <row r="43" spans="1:13" ht="13" x14ac:dyDescent="0.3">
      <c r="B43" s="972" t="s">
        <v>1900</v>
      </c>
      <c r="C43" s="973"/>
      <c r="D43" s="973"/>
      <c r="E43" s="973" t="s">
        <v>1901</v>
      </c>
      <c r="F43" s="231"/>
      <c r="G43" s="979" t="s">
        <v>1907</v>
      </c>
      <c r="H43" s="979" t="s">
        <v>1907</v>
      </c>
      <c r="I43" s="979" t="s">
        <v>1907</v>
      </c>
      <c r="J43" s="979" t="s">
        <v>1907</v>
      </c>
      <c r="K43" s="979" t="s">
        <v>1907</v>
      </c>
      <c r="L43" s="979" t="s">
        <v>1907</v>
      </c>
      <c r="M43" s="981" t="s">
        <v>1907</v>
      </c>
    </row>
    <row r="44" spans="1:13" ht="13" x14ac:dyDescent="0.3">
      <c r="B44" s="230" t="s">
        <v>1902</v>
      </c>
      <c r="C44" s="953"/>
      <c r="D44" s="953"/>
      <c r="E44" s="953"/>
      <c r="F44" s="231"/>
      <c r="G44" s="954">
        <f ca="1">'Battery Design'!G$447</f>
        <v>294.19151558886949</v>
      </c>
      <c r="H44" s="954">
        <f ca="1">'Battery Design'!H$447</f>
        <v>294.19151558886949</v>
      </c>
      <c r="I44" s="954">
        <f ca="1">'Battery Design'!I$447</f>
        <v>295.34962825522098</v>
      </c>
      <c r="J44" s="954">
        <f ca="1">'Battery Design'!J$447</f>
        <v>298.68839842243108</v>
      </c>
      <c r="K44" s="954">
        <f ca="1">'Battery Design'!K$447</f>
        <v>301.55667460278181</v>
      </c>
      <c r="L44" s="954">
        <f ca="1">'Battery Design'!L$447</f>
        <v>310.83989128626871</v>
      </c>
      <c r="M44" s="955">
        <f ca="1">'Battery Design'!M$447</f>
        <v>339.51935059132722</v>
      </c>
    </row>
    <row r="45" spans="1:13" ht="13" x14ac:dyDescent="0.3">
      <c r="B45" s="974" t="s">
        <v>1903</v>
      </c>
      <c r="C45" s="975"/>
      <c r="D45" s="975"/>
      <c r="E45" s="975" t="s">
        <v>1904</v>
      </c>
      <c r="F45" s="231"/>
      <c r="G45" s="976">
        <f ca="1">'Battery Design'!G$454</f>
        <v>2.8</v>
      </c>
      <c r="H45" s="976">
        <f ca="1">'Battery Design'!H$454</f>
        <v>2.8</v>
      </c>
      <c r="I45" s="976">
        <f ca="1">'Battery Design'!I$454</f>
        <v>2.8</v>
      </c>
      <c r="J45" s="976">
        <f ca="1">'Battery Design'!J$454</f>
        <v>2.8</v>
      </c>
      <c r="K45" s="976">
        <f ca="1">'Battery Design'!K$454</f>
        <v>2.8</v>
      </c>
      <c r="L45" s="976">
        <f ca="1">'Battery Design'!L$454</f>
        <v>2.8</v>
      </c>
      <c r="M45" s="977">
        <f ca="1">'Battery Design'!M$454</f>
        <v>2.8</v>
      </c>
    </row>
    <row r="46" spans="1:13" ht="13" x14ac:dyDescent="0.3">
      <c r="B46" s="230" t="s">
        <v>1905</v>
      </c>
      <c r="C46" s="953"/>
      <c r="D46" s="953"/>
      <c r="E46" s="953"/>
      <c r="F46" s="231"/>
      <c r="G46" s="954">
        <f t="shared" ref="G46:M46" ca="1" si="3">G44+G45</f>
        <v>296.9915155888695</v>
      </c>
      <c r="H46" s="954">
        <f t="shared" ca="1" si="3"/>
        <v>296.9915155888695</v>
      </c>
      <c r="I46" s="954">
        <f t="shared" ca="1" si="3"/>
        <v>298.14962825522099</v>
      </c>
      <c r="J46" s="954">
        <f t="shared" ca="1" si="3"/>
        <v>301.48839842243109</v>
      </c>
      <c r="K46" s="954">
        <f t="shared" ca="1" si="3"/>
        <v>304.35667460278182</v>
      </c>
      <c r="L46" s="954">
        <f t="shared" ca="1" si="3"/>
        <v>313.63989128626872</v>
      </c>
      <c r="M46" s="955">
        <f t="shared" ca="1" si="3"/>
        <v>342.31935059132724</v>
      </c>
    </row>
    <row r="47" spans="1:13" ht="13" x14ac:dyDescent="0.3">
      <c r="B47" s="230" t="s">
        <v>1906</v>
      </c>
      <c r="C47" s="953"/>
      <c r="D47" s="953"/>
      <c r="E47" s="953"/>
      <c r="F47" s="231"/>
      <c r="G47" s="956">
        <f ca="1">G35/G44</f>
        <v>0.52572221654650275</v>
      </c>
      <c r="H47" s="956">
        <f t="shared" ref="H47:M47" ca="1" si="4">H35/H44</f>
        <v>0.52572221654650275</v>
      </c>
      <c r="I47" s="956">
        <f t="shared" ca="1" si="4"/>
        <v>0.52692024516854075</v>
      </c>
      <c r="J47" s="956">
        <f t="shared" ca="1" si="4"/>
        <v>0.52811629586722175</v>
      </c>
      <c r="K47" s="956">
        <f t="shared" ca="1" si="4"/>
        <v>0.53140088561297849</v>
      </c>
      <c r="L47" s="956">
        <f t="shared" ca="1" si="4"/>
        <v>0.53615646497081515</v>
      </c>
      <c r="M47" s="957">
        <f t="shared" ca="1" si="4"/>
        <v>0.55228967271326612</v>
      </c>
    </row>
    <row r="48" spans="1:13" x14ac:dyDescent="0.25">
      <c r="B48" s="353"/>
      <c r="C48" s="353"/>
      <c r="D48" s="353"/>
      <c r="E48" s="353"/>
      <c r="F48" s="445"/>
      <c r="G48" s="445"/>
      <c r="H48" s="445"/>
      <c r="I48" s="445"/>
      <c r="J48" s="445"/>
      <c r="K48" s="445"/>
      <c r="L48" s="445"/>
    </row>
    <row r="49" spans="1:14" ht="13" x14ac:dyDescent="0.3">
      <c r="B49" s="88" t="str">
        <f>IF(SUM(Lists!C154:D154,Lists!C162:D162)&gt;0,"WARNING: Wrong pack manufacturing and cost options selected for USABC cost calculations","")</f>
        <v>WARNING: Wrong pack manufacturing and cost options selected for USABC cost calculations</v>
      </c>
      <c r="C49" s="353"/>
      <c r="D49" s="353"/>
      <c r="E49" s="353"/>
      <c r="F49" s="445"/>
      <c r="G49" s="445"/>
      <c r="H49" s="445"/>
      <c r="I49" s="445"/>
      <c r="J49" s="445"/>
      <c r="K49" s="445"/>
      <c r="L49" s="445"/>
      <c r="N49" s="737"/>
    </row>
    <row r="50" spans="1:14" ht="13" x14ac:dyDescent="0.3">
      <c r="A50" s="1380"/>
      <c r="B50" s="125" t="str">
        <f>IF(SUM(Lists!C154:D154,Lists!C162:D162)&gt;0,"For consistency with USABC, set 'Method for manufacturing pack' to 'All manufacturing in-house (Default)' and 'Option for pack cost' to 'Cost to build - excludes profity/warranty' on Dashboard","")</f>
        <v>For consistency with USABC, set 'Method for manufacturing pack' to 'All manufacturing in-house (Default)' and 'Option for pack cost' to 'Cost to build - excludes profity/warranty' on Dashboard</v>
      </c>
      <c r="C50" s="353"/>
      <c r="D50" s="353"/>
      <c r="E50" s="353"/>
      <c r="F50" s="445"/>
      <c r="G50" s="445"/>
      <c r="H50" s="445"/>
      <c r="I50" s="445"/>
      <c r="J50" s="445"/>
      <c r="K50" s="445"/>
      <c r="L50" s="445"/>
    </row>
    <row r="51" spans="1:14" ht="15.5" x14ac:dyDescent="0.35">
      <c r="B51" s="986" t="s">
        <v>1885</v>
      </c>
      <c r="C51" s="987"/>
      <c r="D51" s="987"/>
      <c r="E51" s="987" t="s">
        <v>1886</v>
      </c>
      <c r="F51" s="987"/>
      <c r="G51" s="988" t="s">
        <v>1908</v>
      </c>
      <c r="H51" s="988" t="s">
        <v>1908</v>
      </c>
      <c r="I51" s="988" t="s">
        <v>1908</v>
      </c>
      <c r="J51" s="988" t="s">
        <v>1908</v>
      </c>
      <c r="K51" s="988" t="s">
        <v>1908</v>
      </c>
      <c r="L51" s="988" t="s">
        <v>1908</v>
      </c>
      <c r="M51" s="989" t="s">
        <v>1908</v>
      </c>
    </row>
    <row r="52" spans="1:14" ht="13" x14ac:dyDescent="0.3">
      <c r="B52" s="982" t="s">
        <v>1887</v>
      </c>
      <c r="C52" s="983"/>
      <c r="D52" s="983"/>
      <c r="E52" s="983"/>
      <c r="F52" s="229"/>
      <c r="G52" s="984">
        <f ca="1">'Manufacturing Costs'!G448*G12</f>
        <v>7901.9206028106328</v>
      </c>
      <c r="H52" s="984">
        <f ca="1">'Manufacturing Costs'!H448*H12</f>
        <v>7901.9206028106328</v>
      </c>
      <c r="I52" s="984">
        <f ca="1">'Manufacturing Costs'!I448*I12</f>
        <v>7984.6816803215361</v>
      </c>
      <c r="J52" s="984">
        <f ca="1">'Manufacturing Costs'!J448*J12</f>
        <v>8117.8555098647676</v>
      </c>
      <c r="K52" s="984">
        <f ca="1">'Manufacturing Costs'!K448*K12</f>
        <v>8335.1362733038368</v>
      </c>
      <c r="L52" s="984">
        <f ca="1">'Manufacturing Costs'!L448*L12</f>
        <v>8784.0108728018386</v>
      </c>
      <c r="M52" s="985">
        <f ca="1">'Manufacturing Costs'!M448*M12</f>
        <v>10292.481124890661</v>
      </c>
    </row>
    <row r="53" spans="1:14" ht="13" x14ac:dyDescent="0.3">
      <c r="B53" s="228" t="s">
        <v>1888</v>
      </c>
      <c r="C53" s="958"/>
      <c r="D53" s="958"/>
      <c r="E53" s="958"/>
      <c r="F53" s="229"/>
      <c r="G53" s="959"/>
      <c r="H53" s="959"/>
      <c r="I53" s="959"/>
      <c r="J53" s="959"/>
      <c r="K53" s="959"/>
      <c r="L53" s="959"/>
      <c r="M53" s="960"/>
    </row>
    <row r="54" spans="1:14" ht="13" x14ac:dyDescent="0.3">
      <c r="B54" s="228" t="s">
        <v>1889</v>
      </c>
      <c r="C54" s="958"/>
      <c r="D54" s="958"/>
      <c r="E54" s="958" t="s">
        <v>1890</v>
      </c>
      <c r="F54" s="229"/>
      <c r="G54" s="959">
        <f ca="1">'Manufacturing Costs'!G478*G12-G52-G55</f>
        <v>644.64898270182175</v>
      </c>
      <c r="H54" s="959">
        <f ca="1">'Manufacturing Costs'!H478*H12-H52-H55</f>
        <v>644.64898270182175</v>
      </c>
      <c r="I54" s="959">
        <f ca="1">'Manufacturing Costs'!I478*I12-I52-I55</f>
        <v>643.8936872776585</v>
      </c>
      <c r="J54" s="959">
        <f ca="1">'Manufacturing Costs'!J478*J12-J52-J55</f>
        <v>642.76355758026216</v>
      </c>
      <c r="K54" s="959">
        <f ca="1">'Manufacturing Costs'!K478*K12-K52-K55</f>
        <v>641.04774767879553</v>
      </c>
      <c r="L54" s="959">
        <f ca="1">'Manufacturing Costs'!L478*L12-L52-L55</f>
        <v>635.44975312071335</v>
      </c>
      <c r="M54" s="960">
        <f ca="1">'Manufacturing Costs'!M478*M12-M52-M55</f>
        <v>620.51657232605658</v>
      </c>
    </row>
    <row r="55" spans="1:14" ht="13" x14ac:dyDescent="0.3">
      <c r="B55" s="228" t="s">
        <v>1891</v>
      </c>
      <c r="C55" s="958"/>
      <c r="D55" s="958"/>
      <c r="E55" s="958" t="s">
        <v>1892</v>
      </c>
      <c r="F55" s="229"/>
      <c r="G55" s="959">
        <f ca="1">('Manufacturing Costs'!G153-'Manufacturing Costs'!G147)*G11</f>
        <v>257.24689575553521</v>
      </c>
      <c r="H55" s="959">
        <f ca="1">('Manufacturing Costs'!H153-'Manufacturing Costs'!H147)*H11</f>
        <v>257.24689575553521</v>
      </c>
      <c r="I55" s="959">
        <f ca="1">('Manufacturing Costs'!I153-'Manufacturing Costs'!I147)*I11</f>
        <v>257.43062679755354</v>
      </c>
      <c r="J55" s="959">
        <f ca="1">('Manufacturing Costs'!J153-'Manufacturing Costs'!J147)*J11</f>
        <v>258.28886567848912</v>
      </c>
      <c r="K55" s="959">
        <f ca="1">('Manufacturing Costs'!K153-'Manufacturing Costs'!K147)*K11</f>
        <v>258.69086343851535</v>
      </c>
      <c r="L55" s="959">
        <f ca="1">('Manufacturing Costs'!L153-'Manufacturing Costs'!L147)*L11</f>
        <v>260.82114798618306</v>
      </c>
      <c r="M55" s="960">
        <f ca="1">('Manufacturing Costs'!M153-'Manufacturing Costs'!M147)*M11</f>
        <v>266.9470480501036</v>
      </c>
    </row>
    <row r="56" spans="1:14" ht="13" x14ac:dyDescent="0.3">
      <c r="A56" s="353"/>
      <c r="B56" s="228" t="s">
        <v>1893</v>
      </c>
      <c r="C56" s="958"/>
      <c r="D56" s="958"/>
      <c r="E56" s="958"/>
      <c r="F56" s="229"/>
      <c r="G56" s="959"/>
      <c r="H56" s="959"/>
      <c r="I56" s="959"/>
      <c r="J56" s="959"/>
      <c r="K56" s="959"/>
      <c r="L56" s="959"/>
      <c r="M56" s="960"/>
    </row>
    <row r="57" spans="1:14" ht="13" x14ac:dyDescent="0.3">
      <c r="B57" s="228" t="s">
        <v>1894</v>
      </c>
      <c r="C57" s="958"/>
      <c r="D57" s="958"/>
      <c r="E57" s="958" t="s">
        <v>1895</v>
      </c>
      <c r="F57" s="229"/>
      <c r="G57" s="959">
        <f ca="1">G61-G52-G54-G55-G58-G59-G60</f>
        <v>1615.6043727045439</v>
      </c>
      <c r="H57" s="959">
        <f t="shared" ref="H57:M57" ca="1" si="5">H61-H52-H54-H55-H58-H59-H60</f>
        <v>1615.6043727045439</v>
      </c>
      <c r="I57" s="959">
        <f t="shared" ca="1" si="5"/>
        <v>1623.3090401647273</v>
      </c>
      <c r="J57" s="959">
        <f t="shared" ca="1" si="5"/>
        <v>1637.3685790934901</v>
      </c>
      <c r="K57" s="959">
        <f t="shared" ca="1" si="5"/>
        <v>1657.1860807463368</v>
      </c>
      <c r="L57" s="959">
        <f t="shared" ca="1" si="5"/>
        <v>1703.0845113630976</v>
      </c>
      <c r="M57" s="960">
        <f t="shared" ca="1" si="5"/>
        <v>1860.6372555350285</v>
      </c>
      <c r="N57" s="737"/>
    </row>
    <row r="58" spans="1:14" ht="13" x14ac:dyDescent="0.3">
      <c r="B58" s="228" t="s">
        <v>1896</v>
      </c>
      <c r="C58" s="958"/>
      <c r="D58" s="958"/>
      <c r="E58" s="958" t="s">
        <v>1897</v>
      </c>
      <c r="F58" s="229"/>
      <c r="G58" s="959">
        <f ca="1">'Manufacturing Costs'!G166+'Manufacturing Costs'!G167</f>
        <v>220</v>
      </c>
      <c r="H58" s="959">
        <f ca="1">'Manufacturing Costs'!H166+'Manufacturing Costs'!H167</f>
        <v>220</v>
      </c>
      <c r="I58" s="959">
        <f ca="1">'Manufacturing Costs'!I166+'Manufacturing Costs'!I167</f>
        <v>220</v>
      </c>
      <c r="J58" s="959">
        <f ca="1">'Manufacturing Costs'!J166+'Manufacturing Costs'!J167</f>
        <v>220</v>
      </c>
      <c r="K58" s="959">
        <f ca="1">'Manufacturing Costs'!K166+'Manufacturing Costs'!K167</f>
        <v>220</v>
      </c>
      <c r="L58" s="959">
        <f ca="1">'Manufacturing Costs'!L166+'Manufacturing Costs'!L167</f>
        <v>220</v>
      </c>
      <c r="M58" s="960">
        <f ca="1">'Manufacturing Costs'!M166+'Manufacturing Costs'!M167</f>
        <v>220</v>
      </c>
    </row>
    <row r="59" spans="1:14" ht="13" x14ac:dyDescent="0.3">
      <c r="A59" s="353"/>
      <c r="B59" s="228" t="s">
        <v>1898</v>
      </c>
      <c r="C59" s="958"/>
      <c r="D59" s="958"/>
      <c r="E59" s="958" t="s">
        <v>1899</v>
      </c>
      <c r="F59" s="229"/>
      <c r="G59" s="961">
        <f ca="1">'Manufacturing Costs'!G159</f>
        <v>14.035507150777415</v>
      </c>
      <c r="H59" s="961">
        <f ca="1">'Manufacturing Costs'!H159</f>
        <v>14.035507150777415</v>
      </c>
      <c r="I59" s="961">
        <f ca="1">'Manufacturing Costs'!I159</f>
        <v>14.082824466042636</v>
      </c>
      <c r="J59" s="961">
        <f ca="1">'Manufacturing Costs'!J159</f>
        <v>14.132044249085064</v>
      </c>
      <c r="K59" s="961">
        <f ca="1">'Manufacturing Costs'!K159</f>
        <v>14.264054193711893</v>
      </c>
      <c r="L59" s="961">
        <f ca="1">'Manufacturing Costs'!L159</f>
        <v>14.462048842461064</v>
      </c>
      <c r="M59" s="1237">
        <f ca="1">'Manufacturing Costs'!M159</f>
        <v>15.167632400679587</v>
      </c>
      <c r="N59" s="40"/>
    </row>
    <row r="60" spans="1:14" ht="13" x14ac:dyDescent="0.3">
      <c r="B60" s="228" t="s">
        <v>1900</v>
      </c>
      <c r="C60" s="958"/>
      <c r="D60" s="958"/>
      <c r="E60" s="958" t="s">
        <v>1901</v>
      </c>
      <c r="F60" s="229"/>
      <c r="G60" s="959">
        <f ca="1">'Manufacturing Costs'!G169</f>
        <v>355.60113966998904</v>
      </c>
      <c r="H60" s="959">
        <f ca="1">'Manufacturing Costs'!H169</f>
        <v>355.60113966998904</v>
      </c>
      <c r="I60" s="959">
        <f ca="1">'Manufacturing Costs'!I169</f>
        <v>355.60113966998904</v>
      </c>
      <c r="J60" s="959">
        <f ca="1">'Manufacturing Costs'!J169</f>
        <v>355.60113966998904</v>
      </c>
      <c r="K60" s="959">
        <f ca="1">'Manufacturing Costs'!K169</f>
        <v>355.60113966998904</v>
      </c>
      <c r="L60" s="959">
        <f ca="1">'Manufacturing Costs'!L169</f>
        <v>355.60113966998904</v>
      </c>
      <c r="M60" s="960">
        <f ca="1">'Manufacturing Costs'!M169</f>
        <v>355.60113966998904</v>
      </c>
    </row>
    <row r="61" spans="1:14" ht="13" x14ac:dyDescent="0.3">
      <c r="B61" s="228" t="s">
        <v>1902</v>
      </c>
      <c r="C61" s="958"/>
      <c r="D61" s="958"/>
      <c r="E61" s="958"/>
      <c r="F61" s="229"/>
      <c r="G61" s="959">
        <f ca="1">'Manufacturing Costs'!G512</f>
        <v>11009.0575007933</v>
      </c>
      <c r="H61" s="959">
        <f ca="1">'Manufacturing Costs'!H512</f>
        <v>11009.0575007933</v>
      </c>
      <c r="I61" s="959">
        <f ca="1">'Manufacturing Costs'!I512</f>
        <v>11098.998998697507</v>
      </c>
      <c r="J61" s="959">
        <f ca="1">'Manufacturing Costs'!J512</f>
        <v>11246.009696136083</v>
      </c>
      <c r="K61" s="959">
        <f ca="1">'Manufacturing Costs'!K512</f>
        <v>11481.926159031185</v>
      </c>
      <c r="L61" s="959">
        <f ca="1">'Manufacturing Costs'!L512</f>
        <v>11973.429473784283</v>
      </c>
      <c r="M61" s="959">
        <f ca="1">'Manufacturing Costs'!M512</f>
        <v>13631.350772872518</v>
      </c>
    </row>
    <row r="62" spans="1:14" ht="13" x14ac:dyDescent="0.3">
      <c r="B62" s="228" t="s">
        <v>1903</v>
      </c>
      <c r="C62" s="958"/>
      <c r="D62" s="958"/>
      <c r="E62" s="958" t="s">
        <v>1904</v>
      </c>
      <c r="F62" s="229"/>
      <c r="G62" s="959">
        <f ca="1">'Manufacturing Costs'!G174</f>
        <v>160</v>
      </c>
      <c r="H62" s="959">
        <f ca="1">'Manufacturing Costs'!H174</f>
        <v>160</v>
      </c>
      <c r="I62" s="959">
        <f ca="1">'Manufacturing Costs'!I174</f>
        <v>160</v>
      </c>
      <c r="J62" s="959">
        <f ca="1">'Manufacturing Costs'!J174</f>
        <v>160</v>
      </c>
      <c r="K62" s="959">
        <f ca="1">'Manufacturing Costs'!K174</f>
        <v>160</v>
      </c>
      <c r="L62" s="959">
        <f ca="1">'Manufacturing Costs'!L174</f>
        <v>160</v>
      </c>
      <c r="M62" s="960">
        <f ca="1">'Manufacturing Costs'!M174</f>
        <v>160</v>
      </c>
    </row>
    <row r="63" spans="1:14" ht="13" x14ac:dyDescent="0.3">
      <c r="B63" s="228" t="s">
        <v>1905</v>
      </c>
      <c r="C63" s="958"/>
      <c r="D63" s="958"/>
      <c r="E63" s="958"/>
      <c r="F63" s="229"/>
      <c r="G63" s="959">
        <f ca="1">SUM(G61:G62)</f>
        <v>11169.0575007933</v>
      </c>
      <c r="H63" s="959">
        <f t="shared" ref="H63:M63" ca="1" si="6">SUM(H61:H62)</f>
        <v>11169.0575007933</v>
      </c>
      <c r="I63" s="959">
        <f t="shared" ca="1" si="6"/>
        <v>11258.998998697507</v>
      </c>
      <c r="J63" s="959">
        <f t="shared" ca="1" si="6"/>
        <v>11406.009696136083</v>
      </c>
      <c r="K63" s="959">
        <f t="shared" ca="1" si="6"/>
        <v>11641.926159031185</v>
      </c>
      <c r="L63" s="959">
        <f t="shared" ca="1" si="6"/>
        <v>12133.429473784283</v>
      </c>
      <c r="M63" s="960">
        <f t="shared" ca="1" si="6"/>
        <v>13791.350772872518</v>
      </c>
    </row>
    <row r="64" spans="1:14" ht="13" x14ac:dyDescent="0.3">
      <c r="B64" s="228" t="s">
        <v>1906</v>
      </c>
      <c r="C64" s="958"/>
      <c r="D64" s="958"/>
      <c r="E64" s="958"/>
      <c r="F64" s="229"/>
      <c r="G64" s="962">
        <f t="shared" ref="G64:M64" ca="1" si="7">G52/G61</f>
        <v>0.71776540382691523</v>
      </c>
      <c r="H64" s="962">
        <f ca="1">H52/H61</f>
        <v>0.71776540382691523</v>
      </c>
      <c r="I64" s="962">
        <f t="shared" ca="1" si="7"/>
        <v>0.71940556812903189</v>
      </c>
      <c r="J64" s="962">
        <f t="shared" ca="1" si="7"/>
        <v>0.72184318964742755</v>
      </c>
      <c r="K64" s="962">
        <f t="shared" ca="1" si="7"/>
        <v>0.72593536640607814</v>
      </c>
      <c r="L64" s="962">
        <f t="shared" ca="1" si="7"/>
        <v>0.73362530693769501</v>
      </c>
      <c r="M64" s="963">
        <f t="shared" ca="1" si="7"/>
        <v>0.75505951657949588</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workbookViewId="0">
      <pane ySplit="6" topLeftCell="A7" activePane="bottomLeft" state="frozen"/>
      <selection pane="bottomLeft"/>
    </sheetView>
  </sheetViews>
  <sheetFormatPr defaultRowHeight="12.5" x14ac:dyDescent="0.25"/>
  <cols>
    <col min="2" max="2" width="39.54296875" customWidth="1"/>
    <col min="3" max="3" width="21" customWidth="1"/>
    <col min="4" max="4" width="16.453125" customWidth="1"/>
    <col min="5" max="5" width="17.453125" customWidth="1"/>
    <col min="6" max="6" width="13.453125" customWidth="1"/>
    <col min="7" max="7" width="16.54296875" customWidth="1"/>
    <col min="8" max="8" width="16.54296875" bestFit="1" customWidth="1"/>
    <col min="9" max="9" width="11.54296875" customWidth="1"/>
    <col min="10" max="10" width="12.54296875" bestFit="1" customWidth="1"/>
    <col min="11" max="11" width="5.453125" customWidth="1"/>
    <col min="12" max="12" width="10.54296875" customWidth="1"/>
    <col min="13" max="13" width="9.453125" customWidth="1"/>
    <col min="14" max="15" width="17.453125" bestFit="1" customWidth="1"/>
    <col min="16" max="18" width="12.453125" customWidth="1"/>
    <col min="19" max="19" width="9.54296875" customWidth="1"/>
    <col min="20" max="20" width="11.453125" bestFit="1" customWidth="1"/>
    <col min="21" max="21" width="60.54296875" customWidth="1"/>
    <col min="22" max="22" width="35.453125" customWidth="1"/>
    <col min="23" max="24" width="10.453125" bestFit="1" customWidth="1"/>
    <col min="25" max="25" width="27.54296875" customWidth="1"/>
    <col min="26" max="26" width="10.453125" customWidth="1"/>
    <col min="27" max="27" width="11.453125" customWidth="1"/>
    <col min="28" max="28" width="10.453125" customWidth="1"/>
    <col min="29" max="29" width="8.54296875" customWidth="1"/>
    <col min="31" max="39" width="11.54296875" bestFit="1" customWidth="1"/>
    <col min="42" max="42" width="59.54296875" customWidth="1"/>
    <col min="43" max="43" width="25.54296875" customWidth="1"/>
    <col min="46" max="46" width="18.54296875" customWidth="1"/>
    <col min="47" max="47" width="17" customWidth="1"/>
    <col min="48" max="48" width="16.453125" customWidth="1"/>
  </cols>
  <sheetData>
    <row r="1" spans="2:15" ht="18.5" thickBot="1" x14ac:dyDescent="0.45">
      <c r="B1" s="1505" t="s">
        <v>1909</v>
      </c>
      <c r="C1" s="1505"/>
      <c r="D1" s="1505"/>
      <c r="E1" s="1505"/>
      <c r="F1" s="1505"/>
      <c r="G1" s="1505"/>
      <c r="H1" s="1505"/>
      <c r="I1" s="1505"/>
      <c r="J1" s="1505"/>
      <c r="K1" s="1505"/>
      <c r="L1" s="1505"/>
      <c r="M1" s="1517"/>
      <c r="N1" s="1419" t="s">
        <v>6</v>
      </c>
      <c r="O1" s="1420"/>
    </row>
    <row r="2" spans="2:15" ht="16" thickBot="1" x14ac:dyDescent="0.4">
      <c r="B2" s="1424" t="str">
        <f>Dashboard!$D$33&amp;" with "&amp;Dashboard!$D$13&amp;" Electrodes"</f>
        <v>EV with NMC811-G (Energy) Electrodes</v>
      </c>
      <c r="C2" s="1425"/>
      <c r="D2" s="1425"/>
      <c r="E2" s="1425"/>
      <c r="F2" s="1425"/>
      <c r="G2" s="1425"/>
      <c r="H2" s="1425"/>
      <c r="I2" s="1425"/>
      <c r="J2" s="1425"/>
      <c r="K2" s="1425"/>
      <c r="L2" s="1425"/>
      <c r="M2" s="1426"/>
      <c r="N2" s="1241" t="s">
        <v>5</v>
      </c>
      <c r="O2" s="1242" t="s">
        <v>7</v>
      </c>
    </row>
    <row r="3" spans="2:15" ht="15.5" x14ac:dyDescent="0.35">
      <c r="B3" s="1445" t="s">
        <v>122</v>
      </c>
      <c r="C3" s="1445"/>
      <c r="D3" s="1445"/>
      <c r="E3" s="1445"/>
      <c r="F3" s="1445"/>
      <c r="G3" s="1445"/>
      <c r="H3" s="1445"/>
      <c r="I3" s="1445"/>
      <c r="J3" s="1445"/>
      <c r="K3" s="1445"/>
      <c r="L3" s="1445"/>
      <c r="M3" s="1446"/>
      <c r="N3" s="1243" t="s">
        <v>12</v>
      </c>
      <c r="O3" s="1242" t="s">
        <v>13</v>
      </c>
    </row>
    <row r="4" spans="2:15" ht="13" x14ac:dyDescent="0.3">
      <c r="B4" s="1447" t="s">
        <v>282</v>
      </c>
      <c r="C4" s="1447"/>
      <c r="D4" s="1447"/>
      <c r="E4" s="1447"/>
      <c r="F4" s="264"/>
      <c r="G4" s="1448" t="s">
        <v>9</v>
      </c>
      <c r="H4" s="1448"/>
      <c r="I4" s="1448"/>
      <c r="J4" s="1448"/>
      <c r="K4" s="1448"/>
      <c r="L4" s="1448"/>
      <c r="M4" s="1449"/>
      <c r="N4" s="1240" t="s">
        <v>14</v>
      </c>
      <c r="O4" s="1242" t="s">
        <v>15</v>
      </c>
    </row>
    <row r="5" spans="2:15" ht="13.5" thickBot="1" x14ac:dyDescent="0.35">
      <c r="B5" s="1450" t="s">
        <v>10</v>
      </c>
      <c r="C5" s="1450"/>
      <c r="D5" s="1450"/>
      <c r="E5" s="1450"/>
      <c r="F5" s="254"/>
      <c r="G5" s="1451" t="s">
        <v>11</v>
      </c>
      <c r="H5" s="1451"/>
      <c r="I5" s="1451"/>
      <c r="J5" s="1451"/>
      <c r="K5" s="1451"/>
      <c r="L5" s="1451"/>
      <c r="M5" s="1452"/>
      <c r="N5" s="1240" t="s">
        <v>17</v>
      </c>
      <c r="O5" s="1246" t="s">
        <v>18</v>
      </c>
    </row>
    <row r="6" spans="2:15" ht="13" thickBot="1" x14ac:dyDescent="0.3">
      <c r="F6" s="5"/>
      <c r="N6" s="1244" t="s">
        <v>22</v>
      </c>
      <c r="O6" s="1245" t="s">
        <v>23</v>
      </c>
    </row>
    <row r="7" spans="2:15" ht="20.5" thickBot="1" x14ac:dyDescent="0.45">
      <c r="B7" s="1453" t="s">
        <v>1910</v>
      </c>
      <c r="C7" s="1454"/>
      <c r="D7" s="1454"/>
      <c r="E7" s="1454"/>
      <c r="F7" s="1454"/>
      <c r="G7" s="1454"/>
      <c r="H7" s="1454"/>
      <c r="I7" s="1454"/>
      <c r="J7" s="1454"/>
      <c r="K7" s="1454"/>
      <c r="L7" s="1454"/>
      <c r="M7" s="1455"/>
    </row>
    <row r="8" spans="2:15" ht="14.5" x14ac:dyDescent="0.35">
      <c r="B8" s="630"/>
      <c r="D8" s="886"/>
    </row>
    <row r="9" spans="2:15" ht="13" x14ac:dyDescent="0.3">
      <c r="B9" s="88" t="s">
        <v>1911</v>
      </c>
      <c r="C9" s="1518" t="s">
        <v>1912</v>
      </c>
      <c r="D9" s="1518"/>
    </row>
    <row r="11" spans="2:15" ht="13" x14ac:dyDescent="0.25">
      <c r="B11" s="353"/>
      <c r="C11" s="906" t="s">
        <v>1913</v>
      </c>
      <c r="D11" s="906" t="s">
        <v>1914</v>
      </c>
    </row>
    <row r="12" spans="2:15" x14ac:dyDescent="0.25">
      <c r="B12" s="353" t="s">
        <v>1915</v>
      </c>
      <c r="C12" s="910" t="s">
        <v>700</v>
      </c>
      <c r="D12" s="910" t="s">
        <v>279</v>
      </c>
    </row>
    <row r="13" spans="2:15" ht="14.5" x14ac:dyDescent="0.35">
      <c r="B13" s="630"/>
    </row>
    <row r="14" spans="2:15" ht="14" x14ac:dyDescent="0.3">
      <c r="B14" s="86" t="s">
        <v>300</v>
      </c>
      <c r="D14" s="906"/>
      <c r="E14" s="906"/>
      <c r="F14" s="1380"/>
    </row>
    <row r="15" spans="2:15" x14ac:dyDescent="0.25">
      <c r="B15" s="353" t="s">
        <v>1916</v>
      </c>
      <c r="D15" s="889" t="str">
        <f>IF($C$9 = "Create New Couple", C12, Chem!$C$7)</f>
        <v>NMC811</v>
      </c>
    </row>
    <row r="16" spans="2:15" x14ac:dyDescent="0.25">
      <c r="B16" s="353" t="s">
        <v>1917</v>
      </c>
      <c r="D16" s="174">
        <f>MATCH(D15,Lists!$O$63:$AG$63, 0)</f>
        <v>4</v>
      </c>
    </row>
    <row r="17" spans="2:39" ht="13.5" customHeight="1" x14ac:dyDescent="0.25">
      <c r="B17" s="353" t="s">
        <v>1918</v>
      </c>
      <c r="D17" s="174" t="str" cm="1">
        <f t="array" ref="D17">IF(INDEX(Lists!$O$65:$AG$65, D16) = "positive", "good", "problem with couple")</f>
        <v>good</v>
      </c>
    </row>
    <row r="18" spans="2:39" ht="14" x14ac:dyDescent="0.3">
      <c r="B18" s="353" t="s">
        <v>1919</v>
      </c>
      <c r="D18" s="907">
        <v>0.05</v>
      </c>
      <c r="S18" s="631"/>
    </row>
    <row r="19" spans="2:39" ht="14" x14ac:dyDescent="0.3">
      <c r="S19" s="631"/>
    </row>
    <row r="20" spans="2:39" ht="14" x14ac:dyDescent="0.3">
      <c r="B20" s="86" t="s">
        <v>309</v>
      </c>
      <c r="S20" s="631"/>
    </row>
    <row r="21" spans="2:39" x14ac:dyDescent="0.25">
      <c r="B21" s="353" t="s">
        <v>1916</v>
      </c>
      <c r="D21" s="889" t="str">
        <f>IF($C$9 = "Create New Couple", D12,Chem!C35)</f>
        <v>G</v>
      </c>
      <c r="S21" s="632"/>
      <c r="AC21" s="65"/>
    </row>
    <row r="22" spans="2:39" x14ac:dyDescent="0.25">
      <c r="B22" s="353" t="s">
        <v>1917</v>
      </c>
      <c r="D22" s="174">
        <f>MATCH(D21,Lists!$O$63:$AG$63, 0)</f>
        <v>9</v>
      </c>
      <c r="S22" s="632"/>
      <c r="AC22" s="65"/>
    </row>
    <row r="23" spans="2:39" x14ac:dyDescent="0.25">
      <c r="B23" s="353" t="s">
        <v>1918</v>
      </c>
      <c r="D23" s="174" t="str" cm="1">
        <f t="array" ref="D23">IF(INDEX(Lists!$O$65:$AG$65, D22) = "negative", "good", "problem with couple")</f>
        <v>good</v>
      </c>
      <c r="S23" s="632"/>
      <c r="AC23" s="65"/>
    </row>
    <row r="24" spans="2:39" x14ac:dyDescent="0.25">
      <c r="B24" s="353" t="s">
        <v>1920</v>
      </c>
      <c r="D24" s="907">
        <v>0.01</v>
      </c>
      <c r="S24" s="632"/>
      <c r="Z24">
        <f>1</f>
        <v>1</v>
      </c>
      <c r="AC24" s="65"/>
    </row>
    <row r="25" spans="2:39" x14ac:dyDescent="0.25">
      <c r="B25" s="61" t="s">
        <v>1921</v>
      </c>
      <c r="D25" s="908">
        <v>20</v>
      </c>
      <c r="S25" s="632"/>
      <c r="AC25" s="65"/>
    </row>
    <row r="26" spans="2:39" ht="14.5" x14ac:dyDescent="0.25">
      <c r="B26" s="61" t="s">
        <v>1922</v>
      </c>
      <c r="D26" s="909">
        <v>0.01</v>
      </c>
      <c r="AC26" s="55"/>
    </row>
    <row r="27" spans="2:39" ht="14" x14ac:dyDescent="0.3">
      <c r="S27" s="631"/>
      <c r="AC27" s="37"/>
      <c r="AE27" s="55"/>
      <c r="AF27" s="55"/>
      <c r="AG27" s="55"/>
      <c r="AH27" s="55"/>
      <c r="AI27" s="55"/>
      <c r="AJ27" s="55"/>
      <c r="AM27" s="55"/>
    </row>
    <row r="28" spans="2:39" ht="14" x14ac:dyDescent="0.3">
      <c r="B28" s="86" t="s">
        <v>1923</v>
      </c>
      <c r="D28" s="353"/>
      <c r="E28" s="353"/>
      <c r="S28" s="633"/>
      <c r="AC28" s="37"/>
      <c r="AE28" s="55"/>
      <c r="AF28" s="55"/>
      <c r="AG28" s="55"/>
      <c r="AH28" s="55"/>
      <c r="AI28" s="55"/>
      <c r="AJ28" s="55"/>
      <c r="AK28" s="55"/>
      <c r="AL28" s="55"/>
      <c r="AM28" s="55"/>
    </row>
    <row r="29" spans="2:39" x14ac:dyDescent="0.25">
      <c r="B29" s="353" t="s">
        <v>1924</v>
      </c>
      <c r="D29" s="909">
        <v>1.1000000000000001</v>
      </c>
      <c r="E29" s="353"/>
      <c r="S29" s="633"/>
      <c r="AC29" s="37"/>
      <c r="AE29" s="55"/>
      <c r="AF29" s="55"/>
      <c r="AG29" s="55"/>
      <c r="AH29" s="55"/>
      <c r="AI29" s="55"/>
      <c r="AJ29" s="55"/>
      <c r="AK29" s="55"/>
      <c r="AL29" s="55"/>
      <c r="AM29" s="55"/>
    </row>
    <row r="30" spans="2:39" x14ac:dyDescent="0.25">
      <c r="B30" s="353" t="s">
        <v>1925</v>
      </c>
      <c r="D30" s="909">
        <v>4.25</v>
      </c>
      <c r="E30" s="353"/>
      <c r="S30" s="219"/>
      <c r="AC30" s="37"/>
      <c r="AE30" s="55"/>
      <c r="AF30" s="55"/>
      <c r="AG30" s="55"/>
      <c r="AH30" s="55"/>
      <c r="AI30" s="55"/>
      <c r="AJ30" s="55"/>
      <c r="AK30" s="55"/>
      <c r="AL30" s="55"/>
      <c r="AM30" s="55"/>
    </row>
    <row r="31" spans="2:39" ht="15.65" customHeight="1" x14ac:dyDescent="0.25">
      <c r="S31" s="634"/>
      <c r="AC31" s="37"/>
      <c r="AE31" s="55"/>
      <c r="AF31" s="55"/>
      <c r="AG31" s="55"/>
      <c r="AH31" s="55"/>
      <c r="AI31" s="55"/>
      <c r="AJ31" s="55"/>
      <c r="AK31" s="55"/>
      <c r="AL31" s="55"/>
      <c r="AM31" s="55"/>
    </row>
    <row r="32" spans="2:39" ht="16" thickBot="1" x14ac:dyDescent="0.4">
      <c r="D32" s="29"/>
      <c r="S32" s="216"/>
      <c r="AC32" s="37"/>
      <c r="AE32" s="55"/>
      <c r="AF32" s="55"/>
      <c r="AG32" s="55"/>
      <c r="AH32" s="55"/>
      <c r="AI32" s="55"/>
      <c r="AJ32" s="55"/>
      <c r="AK32" s="55"/>
      <c r="AL32" s="55"/>
      <c r="AM32" s="55"/>
    </row>
    <row r="33" spans="2:39" ht="20.5" thickBot="1" x14ac:dyDescent="0.45">
      <c r="B33" s="1453" t="s">
        <v>1926</v>
      </c>
      <c r="C33" s="1454"/>
      <c r="D33" s="1454"/>
      <c r="E33" s="1454"/>
      <c r="F33" s="1454"/>
      <c r="G33" s="1454"/>
      <c r="H33" s="1454"/>
      <c r="I33" s="1454"/>
      <c r="J33" s="1454"/>
      <c r="K33" s="1454"/>
      <c r="L33" s="1454"/>
      <c r="M33" s="1455"/>
      <c r="AC33" s="37"/>
      <c r="AE33" s="55"/>
      <c r="AF33" s="55"/>
      <c r="AG33" s="55"/>
      <c r="AH33" s="55"/>
      <c r="AI33" s="55"/>
      <c r="AJ33" s="55"/>
      <c r="AK33" s="55"/>
      <c r="AL33" s="55"/>
      <c r="AM33" s="55"/>
    </row>
    <row r="34" spans="2:39" x14ac:dyDescent="0.25">
      <c r="AC34" s="37"/>
      <c r="AE34" s="55"/>
      <c r="AF34" s="55"/>
      <c r="AG34" s="55"/>
      <c r="AH34" s="55"/>
      <c r="AI34" s="55"/>
      <c r="AJ34" s="55"/>
      <c r="AK34" s="55"/>
      <c r="AL34" s="55"/>
      <c r="AM34" s="55"/>
    </row>
    <row r="35" spans="2:39" ht="14.5" x14ac:dyDescent="0.35">
      <c r="B35" s="630"/>
      <c r="C35" s="630"/>
      <c r="AC35" s="37"/>
      <c r="AE35" s="55"/>
      <c r="AF35" s="55"/>
      <c r="AG35" s="55"/>
      <c r="AH35" s="55"/>
      <c r="AI35" s="55"/>
      <c r="AJ35" s="55"/>
      <c r="AK35" s="55"/>
      <c r="AL35" s="55"/>
      <c r="AM35" s="55"/>
    </row>
    <row r="36" spans="2:39" x14ac:dyDescent="0.25">
      <c r="AC36" s="37"/>
      <c r="AE36" s="55"/>
      <c r="AF36" s="55"/>
      <c r="AG36" s="55"/>
      <c r="AH36" s="55"/>
      <c r="AI36" s="55"/>
      <c r="AJ36" s="55"/>
      <c r="AK36" s="55"/>
      <c r="AL36" s="55"/>
      <c r="AM36" s="55"/>
    </row>
    <row r="37" spans="2:39" x14ac:dyDescent="0.25">
      <c r="AC37" s="37"/>
      <c r="AE37" s="55"/>
      <c r="AF37" s="55"/>
      <c r="AG37" s="55"/>
      <c r="AH37" s="55"/>
      <c r="AI37" s="55"/>
      <c r="AJ37" s="55"/>
      <c r="AK37" s="55"/>
      <c r="AL37" s="55"/>
      <c r="AM37" s="55"/>
    </row>
    <row r="38" spans="2:39" x14ac:dyDescent="0.25">
      <c r="AC38" s="37"/>
      <c r="AE38" s="55"/>
      <c r="AF38" s="55"/>
      <c r="AG38" s="55"/>
      <c r="AH38" s="55"/>
      <c r="AI38" s="55"/>
      <c r="AJ38" s="55"/>
      <c r="AK38" s="55"/>
      <c r="AL38" s="55"/>
      <c r="AM38" s="55"/>
    </row>
    <row r="39" spans="2:39" x14ac:dyDescent="0.25">
      <c r="AC39" s="37"/>
      <c r="AE39" s="55"/>
      <c r="AF39" s="55"/>
      <c r="AG39" s="55"/>
      <c r="AH39" s="55"/>
      <c r="AI39" s="55"/>
      <c r="AJ39" s="55"/>
      <c r="AK39" s="55"/>
      <c r="AL39" s="55"/>
      <c r="AM39" s="55"/>
    </row>
    <row r="40" spans="2:39" x14ac:dyDescent="0.25">
      <c r="AC40" s="37"/>
      <c r="AE40" s="55"/>
      <c r="AF40" s="55"/>
      <c r="AG40" s="55"/>
      <c r="AH40" s="55"/>
      <c r="AI40" s="55"/>
      <c r="AJ40" s="55"/>
      <c r="AK40" s="55"/>
      <c r="AL40" s="55"/>
      <c r="AM40" s="55"/>
    </row>
    <row r="41" spans="2:39" x14ac:dyDescent="0.25">
      <c r="AC41" s="37"/>
      <c r="AE41" s="55"/>
      <c r="AF41" s="55"/>
      <c r="AG41" s="55"/>
      <c r="AH41" s="55"/>
      <c r="AI41" s="55"/>
      <c r="AJ41" s="55"/>
      <c r="AK41" s="55"/>
      <c r="AL41" s="55"/>
      <c r="AM41" s="55"/>
    </row>
    <row r="42" spans="2:39" ht="18" customHeight="1" x14ac:dyDescent="0.4">
      <c r="N42" s="712"/>
      <c r="AC42" s="37"/>
      <c r="AE42" s="55"/>
      <c r="AF42" s="55"/>
      <c r="AG42" s="55"/>
      <c r="AH42" s="55"/>
      <c r="AI42" s="55"/>
      <c r="AJ42" s="55"/>
      <c r="AK42" s="55"/>
      <c r="AL42" s="55"/>
      <c r="AM42" s="55"/>
    </row>
    <row r="43" spans="2:39" ht="13.4" customHeight="1" x14ac:dyDescent="0.25">
      <c r="AC43" s="37"/>
      <c r="AE43" s="55"/>
      <c r="AF43" s="55"/>
      <c r="AG43" s="55"/>
      <c r="AH43" s="55"/>
      <c r="AI43" s="55"/>
      <c r="AJ43" s="55"/>
      <c r="AK43" s="55"/>
      <c r="AL43" s="55"/>
      <c r="AM43" s="55"/>
    </row>
    <row r="44" spans="2:39" ht="13.4" customHeight="1" x14ac:dyDescent="0.25">
      <c r="AC44" s="37"/>
      <c r="AE44" s="55"/>
      <c r="AF44" s="55"/>
      <c r="AG44" s="55"/>
      <c r="AH44" s="55"/>
      <c r="AI44" s="55"/>
      <c r="AJ44" s="55"/>
      <c r="AK44" s="55"/>
      <c r="AL44" s="55"/>
      <c r="AM44" s="55"/>
    </row>
    <row r="45" spans="2:39" ht="13" thickBot="1" x14ac:dyDescent="0.3">
      <c r="AC45" s="37"/>
      <c r="AE45" s="55"/>
      <c r="AF45" s="55"/>
      <c r="AG45" s="55"/>
      <c r="AH45" s="55"/>
      <c r="AI45" s="55"/>
      <c r="AJ45" s="55"/>
      <c r="AK45" s="55"/>
      <c r="AL45" s="55"/>
      <c r="AM45" s="55"/>
    </row>
    <row r="46" spans="2:39" ht="20.5" thickBot="1" x14ac:dyDescent="0.45">
      <c r="B46" s="1453" t="s">
        <v>1927</v>
      </c>
      <c r="C46" s="1454"/>
      <c r="D46" s="1454"/>
      <c r="E46" s="1454"/>
      <c r="F46" s="1454"/>
      <c r="G46" s="1454"/>
      <c r="H46" s="1454"/>
      <c r="I46" s="1454"/>
      <c r="J46" s="1454"/>
      <c r="K46" s="1454"/>
      <c r="L46" s="1454"/>
      <c r="M46" s="1455"/>
      <c r="AC46" s="37"/>
      <c r="AE46" s="55"/>
      <c r="AF46" s="55"/>
      <c r="AG46" s="55"/>
      <c r="AH46" s="55"/>
      <c r="AI46" s="55"/>
      <c r="AJ46" s="55"/>
      <c r="AK46" s="55"/>
      <c r="AL46" s="55"/>
      <c r="AM46" s="55"/>
    </row>
    <row r="47" spans="2:39" ht="13.4" customHeight="1" x14ac:dyDescent="0.25">
      <c r="AC47" s="37"/>
      <c r="AE47" s="55"/>
      <c r="AF47" s="55"/>
      <c r="AG47" s="55"/>
      <c r="AH47" s="55"/>
      <c r="AI47" s="55"/>
      <c r="AJ47" s="55"/>
      <c r="AK47" s="55"/>
      <c r="AL47" s="55"/>
      <c r="AM47" s="55"/>
    </row>
    <row r="48" spans="2:39" ht="13.4" customHeight="1" x14ac:dyDescent="0.25">
      <c r="AC48" s="37"/>
      <c r="AE48" s="55"/>
      <c r="AF48" s="55"/>
      <c r="AG48" s="55"/>
      <c r="AH48" s="55"/>
      <c r="AI48" s="55"/>
      <c r="AJ48" s="55"/>
      <c r="AK48" s="55"/>
      <c r="AL48" s="55"/>
      <c r="AM48" s="55"/>
    </row>
    <row r="49" spans="2:39" x14ac:dyDescent="0.25">
      <c r="B49" s="61" t="s">
        <v>1928</v>
      </c>
      <c r="C49" s="353"/>
      <c r="D49" s="353"/>
      <c r="E49" s="896">
        <f ca="1">E144</f>
        <v>207.96803994069407</v>
      </c>
      <c r="AC49" s="37"/>
      <c r="AE49" s="55"/>
      <c r="AF49" s="55"/>
      <c r="AG49" s="55"/>
      <c r="AH49" s="55"/>
      <c r="AI49" s="55"/>
      <c r="AJ49" s="55"/>
      <c r="AK49" s="55"/>
      <c r="AL49" s="55"/>
      <c r="AM49" s="55"/>
    </row>
    <row r="50" spans="2:39" x14ac:dyDescent="0.25">
      <c r="B50" s="61" t="s">
        <v>1929</v>
      </c>
      <c r="C50" s="353"/>
      <c r="D50" s="353"/>
      <c r="E50" s="896">
        <f ca="1">E143</f>
        <v>360.73504030384282</v>
      </c>
      <c r="AC50" s="37"/>
      <c r="AE50" s="55"/>
      <c r="AF50" s="55"/>
      <c r="AG50" s="55"/>
      <c r="AH50" s="55"/>
      <c r="AI50" s="55"/>
      <c r="AJ50" s="55"/>
      <c r="AK50" s="55"/>
      <c r="AL50" s="55"/>
      <c r="AM50" s="55"/>
    </row>
    <row r="51" spans="2:39" x14ac:dyDescent="0.25">
      <c r="B51" s="353" t="s">
        <v>1930</v>
      </c>
      <c r="C51" s="353"/>
      <c r="D51" s="353"/>
      <c r="E51" s="897">
        <f ca="1">E146</f>
        <v>1.0999999999999981</v>
      </c>
      <c r="AC51" s="37"/>
      <c r="AE51" s="55"/>
      <c r="AF51" s="55"/>
      <c r="AG51" s="55"/>
      <c r="AH51" s="55"/>
      <c r="AI51" s="55"/>
      <c r="AJ51" s="55"/>
      <c r="AK51" s="55"/>
      <c r="AL51" s="55"/>
      <c r="AM51" s="55"/>
    </row>
    <row r="52" spans="2:39" ht="13.4" customHeight="1" x14ac:dyDescent="0.25">
      <c r="AC52" s="37"/>
      <c r="AE52" s="55"/>
      <c r="AF52" s="55"/>
      <c r="AG52" s="55"/>
      <c r="AH52" s="55"/>
      <c r="AI52" s="55"/>
      <c r="AJ52" s="55"/>
      <c r="AK52" s="55"/>
      <c r="AL52" s="55"/>
      <c r="AM52" s="55"/>
    </row>
    <row r="53" spans="2:39" ht="13.4" customHeight="1" x14ac:dyDescent="0.25">
      <c r="AC53" s="37"/>
      <c r="AE53" s="55"/>
      <c r="AF53" s="55"/>
      <c r="AG53" s="55"/>
      <c r="AH53" s="55"/>
      <c r="AI53" s="55"/>
      <c r="AJ53" s="55"/>
      <c r="AK53" s="55"/>
      <c r="AL53" s="55"/>
      <c r="AM53" s="55"/>
    </row>
    <row r="54" spans="2:39" ht="14.9" customHeight="1" x14ac:dyDescent="0.3">
      <c r="B54" s="1499" t="s">
        <v>1931</v>
      </c>
      <c r="C54" s="1500"/>
      <c r="D54" s="1500"/>
      <c r="E54" s="1501"/>
      <c r="AC54" s="37"/>
      <c r="AE54" s="55"/>
      <c r="AF54" s="55"/>
      <c r="AG54" s="55"/>
      <c r="AH54" s="55"/>
      <c r="AI54" s="55"/>
      <c r="AJ54" s="55"/>
      <c r="AK54" s="55"/>
      <c r="AL54" s="55"/>
      <c r="AM54" s="55"/>
    </row>
    <row r="55" spans="2:39" x14ac:dyDescent="0.25">
      <c r="B55" s="269" t="s">
        <v>1932</v>
      </c>
      <c r="C55" s="269" t="s">
        <v>1933</v>
      </c>
      <c r="D55" s="269" t="s">
        <v>1934</v>
      </c>
      <c r="E55" s="269" t="s">
        <v>30</v>
      </c>
      <c r="AC55" s="37"/>
      <c r="AE55" s="55"/>
      <c r="AF55" s="55"/>
      <c r="AG55" s="55"/>
      <c r="AH55" s="55"/>
      <c r="AI55" s="55"/>
      <c r="AJ55" s="55"/>
      <c r="AK55" s="55"/>
      <c r="AL55" s="55"/>
      <c r="AM55" s="55"/>
    </row>
    <row r="56" spans="2:39" x14ac:dyDescent="0.25">
      <c r="B56" s="889">
        <v>0</v>
      </c>
      <c r="C56" s="893">
        <f ca="1">IF(E56= "", D56, E56)</f>
        <v>3.0262127925947455</v>
      </c>
      <c r="D56" s="894">
        <f t="shared" ref="D56:D66" ca="1" si="0">E208</f>
        <v>3.0262127925947455</v>
      </c>
      <c r="E56" s="895"/>
      <c r="AC56" s="37"/>
      <c r="AE56" s="55"/>
      <c r="AF56" s="55"/>
      <c r="AG56" s="55"/>
      <c r="AH56" s="55"/>
      <c r="AI56" s="55"/>
      <c r="AJ56" s="55"/>
      <c r="AK56" s="55"/>
      <c r="AL56" s="55"/>
      <c r="AM56" s="55"/>
    </row>
    <row r="57" spans="2:39" ht="14" x14ac:dyDescent="0.3">
      <c r="B57" s="889">
        <v>10</v>
      </c>
      <c r="C57" s="893">
        <f t="shared" ref="C57:C66" ca="1" si="1">IF(E57= "", D57, E57)</f>
        <v>3.4793241179388836</v>
      </c>
      <c r="D57" s="894">
        <f t="shared" ca="1" si="0"/>
        <v>3.4793241179388836</v>
      </c>
      <c r="E57" s="895"/>
      <c r="K57" s="631"/>
      <c r="L57" s="631"/>
      <c r="M57" s="631"/>
      <c r="N57" s="631"/>
      <c r="AC57" s="37"/>
      <c r="AE57" s="55"/>
      <c r="AF57" s="55"/>
      <c r="AG57" s="55"/>
      <c r="AH57" s="55"/>
      <c r="AI57" s="55"/>
      <c r="AJ57" s="55"/>
      <c r="AK57" s="55"/>
      <c r="AL57" s="55"/>
      <c r="AM57" s="55"/>
    </row>
    <row r="58" spans="2:39" ht="14" x14ac:dyDescent="0.3">
      <c r="B58" s="889">
        <v>20</v>
      </c>
      <c r="C58" s="893">
        <f t="shared" ca="1" si="1"/>
        <v>3.5561201652113983</v>
      </c>
      <c r="D58" s="894">
        <f t="shared" ca="1" si="0"/>
        <v>3.5561201652113983</v>
      </c>
      <c r="E58" s="895"/>
      <c r="K58" s="631"/>
      <c r="L58" s="631"/>
      <c r="M58" s="631"/>
      <c r="N58" s="631"/>
      <c r="AC58" s="37"/>
      <c r="AE58" s="55"/>
      <c r="AF58" s="55"/>
      <c r="AG58" s="55"/>
      <c r="AH58" s="55"/>
      <c r="AI58" s="55"/>
      <c r="AJ58" s="55"/>
      <c r="AK58" s="55"/>
      <c r="AL58" s="55"/>
      <c r="AM58" s="55"/>
    </row>
    <row r="59" spans="2:39" ht="14" x14ac:dyDescent="0.3">
      <c r="B59" s="889">
        <v>30</v>
      </c>
      <c r="C59" s="893">
        <f t="shared" ca="1" si="1"/>
        <v>3.6174188611263811</v>
      </c>
      <c r="D59" s="894">
        <f t="shared" ca="1" si="0"/>
        <v>3.6174188611263811</v>
      </c>
      <c r="E59" s="895"/>
      <c r="K59" s="631"/>
      <c r="L59" s="631"/>
      <c r="M59" s="631"/>
      <c r="N59" s="631"/>
      <c r="AC59" s="37"/>
      <c r="AE59" s="55"/>
      <c r="AF59" s="55"/>
      <c r="AG59" s="55"/>
      <c r="AH59" s="55"/>
      <c r="AI59" s="55"/>
      <c r="AJ59" s="55"/>
      <c r="AK59" s="55"/>
      <c r="AL59" s="55"/>
      <c r="AM59" s="55"/>
    </row>
    <row r="60" spans="2:39" x14ac:dyDescent="0.25">
      <c r="B60" s="889">
        <v>40</v>
      </c>
      <c r="C60" s="893">
        <f t="shared" ca="1" si="1"/>
        <v>3.6578482676000217</v>
      </c>
      <c r="D60" s="894">
        <f t="shared" ca="1" si="0"/>
        <v>3.6578482676000217</v>
      </c>
      <c r="E60" s="895"/>
      <c r="K60" s="632"/>
      <c r="L60" s="632"/>
      <c r="M60" s="632"/>
      <c r="N60" s="632"/>
      <c r="AC60" s="37"/>
      <c r="AE60" s="55"/>
      <c r="AF60" s="55"/>
      <c r="AG60" s="55"/>
      <c r="AH60" s="55"/>
      <c r="AI60" s="55"/>
      <c r="AJ60" s="55"/>
      <c r="AK60" s="55"/>
      <c r="AL60" s="55"/>
      <c r="AM60" s="55"/>
    </row>
    <row r="61" spans="2:39" x14ac:dyDescent="0.25">
      <c r="B61" s="889">
        <v>50</v>
      </c>
      <c r="C61" s="893">
        <f t="shared" ca="1" si="1"/>
        <v>3.7131865578008507</v>
      </c>
      <c r="D61" s="894">
        <f t="shared" ca="1" si="0"/>
        <v>3.7131865578008507</v>
      </c>
      <c r="E61" s="895"/>
      <c r="AC61" s="37"/>
      <c r="AE61" s="55"/>
      <c r="AF61" s="55"/>
      <c r="AG61" s="55"/>
      <c r="AH61" s="55"/>
      <c r="AI61" s="55"/>
      <c r="AJ61" s="55"/>
      <c r="AK61" s="55"/>
      <c r="AL61" s="55"/>
      <c r="AM61" s="55"/>
    </row>
    <row r="62" spans="2:39" ht="14" x14ac:dyDescent="0.3">
      <c r="B62" s="889">
        <v>60</v>
      </c>
      <c r="C62" s="893">
        <f t="shared" ca="1" si="1"/>
        <v>3.8094496429625218</v>
      </c>
      <c r="D62" s="894">
        <f t="shared" ca="1" si="0"/>
        <v>3.8094496429625218</v>
      </c>
      <c r="E62" s="895"/>
      <c r="K62" s="631"/>
      <c r="L62" s="631"/>
      <c r="M62" s="631"/>
      <c r="N62" s="631"/>
      <c r="AC62" s="37"/>
      <c r="AE62" s="55"/>
      <c r="AF62" s="55"/>
      <c r="AG62" s="55"/>
      <c r="AH62" s="55"/>
      <c r="AI62" s="55"/>
      <c r="AJ62" s="55"/>
      <c r="AK62" s="55"/>
      <c r="AL62" s="55"/>
      <c r="AM62" s="55"/>
    </row>
    <row r="63" spans="2:39" x14ac:dyDescent="0.25">
      <c r="B63" s="889">
        <v>70</v>
      </c>
      <c r="C63" s="893">
        <f t="shared" ca="1" si="1"/>
        <v>3.9163731003255546</v>
      </c>
      <c r="D63" s="894">
        <f t="shared" ca="1" si="0"/>
        <v>3.9163731003255546</v>
      </c>
      <c r="E63" s="895"/>
      <c r="K63" s="633"/>
      <c r="L63" s="633"/>
      <c r="M63" s="633"/>
      <c r="N63" s="633"/>
      <c r="AC63" s="37"/>
      <c r="AE63" s="55"/>
      <c r="AF63" s="55"/>
      <c r="AG63" s="55"/>
      <c r="AH63" s="55"/>
      <c r="AI63" s="55"/>
      <c r="AJ63" s="55"/>
      <c r="AK63" s="55"/>
      <c r="AL63" s="55"/>
      <c r="AM63" s="55"/>
    </row>
    <row r="64" spans="2:39" x14ac:dyDescent="0.25">
      <c r="B64" s="889">
        <v>80</v>
      </c>
      <c r="C64" s="893">
        <f t="shared" ca="1" si="1"/>
        <v>4.0317096614426253</v>
      </c>
      <c r="D64" s="894">
        <f t="shared" ca="1" si="0"/>
        <v>4.0317096614426253</v>
      </c>
      <c r="E64" s="895"/>
      <c r="K64" s="633"/>
      <c r="L64" s="633"/>
      <c r="M64" s="633"/>
      <c r="N64" s="633"/>
      <c r="AC64" s="37"/>
      <c r="AE64" s="55"/>
      <c r="AF64" s="55"/>
      <c r="AG64" s="55"/>
      <c r="AH64" s="55"/>
      <c r="AI64" s="55"/>
      <c r="AJ64" s="55"/>
      <c r="AK64" s="55"/>
      <c r="AL64" s="55"/>
      <c r="AM64" s="55"/>
    </row>
    <row r="65" spans="2:39" x14ac:dyDescent="0.25">
      <c r="B65" s="889">
        <v>90</v>
      </c>
      <c r="C65" s="893">
        <f t="shared" ca="1" si="1"/>
        <v>4.1310560423721885</v>
      </c>
      <c r="D65" s="894">
        <f t="shared" ca="1" si="0"/>
        <v>4.1310560423721885</v>
      </c>
      <c r="E65" s="895"/>
      <c r="K65" s="219"/>
      <c r="L65" s="219"/>
      <c r="M65" s="219"/>
      <c r="N65" s="219"/>
      <c r="AC65" s="37"/>
      <c r="AE65" s="55"/>
      <c r="AF65" s="55"/>
      <c r="AG65" s="55"/>
      <c r="AH65" s="55"/>
      <c r="AI65" s="55"/>
      <c r="AJ65" s="55"/>
      <c r="AK65" s="55"/>
      <c r="AL65" s="55"/>
      <c r="AM65" s="55"/>
    </row>
    <row r="66" spans="2:39" x14ac:dyDescent="0.25">
      <c r="B66" s="889">
        <v>100</v>
      </c>
      <c r="C66" s="893">
        <f t="shared" ca="1" si="1"/>
        <v>4.2499999999999982</v>
      </c>
      <c r="D66" s="894">
        <f t="shared" ca="1" si="0"/>
        <v>4.2499999999999982</v>
      </c>
      <c r="E66" s="895"/>
      <c r="K66" s="634"/>
      <c r="L66" s="634"/>
      <c r="M66" s="634"/>
      <c r="N66" s="634"/>
      <c r="AC66" s="37"/>
      <c r="AE66" s="55"/>
      <c r="AF66" s="55"/>
      <c r="AG66" s="55"/>
      <c r="AH66" s="55"/>
      <c r="AI66" s="55"/>
      <c r="AJ66" s="55"/>
      <c r="AK66" s="55"/>
      <c r="AL66" s="55"/>
      <c r="AM66" s="55"/>
    </row>
    <row r="67" spans="2:39" x14ac:dyDescent="0.25">
      <c r="K67" s="216"/>
      <c r="L67" s="216"/>
      <c r="M67" s="216"/>
      <c r="N67" s="216"/>
      <c r="AC67" s="37"/>
      <c r="AE67" s="55"/>
      <c r="AF67" s="55"/>
      <c r="AG67" s="55"/>
      <c r="AH67" s="55"/>
      <c r="AI67" s="55"/>
      <c r="AJ67" s="55"/>
      <c r="AK67" s="55"/>
      <c r="AL67" s="55"/>
      <c r="AM67" s="55"/>
    </row>
    <row r="68" spans="2:39" x14ac:dyDescent="0.25">
      <c r="AC68" s="37"/>
      <c r="AE68" s="55"/>
      <c r="AF68" s="55"/>
      <c r="AG68" s="55"/>
      <c r="AH68" s="55"/>
      <c r="AI68" s="55"/>
      <c r="AJ68" s="55"/>
      <c r="AK68" s="55"/>
      <c r="AL68" s="55"/>
      <c r="AM68" s="55"/>
    </row>
    <row r="69" spans="2:39" x14ac:dyDescent="0.25">
      <c r="AC69" s="37"/>
      <c r="AE69" s="55"/>
      <c r="AF69" s="55"/>
      <c r="AG69" s="55"/>
      <c r="AH69" s="55"/>
      <c r="AI69" s="55"/>
      <c r="AJ69" s="55"/>
      <c r="AK69" s="55"/>
      <c r="AL69" s="55"/>
      <c r="AM69" s="55"/>
    </row>
    <row r="70" spans="2:39" x14ac:dyDescent="0.25">
      <c r="AC70" s="37"/>
      <c r="AE70" s="55"/>
      <c r="AF70" s="55"/>
      <c r="AG70" s="55"/>
      <c r="AH70" s="55"/>
      <c r="AI70" s="55"/>
      <c r="AJ70" s="55"/>
      <c r="AK70" s="55"/>
      <c r="AL70" s="55"/>
      <c r="AM70" s="55"/>
    </row>
    <row r="71" spans="2:39" ht="13" thickBot="1" x14ac:dyDescent="0.3">
      <c r="AC71" s="37"/>
      <c r="AE71" s="55"/>
      <c r="AF71" s="55"/>
      <c r="AG71" s="55"/>
      <c r="AH71" s="55"/>
      <c r="AI71" s="55"/>
      <c r="AJ71" s="55"/>
      <c r="AK71" s="55"/>
      <c r="AL71" s="55"/>
      <c r="AM71" s="55"/>
    </row>
    <row r="72" spans="2:39" ht="20.5" thickBot="1" x14ac:dyDescent="0.45">
      <c r="B72" s="1453" t="s">
        <v>1935</v>
      </c>
      <c r="C72" s="1454"/>
      <c r="D72" s="1454"/>
      <c r="E72" s="1454"/>
      <c r="F72" s="1454"/>
      <c r="G72" s="1454"/>
      <c r="H72" s="1454"/>
      <c r="I72" s="1454"/>
      <c r="J72" s="1454"/>
      <c r="K72" s="1454"/>
      <c r="L72" s="1454"/>
      <c r="M72" s="1455"/>
      <c r="N72" s="712"/>
      <c r="O72" s="712"/>
      <c r="AC72" s="37"/>
      <c r="AE72" s="55"/>
      <c r="AF72" s="55"/>
      <c r="AG72" s="55"/>
      <c r="AH72" s="55"/>
      <c r="AI72" s="55"/>
      <c r="AJ72" s="55"/>
      <c r="AK72" s="55"/>
      <c r="AL72" s="55"/>
      <c r="AM72" s="55"/>
    </row>
    <row r="73" spans="2:39" ht="13" thickBot="1" x14ac:dyDescent="0.3">
      <c r="B73" s="1511" t="s">
        <v>1936</v>
      </c>
      <c r="C73" s="1512"/>
      <c r="D73" s="1512"/>
      <c r="E73" s="1512"/>
      <c r="F73" s="1512"/>
      <c r="G73" s="1512"/>
      <c r="H73" s="1512"/>
      <c r="I73" s="1512"/>
      <c r="J73" s="1512"/>
      <c r="K73" s="1512"/>
      <c r="L73" s="1512"/>
      <c r="M73" s="1513"/>
      <c r="N73" s="53"/>
      <c r="O73" s="53"/>
      <c r="P73" s="633"/>
      <c r="Q73" s="633"/>
      <c r="R73" s="633"/>
      <c r="S73" s="633"/>
      <c r="AC73" s="37"/>
      <c r="AE73" s="55"/>
      <c r="AF73" s="55"/>
      <c r="AG73" s="55"/>
      <c r="AH73" s="55"/>
      <c r="AI73" s="55"/>
      <c r="AJ73" s="55"/>
      <c r="AK73" s="55"/>
      <c r="AL73" s="55"/>
      <c r="AM73" s="55"/>
    </row>
    <row r="74" spans="2:39" ht="13" thickBot="1" x14ac:dyDescent="0.3">
      <c r="H74" s="634"/>
      <c r="I74" s="634"/>
      <c r="J74" s="634"/>
      <c r="K74" s="634"/>
      <c r="L74" s="634"/>
      <c r="M74" s="634"/>
      <c r="N74" s="634"/>
      <c r="O74" s="634"/>
      <c r="P74" s="633"/>
      <c r="Q74" s="633"/>
      <c r="R74" s="633"/>
      <c r="S74" s="633"/>
      <c r="AC74" s="37"/>
      <c r="AE74" s="55"/>
      <c r="AF74" s="55"/>
      <c r="AG74" s="55"/>
      <c r="AH74" s="55"/>
      <c r="AI74" s="55"/>
      <c r="AJ74" s="55"/>
      <c r="AK74" s="55"/>
      <c r="AL74" s="55"/>
      <c r="AM74" s="55"/>
    </row>
    <row r="75" spans="2:39" ht="18.5" thickBot="1" x14ac:dyDescent="0.45">
      <c r="B75" s="1458" t="s">
        <v>1937</v>
      </c>
      <c r="C75" s="1459"/>
      <c r="D75" s="1459"/>
      <c r="E75" s="1459"/>
      <c r="F75" s="1459"/>
      <c r="G75" s="1459"/>
      <c r="H75" s="1459"/>
      <c r="I75" s="1459"/>
      <c r="J75" s="1459"/>
      <c r="K75" s="1459"/>
      <c r="L75" s="1459"/>
      <c r="M75" s="1460"/>
      <c r="N75" s="887"/>
      <c r="O75" s="887"/>
      <c r="P75" s="633"/>
      <c r="Q75" s="633"/>
      <c r="R75" s="633"/>
      <c r="S75" s="633"/>
      <c r="AC75" s="37"/>
      <c r="AE75" s="55"/>
      <c r="AF75" s="55"/>
      <c r="AG75" s="55"/>
      <c r="AH75" s="55"/>
      <c r="AI75" s="55"/>
      <c r="AJ75" s="55"/>
      <c r="AK75" s="55"/>
      <c r="AL75" s="55"/>
      <c r="AM75" s="55"/>
    </row>
    <row r="76" spans="2:39" ht="13" thickBot="1" x14ac:dyDescent="0.3">
      <c r="B76" s="1514" t="s">
        <v>1938</v>
      </c>
      <c r="C76" s="1515"/>
      <c r="D76" s="1515"/>
      <c r="E76" s="1515"/>
      <c r="F76" s="1515"/>
      <c r="G76" s="1515"/>
      <c r="H76" s="1515"/>
      <c r="I76" s="1515"/>
      <c r="J76" s="1515"/>
      <c r="K76" s="1515"/>
      <c r="L76" s="1515"/>
      <c r="M76" s="1516"/>
      <c r="N76" s="634"/>
      <c r="O76" s="634"/>
      <c r="P76" s="633"/>
      <c r="Q76" s="633"/>
      <c r="R76" s="633"/>
      <c r="S76" s="633"/>
    </row>
    <row r="77" spans="2:39" x14ac:dyDescent="0.25">
      <c r="B77" s="353"/>
      <c r="K77" s="219"/>
      <c r="L77" s="219"/>
      <c r="M77" s="219"/>
      <c r="N77" s="219"/>
      <c r="O77" s="219"/>
      <c r="P77" s="633"/>
      <c r="Q77" s="633"/>
      <c r="R77" s="633"/>
      <c r="S77" s="633"/>
      <c r="AC77" s="37"/>
    </row>
    <row r="78" spans="2:39" ht="13" x14ac:dyDescent="0.3">
      <c r="B78" s="1510"/>
      <c r="C78" s="1510"/>
      <c r="D78" s="1510"/>
      <c r="E78" s="1510"/>
      <c r="K78" s="634"/>
      <c r="L78" s="634"/>
      <c r="M78" s="634"/>
      <c r="N78" s="634"/>
      <c r="O78" s="634"/>
    </row>
    <row r="79" spans="2:39" ht="13" x14ac:dyDescent="0.3">
      <c r="B79" s="898" t="s">
        <v>1939</v>
      </c>
      <c r="C79" s="898" t="s">
        <v>1940</v>
      </c>
      <c r="D79" s="898" t="s">
        <v>1941</v>
      </c>
      <c r="E79" s="898" t="s">
        <v>1942</v>
      </c>
      <c r="M79" s="221"/>
      <c r="N79" s="221"/>
      <c r="O79" s="221"/>
      <c r="P79" s="633"/>
      <c r="Q79" s="633"/>
      <c r="R79" s="633"/>
      <c r="S79" s="633"/>
    </row>
    <row r="80" spans="2:39" x14ac:dyDescent="0.25">
      <c r="B80" s="891" t="s">
        <v>1943</v>
      </c>
      <c r="C80" s="862">
        <f>Chem!D8</f>
        <v>213.6</v>
      </c>
      <c r="D80" s="862">
        <f ca="1">E49</f>
        <v>207.96803994069407</v>
      </c>
      <c r="E80" s="864">
        <f>Chem!E8</f>
        <v>0</v>
      </c>
      <c r="M80" s="221"/>
      <c r="N80" s="221"/>
      <c r="O80" s="221"/>
      <c r="P80" s="633"/>
      <c r="Q80" s="633"/>
      <c r="R80" s="633"/>
      <c r="S80" s="633"/>
    </row>
    <row r="81" spans="2:19" ht="12.75" customHeight="1" x14ac:dyDescent="0.25">
      <c r="B81" s="891" t="s">
        <v>1944</v>
      </c>
      <c r="C81" s="863">
        <f>Chem!D37</f>
        <v>360.4</v>
      </c>
      <c r="D81" s="862">
        <f ca="1">E50</f>
        <v>360.73504030384282</v>
      </c>
      <c r="E81" s="864">
        <f>Chem!E37</f>
        <v>0</v>
      </c>
      <c r="M81" s="635"/>
      <c r="N81" s="635"/>
      <c r="O81" s="635"/>
      <c r="P81" s="633"/>
      <c r="Q81" s="633"/>
      <c r="R81" s="633"/>
      <c r="S81" s="633"/>
    </row>
    <row r="82" spans="2:19" ht="12.75" customHeight="1" x14ac:dyDescent="0.25">
      <c r="B82" s="891" t="s">
        <v>1945</v>
      </c>
      <c r="C82" s="862">
        <f>Chem!D36</f>
        <v>1.1000000000000001</v>
      </c>
      <c r="D82" s="862">
        <f ca="1">E51</f>
        <v>1.0999999999999981</v>
      </c>
      <c r="E82" s="864">
        <f>Chem!E36</f>
        <v>0</v>
      </c>
      <c r="M82" s="216"/>
      <c r="N82" s="216"/>
      <c r="O82" s="216"/>
      <c r="P82" s="633"/>
      <c r="Q82" s="633"/>
      <c r="R82" s="633"/>
      <c r="S82" s="633"/>
    </row>
    <row r="83" spans="2:19" ht="12.75" customHeight="1" x14ac:dyDescent="0.25">
      <c r="B83" s="892" t="str">
        <f t="shared" ref="B83:B93" si="2">"OCV at " &amp; B56 &amp; "% SOC, V"</f>
        <v>OCV at 0% SOC, V</v>
      </c>
      <c r="C83" s="864">
        <f>Chem!D94</f>
        <v>3</v>
      </c>
      <c r="D83" s="864">
        <f t="shared" ref="D83:D93" ca="1" si="3">C56</f>
        <v>3.0262127925947455</v>
      </c>
      <c r="E83" s="864">
        <f>Chem!E94</f>
        <v>0</v>
      </c>
      <c r="M83" s="216"/>
      <c r="N83" s="216"/>
      <c r="O83" s="216"/>
      <c r="P83" s="633"/>
      <c r="Q83" s="633"/>
      <c r="R83" s="633"/>
      <c r="S83" s="633"/>
    </row>
    <row r="84" spans="2:19" ht="12.75" customHeight="1" x14ac:dyDescent="0.25">
      <c r="B84" s="892" t="str">
        <f t="shared" si="2"/>
        <v>OCV at 10% SOC, V</v>
      </c>
      <c r="C84" s="864">
        <f>Chem!D95</f>
        <v>3.4793357075413334</v>
      </c>
      <c r="D84" s="864">
        <f t="shared" ca="1" si="3"/>
        <v>3.4793241179388836</v>
      </c>
      <c r="E84" s="864">
        <f>Chem!E95</f>
        <v>0</v>
      </c>
      <c r="M84" s="634"/>
      <c r="N84" s="634"/>
      <c r="O84" s="634"/>
    </row>
    <row r="85" spans="2:19" ht="12.75" customHeight="1" x14ac:dyDescent="0.25">
      <c r="B85" s="892" t="str">
        <f t="shared" si="2"/>
        <v>OCV at 20% SOC, V</v>
      </c>
      <c r="C85" s="864">
        <f>Chem!D96</f>
        <v>3.5561368512112796</v>
      </c>
      <c r="D85" s="864">
        <f t="shared" ca="1" si="3"/>
        <v>3.5561201652113983</v>
      </c>
      <c r="E85" s="864">
        <f>Chem!E96</f>
        <v>0</v>
      </c>
      <c r="M85" s="219"/>
      <c r="N85" s="219"/>
      <c r="O85" s="219"/>
    </row>
    <row r="86" spans="2:19" ht="12.75" customHeight="1" x14ac:dyDescent="0.25">
      <c r="B86" s="892" t="str">
        <f t="shared" si="2"/>
        <v>OCV at 30% SOC, V</v>
      </c>
      <c r="C86" s="864">
        <f>Chem!D97</f>
        <v>3.617431761667889</v>
      </c>
      <c r="D86" s="864">
        <f t="shared" ca="1" si="3"/>
        <v>3.6174188611263811</v>
      </c>
      <c r="E86" s="864">
        <f>Chem!E97</f>
        <v>0</v>
      </c>
      <c r="M86" s="219"/>
      <c r="N86" s="219"/>
      <c r="O86" s="219"/>
      <c r="P86" s="633"/>
      <c r="Q86" s="633"/>
      <c r="R86" s="633"/>
      <c r="S86" s="633"/>
    </row>
    <row r="87" spans="2:19" ht="12.75" customHeight="1" x14ac:dyDescent="0.25">
      <c r="B87" s="892" t="str">
        <f t="shared" si="2"/>
        <v>OCV at 40% SOC, V</v>
      </c>
      <c r="C87" s="864">
        <f>Chem!D98</f>
        <v>3.6578650261144499</v>
      </c>
      <c r="D87" s="864">
        <f t="shared" ca="1" si="3"/>
        <v>3.6578482676000217</v>
      </c>
      <c r="E87" s="864">
        <f>Chem!E98</f>
        <v>0</v>
      </c>
      <c r="M87" s="219"/>
      <c r="N87" s="219"/>
      <c r="O87" s="219"/>
      <c r="P87" s="633"/>
      <c r="Q87" s="633"/>
      <c r="R87" s="633"/>
      <c r="S87" s="633"/>
    </row>
    <row r="88" spans="2:19" ht="12.75" customHeight="1" x14ac:dyDescent="0.25">
      <c r="B88" s="892" t="str">
        <f t="shared" si="2"/>
        <v>OCV at 50% SOC, V</v>
      </c>
      <c r="C88" s="864">
        <f>Chem!D99</f>
        <v>3.7132048846307271</v>
      </c>
      <c r="D88" s="864">
        <f t="shared" ca="1" si="3"/>
        <v>3.7131865578008507</v>
      </c>
      <c r="E88" s="864">
        <f>Chem!E99</f>
        <v>0</v>
      </c>
      <c r="M88" s="219"/>
      <c r="N88" s="219"/>
      <c r="O88" s="219"/>
      <c r="P88" s="633"/>
      <c r="Q88" s="633"/>
      <c r="R88" s="633"/>
      <c r="S88" s="633"/>
    </row>
    <row r="89" spans="2:19" ht="12.75" customHeight="1" x14ac:dyDescent="0.25">
      <c r="B89" s="892" t="str">
        <f t="shared" si="2"/>
        <v>OCV at 60% SOC, V</v>
      </c>
      <c r="C89" s="864">
        <f>Chem!D100</f>
        <v>3.8094668096082311</v>
      </c>
      <c r="D89" s="864">
        <f t="shared" ca="1" si="3"/>
        <v>3.8094496429625218</v>
      </c>
      <c r="E89" s="864">
        <f>Chem!E100</f>
        <v>0</v>
      </c>
      <c r="M89" s="219"/>
      <c r="N89" s="219"/>
      <c r="O89" s="219"/>
      <c r="P89" s="633"/>
      <c r="Q89" s="633"/>
      <c r="R89" s="633"/>
      <c r="S89" s="633"/>
    </row>
    <row r="90" spans="2:19" ht="12.75" customHeight="1" x14ac:dyDescent="0.25">
      <c r="B90" s="892" t="str">
        <f t="shared" si="2"/>
        <v>OCV at 70% SOC, V</v>
      </c>
      <c r="C90" s="864">
        <f>Chem!D101</f>
        <v>3.9163828826367406</v>
      </c>
      <c r="D90" s="864">
        <f t="shared" ca="1" si="3"/>
        <v>3.9163731003255546</v>
      </c>
      <c r="E90" s="864">
        <f>Chem!E101</f>
        <v>0</v>
      </c>
      <c r="M90" s="219"/>
      <c r="N90" s="219"/>
      <c r="O90" s="219"/>
      <c r="P90" s="633"/>
      <c r="Q90" s="633"/>
      <c r="R90" s="633"/>
      <c r="S90" s="633"/>
    </row>
    <row r="91" spans="2:19" ht="13.5" customHeight="1" x14ac:dyDescent="0.25">
      <c r="B91" s="892" t="str">
        <f t="shared" si="2"/>
        <v>OCV at 80% SOC, V</v>
      </c>
      <c r="C91" s="864">
        <f>Chem!D102</f>
        <v>4.0317193684754704</v>
      </c>
      <c r="D91" s="864">
        <f t="shared" ca="1" si="3"/>
        <v>4.0317096614426253</v>
      </c>
      <c r="E91" s="864">
        <f>Chem!E102</f>
        <v>0</v>
      </c>
      <c r="M91" s="219"/>
      <c r="N91" s="219"/>
      <c r="O91" s="219"/>
      <c r="P91" s="633"/>
      <c r="Q91" s="633"/>
      <c r="R91" s="633"/>
      <c r="S91" s="633"/>
    </row>
    <row r="92" spans="2:19" x14ac:dyDescent="0.25">
      <c r="B92" s="892" t="str">
        <f t="shared" si="2"/>
        <v>OCV at 90% SOC, V</v>
      </c>
      <c r="C92" s="864">
        <f>Chem!D103</f>
        <v>4.1310590522056065</v>
      </c>
      <c r="D92" s="864">
        <f t="shared" ca="1" si="3"/>
        <v>4.1310560423721885</v>
      </c>
      <c r="E92" s="864">
        <f>Chem!E103</f>
        <v>0</v>
      </c>
      <c r="M92" s="219"/>
      <c r="N92" s="219"/>
      <c r="O92" s="219"/>
      <c r="P92" s="633"/>
      <c r="Q92" s="633"/>
      <c r="R92" s="633"/>
      <c r="S92" s="633"/>
    </row>
    <row r="93" spans="2:19" x14ac:dyDescent="0.25">
      <c r="B93" s="892" t="str">
        <f t="shared" si="2"/>
        <v>OCV at 100% SOC, V</v>
      </c>
      <c r="C93" s="864">
        <f>Chem!D104</f>
        <v>4.2499999999999991</v>
      </c>
      <c r="D93" s="864">
        <f t="shared" ca="1" si="3"/>
        <v>4.2499999999999982</v>
      </c>
      <c r="E93" s="864">
        <f>Chem!E104</f>
        <v>0</v>
      </c>
      <c r="M93" s="633"/>
      <c r="N93" s="633"/>
      <c r="O93" s="633"/>
      <c r="P93" s="633"/>
      <c r="Q93" s="633"/>
      <c r="R93" s="633"/>
      <c r="S93" s="633"/>
    </row>
    <row r="94" spans="2:19" x14ac:dyDescent="0.25">
      <c r="K94" s="633"/>
      <c r="L94" s="633"/>
      <c r="M94" s="633"/>
      <c r="N94" s="633"/>
      <c r="O94" s="633"/>
      <c r="P94" s="633"/>
      <c r="Q94" s="633"/>
      <c r="R94" s="633"/>
      <c r="S94" s="633"/>
    </row>
    <row r="95" spans="2:19" x14ac:dyDescent="0.25">
      <c r="H95" s="633"/>
      <c r="I95" s="633"/>
      <c r="J95" s="633"/>
      <c r="K95" s="633"/>
      <c r="L95" s="633"/>
      <c r="M95" s="633"/>
      <c r="N95" s="633"/>
      <c r="O95" s="633"/>
      <c r="P95" s="174"/>
      <c r="Q95" s="174"/>
      <c r="R95" s="174"/>
      <c r="S95" s="174"/>
    </row>
    <row r="96" spans="2:19" x14ac:dyDescent="0.25">
      <c r="E96" s="353" t="s">
        <v>1946</v>
      </c>
      <c r="H96" s="174"/>
      <c r="I96" s="174"/>
      <c r="J96" s="174"/>
      <c r="K96" s="174"/>
      <c r="L96" s="174"/>
      <c r="M96" s="174"/>
      <c r="N96" s="174"/>
      <c r="O96" s="174"/>
    </row>
    <row r="97" spans="2:19" x14ac:dyDescent="0.25">
      <c r="F97" s="353"/>
      <c r="H97" s="174"/>
      <c r="I97" s="174"/>
      <c r="J97" s="174"/>
      <c r="K97" s="174"/>
      <c r="L97" s="174"/>
      <c r="M97" s="174"/>
      <c r="N97" s="174"/>
      <c r="O97" s="174"/>
    </row>
    <row r="98" spans="2:19" ht="13" thickBot="1" x14ac:dyDescent="0.3"/>
    <row r="99" spans="2:19" ht="18.5" thickBot="1" x14ac:dyDescent="0.45">
      <c r="B99" s="1458" t="s">
        <v>1947</v>
      </c>
      <c r="C99" s="1459"/>
      <c r="D99" s="1459"/>
      <c r="E99" s="1459"/>
      <c r="F99" s="1459"/>
      <c r="G99" s="1459"/>
      <c r="H99" s="1459"/>
      <c r="I99" s="1459"/>
      <c r="J99" s="1459"/>
      <c r="K99" s="1459"/>
      <c r="L99" s="1459"/>
      <c r="M99" s="1460"/>
      <c r="N99" s="888"/>
      <c r="O99" s="888"/>
      <c r="P99" s="216"/>
      <c r="Q99" s="216"/>
      <c r="R99" s="216"/>
      <c r="S99" s="216"/>
    </row>
    <row r="100" spans="2:19" ht="13" thickBot="1" x14ac:dyDescent="0.3">
      <c r="B100" s="1514" t="s">
        <v>1948</v>
      </c>
      <c r="C100" s="1515"/>
      <c r="D100" s="1515"/>
      <c r="E100" s="1515"/>
      <c r="F100" s="1515"/>
      <c r="G100" s="1515"/>
      <c r="H100" s="1515"/>
      <c r="I100" s="1515"/>
      <c r="J100" s="1515"/>
      <c r="K100" s="1515"/>
      <c r="L100" s="1515"/>
      <c r="M100" s="1516"/>
      <c r="N100" s="633"/>
      <c r="O100" s="633"/>
      <c r="P100" s="216"/>
      <c r="Q100" s="216"/>
      <c r="R100" s="216"/>
      <c r="S100" s="216"/>
    </row>
    <row r="101" spans="2:19" x14ac:dyDescent="0.25">
      <c r="H101" s="633"/>
      <c r="I101" s="633"/>
      <c r="J101" s="633"/>
      <c r="K101" s="633"/>
      <c r="L101" s="633"/>
      <c r="M101" s="633"/>
      <c r="N101" s="633"/>
      <c r="O101" s="633"/>
      <c r="P101" s="216"/>
      <c r="Q101" s="216"/>
      <c r="R101" s="216"/>
      <c r="S101" s="216"/>
    </row>
    <row r="102" spans="2:19" ht="13.5" thickBot="1" x14ac:dyDescent="0.3">
      <c r="B102" s="1280" t="s">
        <v>1949</v>
      </c>
      <c r="C102" s="489"/>
      <c r="D102" s="489"/>
      <c r="E102" s="489"/>
      <c r="G102" s="219"/>
      <c r="H102" s="633"/>
      <c r="I102" s="633"/>
      <c r="J102" s="633"/>
      <c r="K102" s="633"/>
      <c r="L102" s="633"/>
      <c r="M102" s="633"/>
      <c r="N102" s="633"/>
      <c r="O102" s="633"/>
      <c r="P102" s="216"/>
      <c r="Q102" s="216"/>
      <c r="R102" s="216"/>
      <c r="S102" s="216"/>
    </row>
    <row r="103" spans="2:19" ht="13" thickBot="1" x14ac:dyDescent="0.3">
      <c r="B103" s="9" t="s">
        <v>1950</v>
      </c>
      <c r="C103" s="1277" t="s">
        <v>663</v>
      </c>
      <c r="D103" s="1279"/>
      <c r="E103" s="1278">
        <f>INDEX(Lists!$C$6:$C$58, MATCH(C103, Lists!B6:B58, 0))</f>
        <v>13</v>
      </c>
      <c r="G103" s="219"/>
      <c r="H103" s="633"/>
      <c r="I103" s="633"/>
      <c r="J103" s="633"/>
      <c r="K103" s="633"/>
      <c r="L103" s="633"/>
      <c r="M103" s="633"/>
      <c r="N103" s="633"/>
      <c r="O103" s="633"/>
      <c r="P103" s="216"/>
      <c r="Q103" s="216"/>
      <c r="R103" s="216"/>
      <c r="S103" s="216"/>
    </row>
    <row r="104" spans="2:19" x14ac:dyDescent="0.25">
      <c r="D104" s="634"/>
      <c r="E104" s="634"/>
      <c r="G104" s="634"/>
    </row>
    <row r="105" spans="2:19" ht="13" x14ac:dyDescent="0.3">
      <c r="B105" s="130" t="s">
        <v>1951</v>
      </c>
      <c r="D105" s="221"/>
      <c r="E105" s="221"/>
      <c r="G105" s="221"/>
      <c r="H105" s="633"/>
      <c r="I105" s="633"/>
      <c r="J105" s="633"/>
      <c r="K105" s="633"/>
      <c r="L105" s="633"/>
      <c r="M105" s="633"/>
      <c r="N105" s="633"/>
      <c r="O105" s="633"/>
    </row>
    <row r="106" spans="2:19" x14ac:dyDescent="0.25">
      <c r="B106" s="564" t="s">
        <v>1952</v>
      </c>
      <c r="C106" s="911" t="s">
        <v>1953</v>
      </c>
      <c r="D106" s="221"/>
      <c r="E106" s="221"/>
      <c r="G106" s="221"/>
      <c r="H106" s="633"/>
      <c r="I106" s="633"/>
      <c r="J106" s="633"/>
      <c r="K106" s="633"/>
      <c r="L106" s="633"/>
      <c r="M106" s="633"/>
      <c r="N106" s="633"/>
      <c r="O106" s="633"/>
    </row>
    <row r="107" spans="2:19" ht="13" x14ac:dyDescent="0.3">
      <c r="B107" s="221" t="s">
        <v>1954</v>
      </c>
      <c r="C107" s="912" t="str">
        <f>IF(ISERROR(MATCH(C106, _chem_couples, 0)), "no problems", "select a new name, couple name exists")</f>
        <v>no problems</v>
      </c>
      <c r="D107" s="635"/>
      <c r="E107" s="635"/>
      <c r="G107" s="635"/>
      <c r="H107" s="633"/>
      <c r="I107" s="633"/>
      <c r="J107" s="633"/>
      <c r="K107" s="633"/>
      <c r="L107" s="633"/>
      <c r="M107" s="633"/>
      <c r="N107" s="633"/>
      <c r="O107" s="633"/>
      <c r="P107" s="217"/>
      <c r="Q107" s="217"/>
      <c r="R107" s="217"/>
      <c r="S107" s="217"/>
    </row>
    <row r="108" spans="2:19" x14ac:dyDescent="0.25">
      <c r="B108" s="353"/>
      <c r="C108" s="353"/>
      <c r="D108" s="216"/>
      <c r="E108" s="216"/>
      <c r="G108" s="216"/>
      <c r="H108" s="633"/>
      <c r="I108" s="633"/>
      <c r="J108" s="633"/>
      <c r="K108" s="633"/>
      <c r="L108" s="633"/>
      <c r="M108" s="633"/>
      <c r="N108" s="633"/>
      <c r="O108" s="633"/>
      <c r="P108" s="217"/>
      <c r="Q108" s="217"/>
      <c r="R108" s="217"/>
      <c r="S108" s="217"/>
    </row>
    <row r="109" spans="2:19" x14ac:dyDescent="0.25">
      <c r="D109" s="53"/>
      <c r="E109" s="216"/>
      <c r="G109" s="216"/>
      <c r="H109" s="633"/>
      <c r="I109" s="633"/>
      <c r="J109" s="633"/>
      <c r="K109" s="633"/>
      <c r="L109" s="633"/>
      <c r="M109" s="633"/>
      <c r="N109" s="633"/>
      <c r="O109" s="633"/>
      <c r="P109" s="217"/>
      <c r="Q109" s="217"/>
      <c r="R109" s="217"/>
      <c r="S109" s="217"/>
    </row>
    <row r="110" spans="2:19" ht="13" x14ac:dyDescent="0.3">
      <c r="D110" s="353"/>
      <c r="E110" s="912"/>
      <c r="F110" s="634"/>
      <c r="G110" s="634"/>
      <c r="P110" s="633"/>
      <c r="Q110" s="633"/>
      <c r="R110" s="633"/>
      <c r="S110" s="633"/>
    </row>
    <row r="111" spans="2:19" x14ac:dyDescent="0.25">
      <c r="P111" s="633"/>
      <c r="Q111" s="633"/>
      <c r="R111" s="633"/>
      <c r="S111" s="633"/>
    </row>
    <row r="112" spans="2:19" x14ac:dyDescent="0.25">
      <c r="P112" s="633"/>
      <c r="Q112" s="633"/>
      <c r="R112" s="633"/>
      <c r="S112" s="633"/>
    </row>
    <row r="113" spans="2:19" x14ac:dyDescent="0.25">
      <c r="P113" s="633"/>
      <c r="Q113" s="633"/>
      <c r="R113" s="633"/>
      <c r="S113" s="633"/>
    </row>
    <row r="114" spans="2:19" ht="13" thickBot="1" x14ac:dyDescent="0.3">
      <c r="P114" s="633"/>
      <c r="Q114" s="633"/>
      <c r="R114" s="633"/>
      <c r="S114" s="633"/>
    </row>
    <row r="115" spans="2:19" ht="20.5" thickBot="1" x14ac:dyDescent="0.45">
      <c r="B115" s="1453" t="s">
        <v>1955</v>
      </c>
      <c r="C115" s="1454"/>
      <c r="D115" s="1454"/>
      <c r="E115" s="1454"/>
      <c r="F115" s="1454"/>
      <c r="G115" s="1454"/>
      <c r="H115" s="1454"/>
      <c r="I115" s="1454"/>
      <c r="J115" s="1454"/>
      <c r="K115" s="1454"/>
      <c r="L115" s="1454"/>
      <c r="M115" s="1455"/>
      <c r="P115" s="633"/>
      <c r="Q115" s="633"/>
      <c r="R115" s="633"/>
      <c r="S115" s="633"/>
    </row>
    <row r="116" spans="2:19" x14ac:dyDescent="0.25">
      <c r="P116" s="633"/>
      <c r="Q116" s="633"/>
      <c r="R116" s="633"/>
      <c r="S116" s="633"/>
    </row>
    <row r="117" spans="2:19" ht="16" thickBot="1" x14ac:dyDescent="0.4">
      <c r="B117" s="78" t="s">
        <v>1956</v>
      </c>
      <c r="C117" s="61"/>
      <c r="D117" s="913"/>
      <c r="E117" s="353"/>
      <c r="F117" s="353"/>
      <c r="G117" s="353"/>
      <c r="H117" s="353"/>
      <c r="I117" s="353"/>
      <c r="P117" s="633"/>
      <c r="Q117" s="633"/>
      <c r="R117" s="633"/>
      <c r="S117" s="633"/>
    </row>
    <row r="118" spans="2:19" ht="13" thickBot="1" x14ac:dyDescent="0.3">
      <c r="B118" s="563" t="s">
        <v>1957</v>
      </c>
      <c r="C118" s="61"/>
      <c r="D118" s="353"/>
      <c r="E118" s="903" t="str">
        <f>C106</f>
        <v>NMC532-G-Add_test</v>
      </c>
      <c r="F118" s="353"/>
      <c r="G118" s="353"/>
      <c r="H118" s="711" t="s">
        <v>16</v>
      </c>
      <c r="I118" s="914">
        <v>1</v>
      </c>
      <c r="J118" s="353"/>
      <c r="P118" s="633"/>
      <c r="Q118" s="633"/>
      <c r="R118" s="633"/>
      <c r="S118" s="633"/>
    </row>
    <row r="119" spans="2:19" ht="13" x14ac:dyDescent="0.3">
      <c r="B119" s="563" t="s">
        <v>1958</v>
      </c>
      <c r="C119" s="61"/>
      <c r="D119" s="353"/>
      <c r="E119" s="903" t="str">
        <f>IF(E123 = "", E125 &amp; " - " &amp;  E133, E123)</f>
        <v>NMC811 - G</v>
      </c>
      <c r="F119" s="737"/>
      <c r="G119" s="353"/>
      <c r="H119" s="353" t="s">
        <v>1959</v>
      </c>
      <c r="I119" s="353">
        <f>MAX(Lists!C6:C58)</f>
        <v>93</v>
      </c>
      <c r="J119" s="353"/>
      <c r="P119" s="633"/>
      <c r="Q119" s="633"/>
      <c r="R119" s="633"/>
      <c r="S119" s="633"/>
    </row>
    <row r="120" spans="2:19" x14ac:dyDescent="0.25">
      <c r="B120" s="563" t="s">
        <v>1960</v>
      </c>
      <c r="C120" s="61"/>
      <c r="D120" s="353"/>
      <c r="E120" s="903" cm="1">
        <f t="array" ref="E120">INDEX(Lists!$O$68:$AG$68,D16 )</f>
        <v>97.295000000000002</v>
      </c>
      <c r="F120" s="353"/>
      <c r="G120" s="353"/>
      <c r="H120" s="353"/>
      <c r="I120" s="353"/>
      <c r="J120" s="353"/>
      <c r="P120" s="216"/>
      <c r="Q120" s="216"/>
      <c r="R120" s="216"/>
      <c r="S120" s="216"/>
    </row>
    <row r="121" spans="2:19" x14ac:dyDescent="0.25">
      <c r="B121" s="563" t="s">
        <v>1961</v>
      </c>
      <c r="C121" s="61"/>
      <c r="D121" s="353"/>
      <c r="E121" s="903" cm="1">
        <f t="array" ref="E121">INDEX(Lists!$O$68:$AG$68,D22 )</f>
        <v>72</v>
      </c>
      <c r="F121" s="353"/>
      <c r="G121" s="353"/>
      <c r="H121" s="353"/>
      <c r="I121" s="353"/>
      <c r="J121" s="353"/>
    </row>
    <row r="122" spans="2:19" x14ac:dyDescent="0.25">
      <c r="B122" s="563" t="s">
        <v>1962</v>
      </c>
      <c r="C122" s="61"/>
      <c r="D122" s="353"/>
      <c r="E122" s="899">
        <f>D30</f>
        <v>4.25</v>
      </c>
      <c r="F122" s="353"/>
      <c r="G122" s="353"/>
      <c r="H122" s="353"/>
      <c r="I122" s="353"/>
      <c r="J122" s="353"/>
    </row>
    <row r="123" spans="2:19" ht="13" x14ac:dyDescent="0.3">
      <c r="B123" s="890"/>
      <c r="C123" s="61"/>
      <c r="D123" s="353"/>
      <c r="E123" s="903"/>
      <c r="F123" s="353"/>
      <c r="H123" s="353"/>
      <c r="I123" s="353" t="s">
        <v>1913</v>
      </c>
      <c r="J123" s="353" t="s">
        <v>1914</v>
      </c>
    </row>
    <row r="124" spans="2:19" ht="15.5" x14ac:dyDescent="0.35">
      <c r="B124" s="78" t="s">
        <v>1963</v>
      </c>
      <c r="F124" s="353"/>
      <c r="H124" s="353" t="s">
        <v>1964</v>
      </c>
      <c r="I124" s="353" t="str">
        <f>D15</f>
        <v>NMC811</v>
      </c>
      <c r="J124" s="353" t="str">
        <f>D21</f>
        <v>G</v>
      </c>
    </row>
    <row r="125" spans="2:19" ht="14" x14ac:dyDescent="0.3">
      <c r="B125" s="916" t="s">
        <v>300</v>
      </c>
      <c r="C125" s="61"/>
      <c r="D125" s="353"/>
      <c r="E125" s="903" t="str">
        <f>I124</f>
        <v>NMC811</v>
      </c>
      <c r="F125" s="737"/>
      <c r="H125" s="353"/>
      <c r="I125" s="353">
        <f>D16</f>
        <v>4</v>
      </c>
      <c r="J125" s="353">
        <f>D22</f>
        <v>9</v>
      </c>
    </row>
    <row r="126" spans="2:19" x14ac:dyDescent="0.25">
      <c r="B126" s="61" t="s">
        <v>1965</v>
      </c>
      <c r="C126" s="61"/>
      <c r="D126" s="353"/>
      <c r="E126" s="867" cm="1">
        <f t="array" ref="E126">INDEX(Lists!$O$70:$AG$70, D16)</f>
        <v>275.46522317579411</v>
      </c>
      <c r="F126" s="353"/>
      <c r="H126" s="353"/>
      <c r="I126" s="353"/>
      <c r="J126" s="353"/>
    </row>
    <row r="127" spans="2:19" x14ac:dyDescent="0.25">
      <c r="B127" s="563" t="s">
        <v>1966</v>
      </c>
      <c r="C127" s="61"/>
      <c r="D127" s="353"/>
      <c r="E127" s="900">
        <f ca="1">IF($I$118=0,E122+E135,IF(E218=E122,E128,E128-E218*(E218-E122)/E122))</f>
        <v>4.3122697609934812</v>
      </c>
      <c r="F127" s="353"/>
      <c r="H127" s="9" t="s">
        <v>1967</v>
      </c>
      <c r="I127" s="9" cm="1">
        <f t="array" ref="I127">INDEX(Lists!$O$70:$AG$70, I125)</f>
        <v>275.46522317579411</v>
      </c>
      <c r="J127" s="9" cm="1">
        <f t="array" ref="J127">INDEX(Lists!$O$70:$AG$70, J125)</f>
        <v>372.24151234567904</v>
      </c>
    </row>
    <row r="128" spans="2:19" x14ac:dyDescent="0.25">
      <c r="B128" s="563" t="s">
        <v>1968</v>
      </c>
      <c r="C128" s="61"/>
      <c r="D128" s="353"/>
      <c r="E128" s="900">
        <f ca="1">E127</f>
        <v>4.3122697609934812</v>
      </c>
      <c r="F128" s="353"/>
      <c r="H128" s="946" t="s">
        <v>264</v>
      </c>
      <c r="I128" s="946"/>
      <c r="J128" s="946"/>
    </row>
    <row r="129" spans="2:10" x14ac:dyDescent="0.25">
      <c r="B129" s="563" t="s">
        <v>1969</v>
      </c>
      <c r="C129" s="61"/>
      <c r="D129" s="353"/>
      <c r="E129" s="901">
        <f ca="1">(1-FORECAST(E127,OFFSET($H129:$H169,MATCH(E127,$I$129:$I$169,-1)-1,0,2),OFFSET($I$129:$I$169,MATCH(E127,$I$129:$I$169,-1)-1,0,2)))*$E$126</f>
        <v>220.65130152471303</v>
      </c>
      <c r="F129" s="353"/>
      <c r="H129" s="353">
        <v>0.01</v>
      </c>
      <c r="I129" s="353" cm="1">
        <f t="array" ref="I129">INDEX(Lists!$O74:$AG74, I$125)</f>
        <v>7.4274887691325073</v>
      </c>
      <c r="J129" s="353" cm="1">
        <f t="array" ref="J129">INDEX(Lists!$O74:$AG74, J$125)</f>
        <v>0.62007145585586299</v>
      </c>
    </row>
    <row r="130" spans="2:10" x14ac:dyDescent="0.25">
      <c r="B130" s="563" t="s">
        <v>1970</v>
      </c>
      <c r="C130" s="61"/>
      <c r="D130" s="353"/>
      <c r="E130" s="899">
        <f>D18</f>
        <v>0.05</v>
      </c>
      <c r="F130" s="353"/>
      <c r="H130" s="353">
        <v>2.5000000000000001E-2</v>
      </c>
      <c r="I130" s="353" cm="1">
        <f t="array" ref="I130">INDEX(Lists!$O75:$AG75, I$125)</f>
        <v>6.7522625173931878</v>
      </c>
      <c r="J130" s="353" cm="1">
        <f t="array" ref="J130">INDEX(Lists!$O75:$AG75, J$125)</f>
        <v>0.45807635424855597</v>
      </c>
    </row>
    <row r="131" spans="2:10" x14ac:dyDescent="0.25">
      <c r="B131" s="563" t="s">
        <v>1971</v>
      </c>
      <c r="C131" s="61"/>
      <c r="D131" s="353"/>
      <c r="E131" s="902">
        <f ca="1">E129*(1-E130)</f>
        <v>209.61873644847736</v>
      </c>
      <c r="F131" s="353"/>
      <c r="H131" s="353">
        <v>0.05</v>
      </c>
      <c r="I131" s="353" cm="1">
        <f t="array" ref="I131">INDEX(Lists!$O76:$AG76, I$125)</f>
        <v>6.1384204703574428</v>
      </c>
      <c r="J131" s="353" cm="1">
        <f t="array" ref="J131">INDEX(Lists!$O76:$AG76, J$125)</f>
        <v>0.31161184768674</v>
      </c>
    </row>
    <row r="132" spans="2:10" x14ac:dyDescent="0.25">
      <c r="F132" s="353"/>
      <c r="H132" s="353">
        <v>7.4999999999999997E-2</v>
      </c>
      <c r="I132" s="353" cm="1">
        <f t="array" ref="I132">INDEX(Lists!$O77:$AG77, I$125)</f>
        <v>5.5803822457794929</v>
      </c>
      <c r="J132" s="353" cm="1">
        <f t="array" ref="J132">INDEX(Lists!$O77:$AG77, J$125)</f>
        <v>0.22626314621784299</v>
      </c>
    </row>
    <row r="133" spans="2:10" ht="14" x14ac:dyDescent="0.3">
      <c r="B133" s="916" t="s">
        <v>309</v>
      </c>
      <c r="C133" s="61"/>
      <c r="D133" s="353"/>
      <c r="E133" s="903" t="str">
        <f>J124</f>
        <v>G</v>
      </c>
      <c r="F133" s="353"/>
      <c r="H133" s="353">
        <v>0.1</v>
      </c>
      <c r="I133" s="353" cm="1">
        <f t="array" ref="I133">INDEX(Lists!$O78:$AG78, I$125)</f>
        <v>5.0730747688904474</v>
      </c>
      <c r="J133" s="353" cm="1">
        <f t="array" ref="J133">INDEX(Lists!$O78:$AG78, J$125)</f>
        <v>0.199404838098723</v>
      </c>
    </row>
    <row r="134" spans="2:10" x14ac:dyDescent="0.25">
      <c r="B134" s="61" t="s">
        <v>1965</v>
      </c>
      <c r="C134" s="61"/>
      <c r="D134" s="353"/>
      <c r="E134" s="915" cm="1">
        <f t="array" ref="E134">INDEX(Lists!$O$70:$AG$70, D22)</f>
        <v>372.24151234567904</v>
      </c>
      <c r="F134" s="353"/>
      <c r="H134" s="353">
        <v>0.125</v>
      </c>
      <c r="I134" s="353" cm="1">
        <f t="array" ref="I134">INDEX(Lists!$O79:$AG79, I$125)</f>
        <v>4.6118861535367701</v>
      </c>
      <c r="J134" s="353" cm="1">
        <f t="array" ref="J134">INDEX(Lists!$O79:$AG79, J$125)</f>
        <v>0.18974335423924699</v>
      </c>
    </row>
    <row r="135" spans="2:10" x14ac:dyDescent="0.25">
      <c r="B135" s="563" t="s">
        <v>1972</v>
      </c>
      <c r="C135" s="61"/>
      <c r="D135" s="353"/>
      <c r="E135" s="904">
        <f>D26</f>
        <v>0.01</v>
      </c>
      <c r="F135" s="353"/>
      <c r="H135" s="353">
        <v>0.15</v>
      </c>
      <c r="I135" s="353" cm="1">
        <f t="array" ref="I135">INDEX(Lists!$O80:$AG80, I$125)</f>
        <v>4.5026604268674397</v>
      </c>
      <c r="J135" s="353" cm="1">
        <f t="array" ref="J135">INDEX(Lists!$O80:$AG80, J$125)</f>
        <v>0.17335656379930101</v>
      </c>
    </row>
    <row r="136" spans="2:10" x14ac:dyDescent="0.25">
      <c r="B136" s="563" t="s">
        <v>1973</v>
      </c>
      <c r="C136" s="61"/>
      <c r="D136" s="353"/>
      <c r="E136" s="901">
        <f ca="1">FORECAST(E135,OFFSET(H129:H171,MATCH(E135,$J$129:$J$169,-1)-1,0,2),OFFSET($J$129:$J$169,MATCH(E135,$J$129:$J$169,-1)-1,0,2))*$E$134</f>
        <v>364.37882858974024</v>
      </c>
      <c r="F136" s="353"/>
      <c r="H136" s="353">
        <v>0.17499999999999999</v>
      </c>
      <c r="I136" s="353" cm="1">
        <f t="array" ref="I136">INDEX(Lists!$O81:$AG81, I$125)</f>
        <v>4.40435810840592</v>
      </c>
      <c r="J136" s="353" cm="1">
        <f t="array" ref="J136">INDEX(Lists!$O81:$AG81, J$125)</f>
        <v>0.15775982220592499</v>
      </c>
    </row>
    <row r="137" spans="2:10" x14ac:dyDescent="0.25">
      <c r="B137" s="563" t="s">
        <v>1974</v>
      </c>
      <c r="C137" s="61"/>
      <c r="D137" s="353"/>
      <c r="E137" s="904">
        <f>D24</f>
        <v>0.01</v>
      </c>
      <c r="F137" s="353"/>
      <c r="H137" s="353">
        <v>0.2</v>
      </c>
      <c r="I137" s="353" cm="1">
        <f t="array" ref="I137">INDEX(Lists!$O82:$AG82, I$125)</f>
        <v>4.3083796444922502</v>
      </c>
      <c r="J137" s="353" cm="1">
        <f t="array" ref="J137">INDEX(Lists!$O82:$AG82, J$125)</f>
        <v>0.143342591766663</v>
      </c>
    </row>
    <row r="138" spans="2:10" x14ac:dyDescent="0.25">
      <c r="B138" s="563" t="s">
        <v>1975</v>
      </c>
      <c r="C138" s="61"/>
      <c r="D138" s="353"/>
      <c r="E138" s="901">
        <f ca="1">E136*(1-E137)</f>
        <v>360.73504030384282</v>
      </c>
      <c r="F138" s="353"/>
      <c r="H138" s="353">
        <v>0.22500000000000001</v>
      </c>
      <c r="I138" s="353" cm="1">
        <f t="array" ref="I138">INDEX(Lists!$O83:$AG83, I$125)</f>
        <v>4.2593893545193504</v>
      </c>
      <c r="J138" s="353" cm="1">
        <f t="array" ref="J138">INDEX(Lists!$O83:$AG83, J$125)</f>
        <v>0.131481697129119</v>
      </c>
    </row>
    <row r="139" spans="2:10" x14ac:dyDescent="0.25">
      <c r="B139" s="563" t="s">
        <v>1976</v>
      </c>
      <c r="C139" s="61"/>
      <c r="D139" s="353"/>
      <c r="E139" s="904">
        <f>D25</f>
        <v>20</v>
      </c>
      <c r="F139" s="353"/>
      <c r="H139" s="353">
        <v>0.25</v>
      </c>
      <c r="I139" s="353" cm="1">
        <f t="array" ref="I139">INDEX(Lists!$O84:$AG84, I$125)</f>
        <v>4.2239771660332197</v>
      </c>
      <c r="J139" s="353" cm="1">
        <f t="array" ref="J139">INDEX(Lists!$O84:$AG84, J$125)</f>
        <v>0.12300850697175</v>
      </c>
    </row>
    <row r="140" spans="2:10" x14ac:dyDescent="0.25">
      <c r="B140" s="563"/>
      <c r="C140" s="61"/>
      <c r="D140" s="353"/>
      <c r="E140" s="903"/>
      <c r="F140" s="353"/>
      <c r="H140" s="353">
        <v>0.27500000000000002</v>
      </c>
      <c r="I140" s="353" cm="1">
        <f t="array" ref="I140">INDEX(Lists!$O85:$AG85, I$125)</f>
        <v>4.2029714854618803</v>
      </c>
      <c r="J140" s="353" cm="1">
        <f t="array" ref="J140">INDEX(Lists!$O85:$AG85, J$125)</f>
        <v>0.11756017908953401</v>
      </c>
    </row>
    <row r="141" spans="2:10" ht="14" x14ac:dyDescent="0.3">
      <c r="B141" s="916" t="s">
        <v>1977</v>
      </c>
      <c r="C141" s="61"/>
      <c r="D141" s="353"/>
      <c r="E141" s="903"/>
      <c r="F141" s="353"/>
      <c r="H141" s="353">
        <v>0.3</v>
      </c>
      <c r="I141" s="353" cm="1">
        <f t="array" ref="I141">INDEX(Lists!$O86:$AG86, I$125)</f>
        <v>4.1829968642194801</v>
      </c>
      <c r="J141" s="353" cm="1">
        <f t="array" ref="J141">INDEX(Lists!$O86:$AG86, J$125)</f>
        <v>0.11424554563460899</v>
      </c>
    </row>
    <row r="142" spans="2:10" x14ac:dyDescent="0.25">
      <c r="B142" s="563" t="s">
        <v>1978</v>
      </c>
      <c r="C142" s="61"/>
      <c r="D142" s="353"/>
      <c r="E142" s="905">
        <f ca="1">E147*E139/E129</f>
        <v>5.7481018676875696E-2</v>
      </c>
      <c r="F142" s="353"/>
      <c r="H142" s="353">
        <v>0.32500000000000001</v>
      </c>
      <c r="I142" s="353" cm="1">
        <f t="array" ref="I142">INDEX(Lists!$O87:$AG87, I$125)</f>
        <v>4.1518569621781802</v>
      </c>
      <c r="J142" s="353" cm="1">
        <f t="array" ref="J142">INDEX(Lists!$O87:$AG87, J$125)</f>
        <v>0.112243225014154</v>
      </c>
    </row>
    <row r="143" spans="2:10" x14ac:dyDescent="0.25">
      <c r="B143" s="563" t="s">
        <v>1979</v>
      </c>
      <c r="C143" s="61"/>
      <c r="D143" s="353"/>
      <c r="E143" s="902">
        <f ca="1">IF(E142&gt;E130,E138,(E138*E147-E131*(E130-E142))/E147)</f>
        <v>360.73504030384282</v>
      </c>
      <c r="F143" s="353"/>
      <c r="H143" s="353">
        <v>0.35</v>
      </c>
      <c r="I143" s="353" cm="1">
        <f t="array" ref="I143">INDEX(Lists!$O88:$AG88, I$125)</f>
        <v>4.1105831504944597</v>
      </c>
      <c r="J143" s="353" cm="1">
        <f t="array" ref="J143">INDEX(Lists!$O88:$AG88, J$125)</f>
        <v>0.11098219892474</v>
      </c>
    </row>
    <row r="144" spans="2:10" x14ac:dyDescent="0.25">
      <c r="B144" s="563" t="s">
        <v>1980</v>
      </c>
      <c r="C144" s="61"/>
      <c r="D144" s="353"/>
      <c r="E144" s="902">
        <f ca="1">IF(E142&gt;E130,E129*(1-E142),E131)</f>
        <v>207.96803994069407</v>
      </c>
      <c r="F144" s="353"/>
      <c r="H144" s="353">
        <v>0.375</v>
      </c>
      <c r="I144" s="353" cm="1">
        <f t="array" ref="I144">INDEX(Lists!$O89:$AG89, I$125)</f>
        <v>4.0783730116771801</v>
      </c>
      <c r="J144" s="353" cm="1">
        <f t="array" ref="J144">INDEX(Lists!$O89:$AG89, J$125)</f>
        <v>0.110104797936914</v>
      </c>
    </row>
    <row r="145" spans="2:10" x14ac:dyDescent="0.25">
      <c r="B145" s="563" t="s">
        <v>1981</v>
      </c>
      <c r="C145" s="61"/>
      <c r="D145" s="353"/>
      <c r="E145" s="904">
        <f>D29</f>
        <v>1.1000000000000001</v>
      </c>
      <c r="F145" s="353"/>
      <c r="H145" s="353">
        <v>0.4</v>
      </c>
      <c r="I145" s="353" cm="1">
        <f t="array" ref="I145">INDEX(Lists!$O90:$AG90, I$125)</f>
        <v>4.0444912887908604</v>
      </c>
      <c r="J145" s="353" cm="1">
        <f t="array" ref="J145">INDEX(Lists!$O90:$AG90, J$125)</f>
        <v>0.109380597657498</v>
      </c>
    </row>
    <row r="146" spans="2:10" x14ac:dyDescent="0.25">
      <c r="B146" s="563" t="s">
        <v>1982</v>
      </c>
      <c r="C146" s="61"/>
      <c r="D146" s="353"/>
      <c r="E146" s="901">
        <f ca="1">E143*E147/E144</f>
        <v>1.0999999999999981</v>
      </c>
      <c r="F146" s="353"/>
      <c r="H146" s="353">
        <v>0.42499999999999999</v>
      </c>
      <c r="I146" s="353" cm="1">
        <f t="array" ref="I146">INDEX(Lists!$O91:$AG91, I$125)</f>
        <v>4.0015400094417597</v>
      </c>
      <c r="J146" s="353" cm="1">
        <f t="array" ref="J146">INDEX(Lists!$O91:$AG91, J$125)</f>
        <v>0.108626824829785</v>
      </c>
    </row>
    <row r="147" spans="2:10" x14ac:dyDescent="0.25">
      <c r="B147" s="563" t="s">
        <v>1983</v>
      </c>
      <c r="C147" s="61"/>
      <c r="D147" s="353"/>
      <c r="E147" s="900">
        <f ca="1">IF($I$118=0,E149,IF(E146=E145,E148,E148-E150*(E146-E145)/E145))</f>
        <v>0.63416307920094805</v>
      </c>
      <c r="F147" s="353"/>
      <c r="H147" s="353">
        <v>0.45</v>
      </c>
      <c r="I147" s="353" cm="1">
        <f t="array" ref="I147">INDEX(Lists!$O92:$AG92, I$125)</f>
        <v>3.9799000564773199</v>
      </c>
      <c r="J147" s="353" cm="1">
        <f t="array" ref="J147">INDEX(Lists!$O92:$AG92, J$125)</f>
        <v>0.107637878541992</v>
      </c>
    </row>
    <row r="148" spans="2:10" x14ac:dyDescent="0.25">
      <c r="B148" s="563" t="s">
        <v>1984</v>
      </c>
      <c r="C148" s="61"/>
      <c r="D148" s="353"/>
      <c r="E148" s="900">
        <f ca="1">E147</f>
        <v>0.63416307920094805</v>
      </c>
      <c r="F148" s="353"/>
      <c r="H148" s="353">
        <v>0.47499999999999998</v>
      </c>
      <c r="I148" s="353" cm="1">
        <f t="array" ref="I148">INDEX(Lists!$O93:$AG93, I$125)</f>
        <v>3.9491721066978802</v>
      </c>
      <c r="J148" s="353" cm="1">
        <f t="array" ref="J148">INDEX(Lists!$O93:$AG93, J$125)</f>
        <v>0.10611916520771</v>
      </c>
    </row>
    <row r="149" spans="2:10" x14ac:dyDescent="0.25">
      <c r="B149" s="563" t="s">
        <v>1985</v>
      </c>
      <c r="C149" s="61"/>
      <c r="D149" s="353"/>
      <c r="E149" s="900">
        <f ca="1">E131*1.1/(E138)</f>
        <v>0.63919659675730367</v>
      </c>
      <c r="F149" s="353"/>
      <c r="H149" s="353">
        <v>0.5</v>
      </c>
      <c r="I149" s="353" cm="1">
        <f t="array" ref="I149">INDEX(Lists!$O94:$AG94, I$125)</f>
        <v>3.9186539152456201</v>
      </c>
      <c r="J149" s="353" cm="1">
        <f t="array" ref="J149">INDEX(Lists!$O94:$AG94, J$125)</f>
        <v>0.103651510932195</v>
      </c>
    </row>
    <row r="150" spans="2:10" x14ac:dyDescent="0.25">
      <c r="B150" s="563" t="s">
        <v>1986</v>
      </c>
      <c r="C150" s="61"/>
      <c r="D150" s="353"/>
      <c r="E150" s="59">
        <v>0.5</v>
      </c>
      <c r="F150" s="353"/>
      <c r="H150" s="353">
        <v>0.52500000000000002</v>
      </c>
      <c r="I150" s="353" cm="1">
        <f t="array" ref="I150">INDEX(Lists!$O95:$AG95, I$125)</f>
        <v>3.8901725012953499</v>
      </c>
      <c r="J150" s="353" cm="1">
        <f t="array" ref="J150">INDEX(Lists!$O95:$AG95, J$125)</f>
        <v>9.9794374200657301E-2</v>
      </c>
    </row>
    <row r="151" spans="2:10" x14ac:dyDescent="0.25">
      <c r="B151" s="61"/>
      <c r="C151" s="61"/>
      <c r="D151" s="353"/>
      <c r="E151" s="59"/>
      <c r="F151" s="353"/>
      <c r="H151" s="353">
        <v>0.55000000000000004</v>
      </c>
      <c r="I151" s="353" cm="1">
        <f t="array" ref="I151">INDEX(Lists!$O96:$AG96, I$125)</f>
        <v>3.8527662631956399</v>
      </c>
      <c r="J151" s="353" cm="1">
        <f t="array" ref="J151">INDEX(Lists!$O96:$AG96, J$125)</f>
        <v>9.4475088002876295E-2</v>
      </c>
    </row>
    <row r="152" spans="2:10" ht="15.5" x14ac:dyDescent="0.35">
      <c r="B152" s="917" t="s">
        <v>1987</v>
      </c>
      <c r="C152" s="61"/>
      <c r="D152" s="353"/>
      <c r="E152" s="59"/>
      <c r="F152" s="353"/>
      <c r="H152" s="353">
        <v>0.57499999999999996</v>
      </c>
      <c r="I152" s="353" cm="1">
        <f t="array" ref="I152">INDEX(Lists!$O97:$AG97, I$125)</f>
        <v>3.8355360132182601</v>
      </c>
      <c r="J152" s="353" cm="1">
        <f t="array" ref="J152">INDEX(Lists!$O97:$AG97, J$125)</f>
        <v>8.8442203894409294E-2</v>
      </c>
    </row>
    <row r="153" spans="2:10" ht="14" x14ac:dyDescent="0.3">
      <c r="B153" s="665" t="s">
        <v>1988</v>
      </c>
      <c r="F153" s="353"/>
      <c r="H153" s="353">
        <v>0.6</v>
      </c>
      <c r="I153" s="353" cm="1">
        <f t="array" ref="I153">INDEX(Lists!$O98:$AG98, I$125)</f>
        <v>3.81121098027059</v>
      </c>
      <c r="J153" s="353" cm="1">
        <f t="array" ref="J153">INDEX(Lists!$O98:$AG98, J$125)</f>
        <v>8.29840701969769E-2</v>
      </c>
    </row>
    <row r="154" spans="2:10" x14ac:dyDescent="0.25">
      <c r="B154" s="563" t="s">
        <v>1989</v>
      </c>
      <c r="C154" s="61"/>
      <c r="D154" s="353"/>
      <c r="E154" s="900">
        <f ca="1">IF(E130&gt;E142,0.9899,0.9899-(E142-E130)*E129/($E$126-E129*E130))</f>
        <v>0.98365759212327764</v>
      </c>
      <c r="F154" s="353"/>
      <c r="H154" s="353">
        <v>0.625</v>
      </c>
      <c r="I154" s="353" cm="1">
        <f t="array" ref="I154">INDEX(Lists!$O99:$AG99, I$125)</f>
        <v>3.7954825168644799</v>
      </c>
      <c r="J154" s="353" cm="1">
        <f t="array" ref="J154">INDEX(Lists!$O99:$AG99, J$125)</f>
        <v>7.8945361099266503E-2</v>
      </c>
    </row>
    <row r="155" spans="2:10" x14ac:dyDescent="0.25">
      <c r="B155" s="563" t="s">
        <v>1990</v>
      </c>
      <c r="C155" s="61"/>
      <c r="D155" s="353"/>
      <c r="E155" s="900">
        <f ca="1">E$154-(E$154-E$164)*0.1</f>
        <v>0.90501071036694236</v>
      </c>
      <c r="F155" s="353"/>
      <c r="H155" s="353">
        <v>0.65</v>
      </c>
      <c r="I155" s="353" cm="1">
        <f t="array" ref="I155">INDEX(Lists!$O100:$AG100, I$125)</f>
        <v>3.7824122579208801</v>
      </c>
      <c r="J155" s="353" cm="1">
        <f t="array" ref="J155">INDEX(Lists!$O100:$AG100, J$125)</f>
        <v>7.6332054373787997E-2</v>
      </c>
    </row>
    <row r="156" spans="2:10" x14ac:dyDescent="0.25">
      <c r="B156" s="563" t="s">
        <v>1991</v>
      </c>
      <c r="C156" s="61"/>
      <c r="D156" s="353"/>
      <c r="E156" s="900">
        <f ca="1">E$154-(E$154-E$164)*0.2</f>
        <v>0.82636382861060709</v>
      </c>
      <c r="F156" s="353"/>
      <c r="H156" s="353">
        <v>0.67500000000000004</v>
      </c>
      <c r="I156" s="353" cm="1">
        <f t="array" ref="I156">INDEX(Lists!$O101:$AG101, I$125)</f>
        <v>3.7638760727048899</v>
      </c>
      <c r="J156" s="353" cm="1">
        <f t="array" ref="J156">INDEX(Lists!$O101:$AG101, J$125)</f>
        <v>7.4726783524727003E-2</v>
      </c>
    </row>
    <row r="157" spans="2:10" x14ac:dyDescent="0.25">
      <c r="B157" s="563" t="s">
        <v>1992</v>
      </c>
      <c r="C157" s="61"/>
      <c r="D157" s="353"/>
      <c r="E157" s="900">
        <f ca="1">E$154-(E$154-E$164)*0.3</f>
        <v>0.74771694685427181</v>
      </c>
      <c r="F157" s="353"/>
      <c r="H157" s="353">
        <v>0.7</v>
      </c>
      <c r="I157" s="353" cm="1">
        <f t="array" ref="I157">INDEX(Lists!$O102:$AG102, I$125)</f>
        <v>3.7568968974125898</v>
      </c>
      <c r="J157" s="353" cm="1">
        <f t="array" ref="J157">INDEX(Lists!$O102:$AG102, J$125)</f>
        <v>7.3712328818084594E-2</v>
      </c>
    </row>
    <row r="158" spans="2:10" x14ac:dyDescent="0.25">
      <c r="B158" s="563" t="s">
        <v>1993</v>
      </c>
      <c r="C158" s="61"/>
      <c r="D158" s="353"/>
      <c r="E158" s="900">
        <f ca="1">E$154-(E$154-E$164)*0.4</f>
        <v>0.66907006509793654</v>
      </c>
      <c r="F158" s="353"/>
      <c r="H158" s="353">
        <v>0.72499999999999998</v>
      </c>
      <c r="I158" s="353" cm="1">
        <f t="array" ref="I158">INDEX(Lists!$O103:$AG103, I$125)</f>
        <v>3.7458381551884798</v>
      </c>
      <c r="J158" s="353" cm="1">
        <f t="array" ref="J158">INDEX(Lists!$O103:$AG103, J$125)</f>
        <v>7.3007007016228198E-2</v>
      </c>
    </row>
    <row r="159" spans="2:10" x14ac:dyDescent="0.25">
      <c r="B159" s="563" t="s">
        <v>1994</v>
      </c>
      <c r="C159" s="61"/>
      <c r="D159" s="353"/>
      <c r="E159" s="900">
        <f ca="1">E$154-(E$154-E$164)*0.5</f>
        <v>0.59042318334160127</v>
      </c>
      <c r="F159" s="353"/>
      <c r="H159" s="353">
        <v>0.75</v>
      </c>
      <c r="I159" s="353" cm="1">
        <f t="array" ref="I159">INDEX(Lists!$O104:$AG104, I$125)</f>
        <v>3.7336076050160401</v>
      </c>
      <c r="J159" s="353" cm="1">
        <f t="array" ref="J159">INDEX(Lists!$O104:$AG104, J$125)</f>
        <v>7.2448483947712805E-2</v>
      </c>
    </row>
    <row r="160" spans="2:10" x14ac:dyDescent="0.25">
      <c r="B160" s="563" t="s">
        <v>1995</v>
      </c>
      <c r="C160" s="61"/>
      <c r="D160" s="353"/>
      <c r="E160" s="900">
        <f ca="1">E$154-(E$154-E$164)*0.6</f>
        <v>0.51177630158526599</v>
      </c>
      <c r="F160" s="353"/>
      <c r="H160" s="353">
        <v>0.77500000000000002</v>
      </c>
      <c r="I160" s="353" cm="1">
        <f t="array" ref="I160">INDEX(Lists!$O105:$AG105, I$125)</f>
        <v>3.7180208813979299</v>
      </c>
      <c r="J160" s="353" cm="1">
        <f t="array" ref="J160">INDEX(Lists!$O105:$AG105, J$125)</f>
        <v>7.1949201778767805E-2</v>
      </c>
    </row>
    <row r="161" spans="2:10" x14ac:dyDescent="0.25">
      <c r="B161" s="563" t="s">
        <v>1996</v>
      </c>
      <c r="C161" s="61"/>
      <c r="D161" s="353"/>
      <c r="E161" s="900">
        <f ca="1">E$154-(E$154-E$164)*0.7</f>
        <v>0.43312941982893072</v>
      </c>
      <c r="F161" s="353"/>
      <c r="H161" s="353">
        <v>0.8</v>
      </c>
      <c r="I161" s="353" cm="1">
        <f t="array" ref="I161">INDEX(Lists!$O106:$AG106, I$125)</f>
        <v>3.7133828092971002</v>
      </c>
      <c r="J161" s="353" cm="1">
        <f t="array" ref="J161">INDEX(Lists!$O106:$AG106, J$125)</f>
        <v>7.1462531085526096E-2</v>
      </c>
    </row>
    <row r="162" spans="2:10" x14ac:dyDescent="0.25">
      <c r="B162" s="563" t="s">
        <v>1997</v>
      </c>
      <c r="C162" s="61"/>
      <c r="D162" s="353"/>
      <c r="E162" s="900">
        <f ca="1">E$154-(E$154-E$164)*0.8</f>
        <v>0.35448253807259544</v>
      </c>
      <c r="F162" s="353"/>
      <c r="H162" s="353">
        <v>0.82499999999999996</v>
      </c>
      <c r="I162" s="353" cm="1">
        <f t="array" ref="I162">INDEX(Lists!$O107:$AG107, I$125)</f>
        <v>3.7071671264117501</v>
      </c>
      <c r="J162" s="353" cm="1">
        <f t="array" ref="J162">INDEX(Lists!$O107:$AG107, J$125)</f>
        <v>7.0962562102994398E-2</v>
      </c>
    </row>
    <row r="163" spans="2:10" x14ac:dyDescent="0.25">
      <c r="B163" s="563" t="s">
        <v>1998</v>
      </c>
      <c r="C163" s="61"/>
      <c r="D163" s="353"/>
      <c r="E163" s="900">
        <f ca="1">E$154-(E$154-E$164)*0.9</f>
        <v>0.27583565631626017</v>
      </c>
      <c r="F163" s="353"/>
      <c r="H163" s="353">
        <v>0.85</v>
      </c>
      <c r="I163" s="353" cm="1">
        <f t="array" ref="I163">INDEX(Lists!$O108:$AG108, I$125)</f>
        <v>3.6933251424317599</v>
      </c>
      <c r="J163" s="353" cm="1">
        <f t="array" ref="J163">INDEX(Lists!$O108:$AG108, J$125)</f>
        <v>7.0432511605524495E-2</v>
      </c>
    </row>
    <row r="164" spans="2:10" x14ac:dyDescent="0.25">
      <c r="B164" s="563" t="s">
        <v>1999</v>
      </c>
      <c r="C164" s="61"/>
      <c r="D164" s="353"/>
      <c r="E164" s="900">
        <f ca="1">MAX(E154-E144/($E$126-(E129*E130)),0.01)</f>
        <v>0.1971887745599249</v>
      </c>
      <c r="F164" s="353"/>
      <c r="H164" s="353">
        <v>0.875</v>
      </c>
      <c r="I164" s="353" cm="1">
        <f t="array" ref="I164">INDEX(Lists!$O109:$AG109, I$125)</f>
        <v>3.69025751827655</v>
      </c>
      <c r="J164" s="353" cm="1">
        <f t="array" ref="J164">INDEX(Lists!$O109:$AG109, J$125)</f>
        <v>6.9854202861120096E-2</v>
      </c>
    </row>
    <row r="165" spans="2:10" x14ac:dyDescent="0.25">
      <c r="B165" s="61"/>
      <c r="C165" s="61"/>
      <c r="D165" s="353"/>
      <c r="E165" s="59"/>
      <c r="F165" s="353"/>
      <c r="H165" s="353">
        <v>0.9</v>
      </c>
      <c r="I165" s="353" cm="1">
        <f t="array" ref="I165">INDEX(Lists!$O110:$AG110, I$125)</f>
        <v>3.6815377641939802</v>
      </c>
      <c r="J165" s="353" cm="1">
        <f t="array" ref="J165">INDEX(Lists!$O110:$AG110, J$125)</f>
        <v>6.9164291859371299E-2</v>
      </c>
    </row>
    <row r="166" spans="2:10" ht="16.5" x14ac:dyDescent="0.3">
      <c r="B166" s="665" t="s">
        <v>2000</v>
      </c>
      <c r="F166" s="353"/>
      <c r="H166" s="353">
        <v>0.92500000000000004</v>
      </c>
      <c r="I166" s="353" cm="1">
        <f t="array" ref="I166">INDEX(Lists!$O111:$AG111, I$125)</f>
        <v>3.6729917792658502</v>
      </c>
      <c r="J166" s="353" cm="1">
        <f t="array" ref="J166">INDEX(Lists!$O111:$AG111, J$125)</f>
        <v>6.7894368818130296E-2</v>
      </c>
    </row>
    <row r="167" spans="2:10" x14ac:dyDescent="0.25">
      <c r="B167" s="563" t="s">
        <v>2001</v>
      </c>
      <c r="C167" s="61"/>
      <c r="D167" s="353"/>
      <c r="E167" s="900">
        <f t="shared" ref="E167:E177" ca="1" si="4">FORECAST(E154,OFFSET($I$129:$I$169,MATCH(E154,$H$129:$H$169,1)-1,0,2),OFFSET($H$129:$H$169,MATCH(E154,$H$129:$H$169,1)-1,0,2))</f>
        <v>3.646176251716204</v>
      </c>
      <c r="F167" s="353"/>
      <c r="H167" s="353">
        <v>0.95</v>
      </c>
      <c r="I167" s="353" cm="1">
        <f t="array" ref="I167">INDEX(Lists!$O112:$AG112, I$125)</f>
        <v>3.6643194386983202</v>
      </c>
      <c r="J167" s="353" cm="1">
        <f t="array" ref="J167">INDEX(Lists!$O112:$AG112, J$125)</f>
        <v>6.22966222123097E-2</v>
      </c>
    </row>
    <row r="168" spans="2:10" x14ac:dyDescent="0.25">
      <c r="B168" s="563" t="s">
        <v>2002</v>
      </c>
      <c r="C168" s="61"/>
      <c r="D168" s="353"/>
      <c r="E168" s="900">
        <f t="shared" ca="1" si="4"/>
        <v>3.6798249059829753</v>
      </c>
      <c r="F168" s="353"/>
      <c r="H168" s="353">
        <v>0.97499999999999998</v>
      </c>
      <c r="I168" s="353" cm="1">
        <f t="array" ref="I168">INDEX(Lists!$O113:$AG113, I$125)</f>
        <v>3.6561497505155902</v>
      </c>
      <c r="J168" s="353" cm="1">
        <f t="array" ref="J168">INDEX(Lists!$O113:$AG113, J$125)</f>
        <v>2.7548970022251498E-2</v>
      </c>
    </row>
    <row r="169" spans="2:10" x14ac:dyDescent="0.25">
      <c r="B169" s="563" t="s">
        <v>2003</v>
      </c>
      <c r="C169" s="61"/>
      <c r="D169" s="353"/>
      <c r="E169" s="900">
        <f t="shared" ca="1" si="4"/>
        <v>3.7064120026605711</v>
      </c>
      <c r="F169" s="353"/>
      <c r="H169" s="353">
        <v>0.99</v>
      </c>
      <c r="I169" s="353" cm="1">
        <f t="array" ref="I169">INDEX(Lists!$O114:$AG114, I$125)</f>
        <v>3.6388698325129201</v>
      </c>
      <c r="J169" s="353" cm="1">
        <f t="array" ref="J169">INDEX(Lists!$O114:$AG114, J$125)</f>
        <v>-4.0339312090070301E-2</v>
      </c>
    </row>
    <row r="170" spans="2:10" x14ac:dyDescent="0.25">
      <c r="B170" s="563" t="s">
        <v>2004</v>
      </c>
      <c r="C170" s="61"/>
      <c r="D170" s="353"/>
      <c r="E170" s="900">
        <f t="shared" ca="1" si="4"/>
        <v>3.7347245248578473</v>
      </c>
      <c r="F170" s="353"/>
    </row>
    <row r="171" spans="2:10" x14ac:dyDescent="0.25">
      <c r="B171" s="563" t="s">
        <v>2005</v>
      </c>
      <c r="C171" s="61"/>
      <c r="D171" s="353"/>
      <c r="E171" s="900">
        <f t="shared" ca="1" si="4"/>
        <v>3.7682728075714267</v>
      </c>
      <c r="F171" s="353"/>
    </row>
    <row r="172" spans="2:10" x14ac:dyDescent="0.25">
      <c r="B172" s="563" t="s">
        <v>2006</v>
      </c>
      <c r="C172" s="61"/>
      <c r="D172" s="353"/>
      <c r="E172" s="900">
        <f t="shared" ca="1" si="4"/>
        <v>3.8205292355005644</v>
      </c>
      <c r="F172" s="353"/>
    </row>
    <row r="173" spans="2:10" x14ac:dyDescent="0.25">
      <c r="B173" s="563" t="s">
        <v>2007</v>
      </c>
      <c r="C173" s="61"/>
      <c r="D173" s="353"/>
      <c r="E173" s="900">
        <f t="shared" ca="1" si="4"/>
        <v>3.905237686435493</v>
      </c>
      <c r="F173" s="353"/>
    </row>
    <row r="174" spans="2:10" x14ac:dyDescent="0.25">
      <c r="B174" s="563" t="s">
        <v>2008</v>
      </c>
      <c r="C174" s="61"/>
      <c r="D174" s="353"/>
      <c r="E174" s="900">
        <f t="shared" ca="1" si="4"/>
        <v>3.9945031989327098</v>
      </c>
      <c r="F174" s="353"/>
    </row>
    <row r="175" spans="2:10" x14ac:dyDescent="0.25">
      <c r="B175" s="563" t="s">
        <v>2009</v>
      </c>
      <c r="C175" s="61"/>
      <c r="D175" s="353"/>
      <c r="E175" s="900">
        <f t="shared" ca="1" si="4"/>
        <v>4.1048078235515773</v>
      </c>
      <c r="F175" s="353"/>
    </row>
    <row r="176" spans="2:10" x14ac:dyDescent="0.25">
      <c r="B176" s="563" t="s">
        <v>2010</v>
      </c>
      <c r="C176" s="61"/>
      <c r="D176" s="353"/>
      <c r="E176" s="900">
        <f t="shared" ca="1" si="4"/>
        <v>4.2023038087256355</v>
      </c>
      <c r="F176" s="353"/>
    </row>
    <row r="177" spans="2:9" x14ac:dyDescent="0.25">
      <c r="B177" s="563" t="s">
        <v>2011</v>
      </c>
      <c r="C177" s="61"/>
      <c r="D177" s="353"/>
      <c r="E177" s="900">
        <f t="shared" ca="1" si="4"/>
        <v>4.3191723284703887</v>
      </c>
      <c r="F177" s="353"/>
      <c r="G177" s="353"/>
      <c r="H177" s="353"/>
      <c r="I177" s="353"/>
    </row>
    <row r="178" spans="2:9" x14ac:dyDescent="0.25">
      <c r="B178" s="61"/>
      <c r="C178" s="61"/>
      <c r="D178" s="353"/>
      <c r="E178" s="59"/>
      <c r="F178" s="353"/>
      <c r="G178" s="353"/>
      <c r="H178" s="353"/>
      <c r="I178" s="353"/>
    </row>
    <row r="179" spans="2:9" ht="15.5" x14ac:dyDescent="0.35">
      <c r="B179" s="917" t="s">
        <v>2012</v>
      </c>
      <c r="C179" s="61"/>
      <c r="D179" s="353"/>
      <c r="E179" s="59"/>
      <c r="F179" s="353"/>
      <c r="G179" s="353"/>
      <c r="H179" s="353"/>
      <c r="I179" s="353"/>
    </row>
    <row r="180" spans="2:9" ht="14" x14ac:dyDescent="0.3">
      <c r="B180" s="665" t="s">
        <v>1988</v>
      </c>
      <c r="C180" s="61"/>
      <c r="D180" s="353"/>
      <c r="E180" s="59"/>
      <c r="F180" s="353"/>
      <c r="G180" s="353"/>
      <c r="H180" s="353"/>
      <c r="I180" s="353"/>
    </row>
    <row r="181" spans="2:9" x14ac:dyDescent="0.25">
      <c r="B181" s="563" t="s">
        <v>2013</v>
      </c>
      <c r="C181" s="61"/>
      <c r="D181" s="353"/>
      <c r="E181" s="900">
        <f ca="1">IF(E142&gt;E130,0.01001,(E130-E142)*E129/(($E$134-E136*E137)*E147))</f>
        <v>1.001E-2</v>
      </c>
      <c r="F181" s="353"/>
      <c r="G181" s="353"/>
      <c r="H181" s="353"/>
      <c r="I181" s="353"/>
    </row>
    <row r="182" spans="2:9" x14ac:dyDescent="0.25">
      <c r="B182" s="563" t="s">
        <v>2014</v>
      </c>
      <c r="C182" s="61"/>
      <c r="D182" s="353"/>
      <c r="E182" s="900">
        <f ca="1">E$181-(E$181-E$191)*0.1</f>
        <v>9.8979878087901374E-2</v>
      </c>
      <c r="F182" s="353"/>
      <c r="G182" s="353"/>
      <c r="H182" s="353"/>
      <c r="I182" s="353"/>
    </row>
    <row r="183" spans="2:9" x14ac:dyDescent="0.25">
      <c r="B183" s="563" t="s">
        <v>2015</v>
      </c>
      <c r="C183" s="61"/>
      <c r="D183" s="353"/>
      <c r="E183" s="900">
        <f ca="1">E$181-(E$181-E$191)*0.2</f>
        <v>0.18794975617580273</v>
      </c>
      <c r="F183" s="353"/>
      <c r="G183" s="353"/>
      <c r="H183" s="353"/>
      <c r="I183" s="353"/>
    </row>
    <row r="184" spans="2:9" x14ac:dyDescent="0.25">
      <c r="B184" s="563" t="s">
        <v>2016</v>
      </c>
      <c r="C184" s="61"/>
      <c r="D184" s="353"/>
      <c r="E184" s="900">
        <f ca="1">E$181-(E$181-E$191)*0.3</f>
        <v>0.27691963426370408</v>
      </c>
      <c r="F184" s="353"/>
      <c r="G184" s="353"/>
      <c r="H184" s="353"/>
      <c r="I184" s="353"/>
    </row>
    <row r="185" spans="2:9" x14ac:dyDescent="0.25">
      <c r="B185" s="563" t="s">
        <v>2017</v>
      </c>
      <c r="C185" s="61"/>
      <c r="D185" s="353"/>
      <c r="E185" s="900">
        <f ca="1">E$181-(E$181-E$191)*0.4</f>
        <v>0.36588951235160549</v>
      </c>
      <c r="F185" s="353"/>
      <c r="G185" s="353"/>
      <c r="H185" s="353"/>
      <c r="I185" s="353"/>
    </row>
    <row r="186" spans="2:9" x14ac:dyDescent="0.25">
      <c r="B186" s="563" t="s">
        <v>2018</v>
      </c>
      <c r="C186" s="61"/>
      <c r="D186" s="353"/>
      <c r="E186" s="900">
        <f ca="1">E$181-(E$181-E$191)*0.5</f>
        <v>0.45485939043950685</v>
      </c>
      <c r="F186" s="353"/>
      <c r="G186" s="353"/>
      <c r="H186" s="353"/>
      <c r="I186" s="353"/>
    </row>
    <row r="187" spans="2:9" x14ac:dyDescent="0.25">
      <c r="B187" s="563" t="s">
        <v>2019</v>
      </c>
      <c r="C187" s="61"/>
      <c r="D187" s="353"/>
      <c r="E187" s="900">
        <f ca="1">E$181-(E$181-E$191)*0.6</f>
        <v>0.54382926852740809</v>
      </c>
      <c r="F187" s="353"/>
      <c r="G187" s="353"/>
      <c r="H187" s="353"/>
      <c r="I187" s="353"/>
    </row>
    <row r="188" spans="2:9" x14ac:dyDescent="0.25">
      <c r="B188" s="563" t="s">
        <v>2020</v>
      </c>
      <c r="C188" s="61"/>
      <c r="D188" s="353"/>
      <c r="E188" s="900">
        <f ca="1">E$181-(E$181-E$191)*0.7</f>
        <v>0.63279914661530945</v>
      </c>
      <c r="F188" s="353"/>
      <c r="G188" s="353"/>
      <c r="H188" s="353"/>
      <c r="I188" s="353"/>
    </row>
    <row r="189" spans="2:9" x14ac:dyDescent="0.25">
      <c r="B189" s="563" t="s">
        <v>2021</v>
      </c>
      <c r="C189" s="61"/>
      <c r="D189" s="353"/>
      <c r="E189" s="900">
        <f ca="1">E$181-(E$181-E$191)*0.8</f>
        <v>0.72176902470321092</v>
      </c>
      <c r="F189" s="353"/>
      <c r="G189" s="353"/>
      <c r="H189" s="353"/>
      <c r="I189" s="353"/>
    </row>
    <row r="190" spans="2:9" x14ac:dyDescent="0.25">
      <c r="B190" s="563" t="s">
        <v>2022</v>
      </c>
      <c r="C190" s="61"/>
      <c r="D190" s="353"/>
      <c r="E190" s="900">
        <f ca="1">E$181-(E$181-E$191)*0.9</f>
        <v>0.81073890279111227</v>
      </c>
      <c r="F190" s="353"/>
      <c r="G190" s="353"/>
      <c r="H190" s="353"/>
      <c r="I190" s="353"/>
    </row>
    <row r="191" spans="2:9" x14ac:dyDescent="0.25">
      <c r="B191" s="563" t="s">
        <v>2023</v>
      </c>
      <c r="C191" s="61"/>
      <c r="D191" s="353"/>
      <c r="E191" s="900">
        <f ca="1">E181+E144/($E$134-E136*E137)/E147</f>
        <v>0.89970878087901363</v>
      </c>
      <c r="F191" s="353"/>
      <c r="G191" s="353"/>
      <c r="H191" s="353"/>
      <c r="I191" s="353"/>
    </row>
    <row r="192" spans="2:9" x14ac:dyDescent="0.25">
      <c r="B192" s="563"/>
      <c r="C192" s="61"/>
      <c r="D192" s="353"/>
      <c r="E192" s="900"/>
      <c r="F192" s="353"/>
      <c r="G192" s="353"/>
      <c r="H192" s="353"/>
      <c r="I192" s="353"/>
    </row>
    <row r="193" spans="2:9" ht="16.5" x14ac:dyDescent="0.3">
      <c r="B193" s="665" t="s">
        <v>2000</v>
      </c>
      <c r="C193" s="61"/>
      <c r="D193" s="353"/>
      <c r="E193" s="59"/>
      <c r="F193" s="353"/>
      <c r="G193" s="353"/>
      <c r="H193" s="353"/>
      <c r="I193" s="353"/>
    </row>
    <row r="194" spans="2:9" x14ac:dyDescent="0.25">
      <c r="B194" s="563" t="s">
        <v>2024</v>
      </c>
      <c r="C194" s="61"/>
      <c r="D194" s="353"/>
      <c r="E194" s="900">
        <f t="shared" ref="E194:E204" ca="1" si="5">FORECAST(E181,OFFSET($J$129:$J$169,MATCH(E181,$H$129:$H$169,1)-1,0,2),OFFSET($H$129:$H$169,MATCH(E181,$H$129:$H$169,1)-1,0,2))</f>
        <v>0.61996345912145823</v>
      </c>
      <c r="F194" s="353"/>
      <c r="G194" s="353"/>
      <c r="H194" s="353"/>
      <c r="I194" s="353"/>
    </row>
    <row r="195" spans="2:9" x14ac:dyDescent="0.25">
      <c r="B195" s="563" t="s">
        <v>2025</v>
      </c>
      <c r="C195" s="61"/>
      <c r="D195" s="353"/>
      <c r="E195" s="900">
        <f t="shared" ca="1" si="5"/>
        <v>0.20050078804409144</v>
      </c>
      <c r="F195" s="353"/>
      <c r="G195" s="353"/>
      <c r="H195" s="353"/>
      <c r="I195" s="353"/>
    </row>
    <row r="196" spans="2:9" x14ac:dyDescent="0.25">
      <c r="B196" s="563" t="s">
        <v>2026</v>
      </c>
      <c r="C196" s="61"/>
      <c r="D196" s="353"/>
      <c r="E196" s="900">
        <f t="shared" ca="1" si="5"/>
        <v>0.15029183744917279</v>
      </c>
      <c r="F196" s="353"/>
      <c r="G196" s="353"/>
      <c r="H196" s="353"/>
      <c r="I196" s="353"/>
    </row>
    <row r="197" spans="2:9" x14ac:dyDescent="0.25">
      <c r="B197" s="563" t="s">
        <v>2027</v>
      </c>
      <c r="C197" s="61"/>
      <c r="D197" s="353"/>
      <c r="E197" s="900">
        <f t="shared" ca="1" si="5"/>
        <v>0.11730566373146625</v>
      </c>
      <c r="F197" s="353"/>
      <c r="G197" s="353"/>
      <c r="H197" s="353"/>
      <c r="I197" s="353"/>
    </row>
    <row r="198" spans="2:9" x14ac:dyDescent="0.25">
      <c r="B198" s="563" t="s">
        <v>2028</v>
      </c>
      <c r="C198" s="61"/>
      <c r="D198" s="353"/>
      <c r="E198" s="900">
        <f t="shared" ca="1" si="5"/>
        <v>0.11042453997140513</v>
      </c>
      <c r="F198" s="353"/>
      <c r="G198" s="353"/>
      <c r="H198" s="353"/>
      <c r="I198" s="353"/>
    </row>
    <row r="199" spans="2:9" x14ac:dyDescent="0.25">
      <c r="B199" s="563" t="s">
        <v>2029</v>
      </c>
      <c r="C199" s="61"/>
      <c r="D199" s="353"/>
      <c r="E199" s="900">
        <f t="shared" ca="1" si="5"/>
        <v>0.10734267769971353</v>
      </c>
      <c r="F199" s="353"/>
      <c r="G199" s="353"/>
      <c r="H199" s="353"/>
      <c r="I199" s="353"/>
    </row>
    <row r="200" spans="2:9" x14ac:dyDescent="0.25">
      <c r="B200" s="563" t="s">
        <v>2030</v>
      </c>
      <c r="C200" s="61"/>
      <c r="D200" s="353"/>
      <c r="E200" s="900">
        <f t="shared" ca="1" si="5"/>
        <v>9.5788043472971152E-2</v>
      </c>
      <c r="F200" s="353"/>
      <c r="G200" s="353"/>
      <c r="H200" s="353"/>
      <c r="I200" s="353"/>
    </row>
    <row r="201" spans="2:9" x14ac:dyDescent="0.25">
      <c r="B201" s="563" t="s">
        <v>2031</v>
      </c>
      <c r="C201" s="61"/>
      <c r="D201" s="353"/>
      <c r="E201" s="900">
        <f t="shared" ca="1" si="5"/>
        <v>7.8130098607155279E-2</v>
      </c>
      <c r="F201" s="353"/>
      <c r="G201" s="353"/>
      <c r="H201" s="353"/>
      <c r="I201" s="353"/>
    </row>
    <row r="202" spans="2:9" x14ac:dyDescent="0.25">
      <c r="B202" s="563" t="s">
        <v>2032</v>
      </c>
      <c r="C202" s="61"/>
      <c r="D202" s="353"/>
      <c r="E202" s="900">
        <f t="shared" ca="1" si="5"/>
        <v>7.3098162108951578E-2</v>
      </c>
      <c r="F202" s="353"/>
      <c r="G202" s="353"/>
      <c r="H202" s="353"/>
      <c r="I202" s="353"/>
    </row>
    <row r="203" spans="2:9" x14ac:dyDescent="0.25">
      <c r="B203" s="563" t="s">
        <v>2033</v>
      </c>
      <c r="C203" s="61"/>
      <c r="D203" s="353"/>
      <c r="E203" s="900">
        <f t="shared" ca="1" si="5"/>
        <v>7.1247766353446929E-2</v>
      </c>
      <c r="F203" s="353"/>
      <c r="G203" s="353"/>
      <c r="H203" s="353"/>
      <c r="I203" s="353"/>
    </row>
    <row r="204" spans="2:9" x14ac:dyDescent="0.25">
      <c r="B204" s="563" t="s">
        <v>2034</v>
      </c>
      <c r="C204" s="61"/>
      <c r="D204" s="353"/>
      <c r="E204" s="900">
        <f t="shared" ca="1" si="5"/>
        <v>6.9172328470390815E-2</v>
      </c>
      <c r="F204" s="353"/>
      <c r="G204" s="353"/>
      <c r="H204" s="353"/>
      <c r="I204" s="353"/>
    </row>
    <row r="205" spans="2:9" x14ac:dyDescent="0.25">
      <c r="B205" s="61"/>
      <c r="C205" s="61"/>
      <c r="D205" s="353"/>
      <c r="E205" s="59"/>
      <c r="F205" s="353"/>
      <c r="G205" s="353"/>
      <c r="H205" s="353"/>
      <c r="I205" s="353"/>
    </row>
    <row r="206" spans="2:9" ht="15.5" x14ac:dyDescent="0.35">
      <c r="B206" s="917" t="s">
        <v>2035</v>
      </c>
      <c r="G206" s="353"/>
      <c r="H206" s="353"/>
      <c r="I206" s="353"/>
    </row>
    <row r="207" spans="2:9" ht="16.5" x14ac:dyDescent="0.3">
      <c r="B207" s="665" t="s">
        <v>2000</v>
      </c>
      <c r="G207" s="353"/>
      <c r="H207" s="353"/>
      <c r="I207" s="353"/>
    </row>
    <row r="208" spans="2:9" x14ac:dyDescent="0.25">
      <c r="B208" s="61" t="s">
        <v>2036</v>
      </c>
      <c r="C208" s="61"/>
      <c r="D208" s="353"/>
      <c r="E208" s="901">
        <f t="shared" ref="E208:E218" ca="1" si="6">E167-E194</f>
        <v>3.0262127925947455</v>
      </c>
      <c r="F208" s="353"/>
      <c r="G208" s="353"/>
      <c r="H208" s="353"/>
      <c r="I208" s="353"/>
    </row>
    <row r="209" spans="2:9" x14ac:dyDescent="0.25">
      <c r="B209" s="563" t="s">
        <v>2037</v>
      </c>
      <c r="C209" s="61"/>
      <c r="D209" s="353"/>
      <c r="E209" s="901">
        <f t="shared" ca="1" si="6"/>
        <v>3.4793241179388836</v>
      </c>
      <c r="F209" s="353"/>
      <c r="G209" s="353"/>
      <c r="H209" s="353"/>
      <c r="I209" s="353"/>
    </row>
    <row r="210" spans="2:9" x14ac:dyDescent="0.25">
      <c r="B210" s="563" t="s">
        <v>2038</v>
      </c>
      <c r="C210" s="61"/>
      <c r="D210" s="353"/>
      <c r="E210" s="901">
        <f t="shared" ca="1" si="6"/>
        <v>3.5561201652113983</v>
      </c>
      <c r="F210" s="353"/>
      <c r="G210" s="353"/>
      <c r="H210" s="353"/>
      <c r="I210" s="353"/>
    </row>
    <row r="211" spans="2:9" x14ac:dyDescent="0.25">
      <c r="B211" s="563" t="s">
        <v>2039</v>
      </c>
      <c r="C211" s="61"/>
      <c r="D211" s="353"/>
      <c r="E211" s="901">
        <f t="shared" ca="1" si="6"/>
        <v>3.6174188611263811</v>
      </c>
      <c r="F211" s="353"/>
      <c r="G211" s="353"/>
      <c r="H211" s="353"/>
      <c r="I211" s="353"/>
    </row>
    <row r="212" spans="2:9" x14ac:dyDescent="0.25">
      <c r="B212" s="563" t="s">
        <v>2040</v>
      </c>
      <c r="C212" s="61"/>
      <c r="D212" s="353"/>
      <c r="E212" s="901">
        <f t="shared" ca="1" si="6"/>
        <v>3.6578482676000217</v>
      </c>
      <c r="F212" s="353"/>
      <c r="G212" s="353"/>
      <c r="H212" s="353"/>
      <c r="I212" s="353"/>
    </row>
    <row r="213" spans="2:9" x14ac:dyDescent="0.25">
      <c r="B213" s="563" t="s">
        <v>2041</v>
      </c>
      <c r="C213" s="61"/>
      <c r="D213" s="353"/>
      <c r="E213" s="901">
        <f t="shared" ca="1" si="6"/>
        <v>3.7131865578008507</v>
      </c>
      <c r="F213" s="353"/>
      <c r="G213" s="353"/>
      <c r="H213" s="353"/>
      <c r="I213" s="353"/>
    </row>
    <row r="214" spans="2:9" x14ac:dyDescent="0.25">
      <c r="B214" s="563" t="s">
        <v>2042</v>
      </c>
      <c r="C214" s="61"/>
      <c r="D214" s="353"/>
      <c r="E214" s="901">
        <f t="shared" ca="1" si="6"/>
        <v>3.8094496429625218</v>
      </c>
      <c r="F214" s="353"/>
      <c r="G214" s="353"/>
      <c r="H214" s="353"/>
      <c r="I214" s="353"/>
    </row>
    <row r="215" spans="2:9" x14ac:dyDescent="0.25">
      <c r="B215" s="563" t="s">
        <v>2043</v>
      </c>
      <c r="C215" s="61"/>
      <c r="D215" s="353"/>
      <c r="E215" s="901">
        <f t="shared" ca="1" si="6"/>
        <v>3.9163731003255546</v>
      </c>
      <c r="F215" s="353"/>
      <c r="G215" s="353"/>
      <c r="H215" s="353"/>
      <c r="I215" s="353"/>
    </row>
    <row r="216" spans="2:9" x14ac:dyDescent="0.25">
      <c r="B216" s="563" t="s">
        <v>2044</v>
      </c>
      <c r="C216" s="61"/>
      <c r="D216" s="353"/>
      <c r="E216" s="901">
        <f t="shared" ca="1" si="6"/>
        <v>4.0317096614426253</v>
      </c>
      <c r="F216" s="353"/>
      <c r="G216" s="353"/>
      <c r="H216" s="353"/>
      <c r="I216" s="353"/>
    </row>
    <row r="217" spans="2:9" x14ac:dyDescent="0.25">
      <c r="B217" s="563" t="s">
        <v>2045</v>
      </c>
      <c r="C217" s="61"/>
      <c r="D217" s="353"/>
      <c r="E217" s="901">
        <f t="shared" ca="1" si="6"/>
        <v>4.1310560423721885</v>
      </c>
      <c r="F217" s="353"/>
      <c r="G217" s="353"/>
      <c r="H217" s="353"/>
      <c r="I217" s="353"/>
    </row>
    <row r="218" spans="2:9" x14ac:dyDescent="0.25">
      <c r="B218" s="563" t="s">
        <v>2046</v>
      </c>
      <c r="C218" s="61"/>
      <c r="D218" s="353"/>
      <c r="E218" s="901">
        <f t="shared" ca="1" si="6"/>
        <v>4.2499999999999982</v>
      </c>
      <c r="F218" s="353"/>
      <c r="G218" s="353"/>
      <c r="H218" s="353"/>
      <c r="I218" s="353"/>
    </row>
    <row r="219" spans="2:9" ht="13" x14ac:dyDescent="0.3">
      <c r="B219" s="563"/>
      <c r="C219" s="61"/>
      <c r="D219" s="353"/>
      <c r="E219" s="59"/>
      <c r="F219" s="737"/>
    </row>
    <row r="220" spans="2:9" ht="14" x14ac:dyDescent="0.3">
      <c r="B220" s="665" t="s">
        <v>2047</v>
      </c>
      <c r="C220" s="61"/>
      <c r="D220" s="353"/>
      <c r="E220" s="59"/>
    </row>
    <row r="221" spans="2:9" x14ac:dyDescent="0.25">
      <c r="B221" s="563" t="s">
        <v>2048</v>
      </c>
      <c r="C221" s="61"/>
      <c r="D221" s="353"/>
      <c r="E221" s="902">
        <f ca="1">MIN(E144,E143*E147)/(1+E147)</f>
        <v>127.26272095339689</v>
      </c>
    </row>
    <row r="222" spans="2:9" x14ac:dyDescent="0.25">
      <c r="B222" s="563" t="s">
        <v>2049</v>
      </c>
      <c r="C222" s="61"/>
      <c r="D222" s="353"/>
      <c r="E222" s="902">
        <f ca="1">E221*E213</f>
        <v>472.55022475331401</v>
      </c>
    </row>
  </sheetData>
  <mergeCells count="21">
    <mergeCell ref="B2:M2"/>
    <mergeCell ref="B3:M3"/>
    <mergeCell ref="B4:E4"/>
    <mergeCell ref="G4:M4"/>
    <mergeCell ref="C9:D9"/>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641350</xdr:colOff>
                    <xdr:row>35</xdr:row>
                    <xdr:rowOff>31750</xdr:rowOff>
                  </from>
                  <to>
                    <xdr:col>2</xdr:col>
                    <xdr:colOff>1066800</xdr:colOff>
                    <xdr:row>39</xdr:row>
                    <xdr:rowOff>31750</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1441450</xdr:colOff>
                    <xdr:row>107</xdr:row>
                    <xdr:rowOff>146050</xdr:rowOff>
                  </from>
                  <to>
                    <xdr:col>4</xdr:col>
                    <xdr:colOff>831850</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908050</xdr:colOff>
                    <xdr:row>80</xdr:row>
                    <xdr:rowOff>107950</xdr:rowOff>
                  </from>
                  <to>
                    <xdr:col>7</xdr:col>
                    <xdr:colOff>1174750</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7"/>
  <sheetViews>
    <sheetView workbookViewId="0">
      <pane ySplit="6" topLeftCell="A7" activePane="bottomLeft" state="frozen"/>
      <selection pane="bottomLeft" sqref="A1:N1"/>
    </sheetView>
  </sheetViews>
  <sheetFormatPr defaultRowHeight="12.5" x14ac:dyDescent="0.25"/>
  <cols>
    <col min="1" max="1" width="55.54296875" bestFit="1" customWidth="1"/>
    <col min="2" max="2" width="20.453125" bestFit="1" customWidth="1"/>
    <col min="3" max="3" width="10.7265625" bestFit="1" customWidth="1"/>
    <col min="4" max="4" width="10.453125" bestFit="1" customWidth="1"/>
    <col min="5" max="5" width="7.7265625" bestFit="1" customWidth="1"/>
    <col min="6" max="6" width="6.81640625" bestFit="1" customWidth="1"/>
    <col min="7" max="7" width="3.54296875" customWidth="1"/>
    <col min="8" max="8" width="5.453125" customWidth="1"/>
    <col min="9" max="9" width="4" customWidth="1"/>
    <col min="10" max="10" width="4.54296875" customWidth="1"/>
    <col min="11" max="11" width="5.453125" customWidth="1"/>
    <col min="12" max="12" width="5.54296875" customWidth="1"/>
    <col min="13" max="13" width="5.453125" customWidth="1"/>
    <col min="14" max="14" width="4.54296875" customWidth="1"/>
    <col min="15" max="16" width="17.453125" bestFit="1" customWidth="1"/>
    <col min="19" max="19" width="50.54296875" customWidth="1"/>
    <col min="20" max="20" width="20.453125" customWidth="1"/>
    <col min="21" max="21" width="17.453125" customWidth="1"/>
    <col min="22" max="22" width="16.54296875" customWidth="1"/>
    <col min="23" max="23" width="17.54296875" customWidth="1"/>
    <col min="24" max="24" width="16.54296875" customWidth="1"/>
    <col min="25" max="25" width="16" customWidth="1"/>
    <col min="26" max="26" width="18.453125" customWidth="1"/>
    <col min="34" max="34" width="35.54296875" customWidth="1"/>
    <col min="35" max="35" width="11.453125" customWidth="1"/>
    <col min="44" max="44" width="31.54296875" customWidth="1"/>
    <col min="54" max="54" width="32.54296875" customWidth="1"/>
    <col min="64" max="64" width="34.54296875" customWidth="1"/>
    <col min="74" max="74" width="37.453125" customWidth="1"/>
  </cols>
  <sheetData>
    <row r="1" spans="1:25" ht="18.5" thickBot="1" x14ac:dyDescent="0.45">
      <c r="A1" s="1505" t="s">
        <v>2050</v>
      </c>
      <c r="B1" s="1505"/>
      <c r="C1" s="1505"/>
      <c r="D1" s="1505"/>
      <c r="E1" s="1505"/>
      <c r="F1" s="1505"/>
      <c r="G1" s="1505"/>
      <c r="H1" s="1505"/>
      <c r="I1" s="1505"/>
      <c r="J1" s="1505"/>
      <c r="K1" s="1505"/>
      <c r="L1" s="1505"/>
      <c r="M1" s="1505"/>
      <c r="N1" s="1517"/>
      <c r="O1" s="1419" t="s">
        <v>6</v>
      </c>
      <c r="P1" s="1420"/>
    </row>
    <row r="2" spans="1:25" ht="16" thickBot="1" x14ac:dyDescent="0.4">
      <c r="A2" s="1424"/>
      <c r="B2" s="1424"/>
      <c r="C2" s="1424"/>
      <c r="D2" s="1424"/>
      <c r="E2" s="1424"/>
      <c r="F2" s="1424"/>
      <c r="G2" s="1424"/>
      <c r="H2" s="1424"/>
      <c r="I2" s="1424"/>
      <c r="J2" s="1424"/>
      <c r="K2" s="1424"/>
      <c r="L2" s="1424"/>
      <c r="M2" s="1424"/>
      <c r="N2" s="1520"/>
      <c r="O2" s="1241" t="s">
        <v>5</v>
      </c>
      <c r="P2" s="1242" t="s">
        <v>7</v>
      </c>
    </row>
    <row r="3" spans="1:25" ht="15.5" x14ac:dyDescent="0.35">
      <c r="A3" s="1445" t="s">
        <v>2051</v>
      </c>
      <c r="B3" s="1445"/>
      <c r="C3" s="1445"/>
      <c r="D3" s="1445"/>
      <c r="E3" s="1445"/>
      <c r="F3" s="1445"/>
      <c r="G3" s="1445"/>
      <c r="H3" s="1445"/>
      <c r="I3" s="1445"/>
      <c r="J3" s="1445"/>
      <c r="K3" s="1445"/>
      <c r="L3" s="1445"/>
      <c r="M3" s="1445"/>
      <c r="N3" s="1446"/>
      <c r="O3" s="1243" t="s">
        <v>12</v>
      </c>
      <c r="P3" s="1242" t="s">
        <v>13</v>
      </c>
    </row>
    <row r="4" spans="1:25" ht="13" x14ac:dyDescent="0.3">
      <c r="A4" s="1447" t="s">
        <v>282</v>
      </c>
      <c r="B4" s="1447"/>
      <c r="C4" s="1447"/>
      <c r="D4" s="1447"/>
      <c r="E4" s="1521" t="s">
        <v>9</v>
      </c>
      <c r="F4" s="1522"/>
      <c r="G4" s="1522"/>
      <c r="H4" s="1522"/>
      <c r="I4" s="1522"/>
      <c r="J4" s="1522"/>
      <c r="K4" s="1522"/>
      <c r="L4" s="1522"/>
      <c r="M4" s="1522"/>
      <c r="N4" s="1523"/>
      <c r="O4" s="1240" t="s">
        <v>14</v>
      </c>
      <c r="P4" s="1242" t="s">
        <v>15</v>
      </c>
    </row>
    <row r="5" spans="1:25" ht="13.5" thickBot="1" x14ac:dyDescent="0.35">
      <c r="A5" s="1450" t="s">
        <v>10</v>
      </c>
      <c r="B5" s="1450"/>
      <c r="C5" s="1450"/>
      <c r="D5" s="1450"/>
      <c r="E5" s="1524" t="s">
        <v>11</v>
      </c>
      <c r="F5" s="1525"/>
      <c r="G5" s="1525"/>
      <c r="H5" s="1525"/>
      <c r="I5" s="1525"/>
      <c r="J5" s="1525"/>
      <c r="K5" s="1525"/>
      <c r="L5" s="1525"/>
      <c r="M5" s="1525"/>
      <c r="N5" s="1526"/>
      <c r="O5" s="1240" t="s">
        <v>17</v>
      </c>
      <c r="P5" s="1246" t="s">
        <v>18</v>
      </c>
    </row>
    <row r="6" spans="1:25" ht="13" thickBot="1" x14ac:dyDescent="0.3">
      <c r="O6" s="1244" t="s">
        <v>22</v>
      </c>
      <c r="P6" s="1245" t="s">
        <v>23</v>
      </c>
    </row>
    <row r="7" spans="1:25" ht="15.5" x14ac:dyDescent="0.35">
      <c r="A7" s="6"/>
      <c r="B7" s="443" t="s">
        <v>2052</v>
      </c>
      <c r="C7" s="1519" t="s">
        <v>2053</v>
      </c>
      <c r="D7" s="1519"/>
      <c r="E7" s="1519"/>
      <c r="F7" s="1519"/>
      <c r="G7" s="1519"/>
      <c r="H7" s="1519"/>
      <c r="I7" s="1519"/>
      <c r="J7" s="1519"/>
      <c r="K7" s="1519"/>
      <c r="L7" s="1519"/>
      <c r="M7" s="1519"/>
      <c r="N7" s="1519"/>
      <c r="O7" s="1519"/>
      <c r="Y7">
        <v>1</v>
      </c>
    </row>
    <row r="8" spans="1:25" ht="15.5" x14ac:dyDescent="0.35">
      <c r="A8" s="6" t="s">
        <v>2054</v>
      </c>
      <c r="B8" s="443" t="str" cm="1">
        <f t="array" aca="1" ref="B8" ca="1">INDEX(_vehicles, B9)</f>
        <v>EV</v>
      </c>
      <c r="C8" s="443" t="s">
        <v>2055</v>
      </c>
      <c r="D8" s="443" t="s">
        <v>2056</v>
      </c>
      <c r="E8" s="443" t="s">
        <v>2057</v>
      </c>
      <c r="F8" s="443" t="s">
        <v>44</v>
      </c>
      <c r="G8" s="579"/>
      <c r="H8" s="579"/>
      <c r="I8" s="580"/>
      <c r="J8" s="580"/>
      <c r="K8" s="580"/>
      <c r="L8" s="580"/>
      <c r="M8" s="580"/>
      <c r="N8" s="580"/>
      <c r="O8" s="580"/>
    </row>
    <row r="9" spans="1:25" ht="15" customHeight="1" x14ac:dyDescent="0.3">
      <c r="A9" s="327" t="s">
        <v>2058</v>
      </c>
      <c r="B9" s="444">
        <f>MATCH(Dashboard!$D$33, C8:DD8, 0)</f>
        <v>4</v>
      </c>
      <c r="C9" s="174">
        <v>1</v>
      </c>
      <c r="D9" s="174">
        <f>C9+1</f>
        <v>2</v>
      </c>
      <c r="E9" s="174">
        <f>D9+1</f>
        <v>3</v>
      </c>
      <c r="F9" s="174">
        <f>E9+1</f>
        <v>4</v>
      </c>
      <c r="G9" s="581"/>
      <c r="H9" s="581"/>
      <c r="I9" s="580"/>
      <c r="J9" s="580"/>
      <c r="K9" s="580"/>
      <c r="L9" s="580"/>
      <c r="M9" s="580"/>
      <c r="N9" s="580"/>
      <c r="O9" s="580"/>
    </row>
    <row r="10" spans="1:25" ht="15" customHeight="1" x14ac:dyDescent="0.3">
      <c r="A10" s="327"/>
      <c r="B10" s="189"/>
      <c r="C10" s="174"/>
      <c r="D10" s="174"/>
      <c r="E10" s="174"/>
      <c r="F10" s="174"/>
      <c r="G10" s="581"/>
      <c r="H10" s="581"/>
      <c r="I10" s="580"/>
      <c r="J10" s="580"/>
      <c r="K10" s="580"/>
      <c r="L10" s="580"/>
      <c r="M10" s="580"/>
      <c r="N10" s="580"/>
      <c r="O10" s="580"/>
    </row>
    <row r="11" spans="1:25" ht="13" x14ac:dyDescent="0.3">
      <c r="A11" s="130" t="s">
        <v>2059</v>
      </c>
      <c r="B11" s="174"/>
      <c r="C11" s="174"/>
      <c r="D11" s="174"/>
      <c r="E11" s="174"/>
      <c r="F11" s="174"/>
      <c r="G11" s="583" t="s">
        <v>2060</v>
      </c>
      <c r="H11" s="581"/>
      <c r="I11" s="580"/>
      <c r="J11" s="580"/>
      <c r="K11" s="580"/>
      <c r="L11" s="580"/>
      <c r="M11" s="580"/>
      <c r="N11" s="580"/>
      <c r="O11" s="580"/>
    </row>
    <row r="12" spans="1:25" x14ac:dyDescent="0.25">
      <c r="A12" s="353" t="s">
        <v>2061</v>
      </c>
      <c r="B12" s="444" cm="1">
        <f t="array" ref="B12">INDEX(12:12, $B$9+2)</f>
        <v>20</v>
      </c>
      <c r="C12" s="174">
        <v>10</v>
      </c>
      <c r="D12" s="174">
        <v>12</v>
      </c>
      <c r="E12" s="174">
        <v>16</v>
      </c>
      <c r="F12" s="174">
        <v>20</v>
      </c>
      <c r="G12" s="581"/>
      <c r="H12" s="581"/>
      <c r="I12" s="580"/>
      <c r="J12" s="580"/>
      <c r="K12" s="580"/>
      <c r="L12" s="580"/>
      <c r="M12" s="580"/>
      <c r="N12" s="580"/>
      <c r="O12" s="580"/>
    </row>
    <row r="13" spans="1:25" x14ac:dyDescent="0.25">
      <c r="A13" s="353" t="s">
        <v>2062</v>
      </c>
      <c r="B13" s="444" cm="1">
        <f t="array" ref="B13">INDEX(13:13, $B$9+2)</f>
        <v>10</v>
      </c>
      <c r="C13" s="174">
        <v>2</v>
      </c>
      <c r="D13" s="174">
        <v>10</v>
      </c>
      <c r="E13" s="174">
        <v>10</v>
      </c>
      <c r="F13" s="174">
        <v>10</v>
      </c>
      <c r="G13" s="581"/>
      <c r="H13" s="581"/>
      <c r="I13" s="580"/>
      <c r="J13" s="580"/>
      <c r="K13" s="580"/>
      <c r="L13" s="580"/>
      <c r="M13" s="580"/>
      <c r="N13" s="580"/>
      <c r="O13" s="580"/>
    </row>
    <row r="14" spans="1:25" x14ac:dyDescent="0.25">
      <c r="A14" s="353" t="s">
        <v>2063</v>
      </c>
      <c r="B14" s="444" cm="1">
        <f t="array" ref="B14">INDEX(14:14, $B$9+2)</f>
        <v>20</v>
      </c>
      <c r="C14" s="174">
        <v>80</v>
      </c>
      <c r="D14" s="174">
        <v>50</v>
      </c>
      <c r="E14" s="174">
        <v>80</v>
      </c>
      <c r="F14" s="174">
        <v>20</v>
      </c>
      <c r="G14" s="580"/>
      <c r="H14" s="580"/>
      <c r="I14" s="580"/>
      <c r="J14" s="580"/>
      <c r="K14" s="580"/>
      <c r="L14" s="580"/>
      <c r="M14" s="580"/>
      <c r="N14" s="580"/>
      <c r="O14" s="580"/>
    </row>
    <row r="15" spans="1:25" x14ac:dyDescent="0.25">
      <c r="A15" s="353" t="s">
        <v>2064</v>
      </c>
      <c r="B15" s="444" cm="1">
        <f t="array" ref="B15">INDEX(15:15, $B$9+2)</f>
        <v>50</v>
      </c>
      <c r="C15" s="174">
        <v>80</v>
      </c>
      <c r="D15" s="174">
        <v>80</v>
      </c>
      <c r="E15" s="174">
        <v>50</v>
      </c>
      <c r="F15" s="174">
        <v>50</v>
      </c>
      <c r="G15" s="580"/>
      <c r="H15" s="580"/>
      <c r="I15" s="580"/>
      <c r="J15" s="580"/>
      <c r="K15" s="580"/>
      <c r="L15" s="580"/>
      <c r="M15" s="580"/>
      <c r="N15" s="580"/>
      <c r="O15" s="580"/>
    </row>
    <row r="16" spans="1:25" x14ac:dyDescent="0.25">
      <c r="A16" s="353" t="s">
        <v>2065</v>
      </c>
      <c r="B16" s="444" cm="1">
        <f t="array" ref="B16">INDEX(16:16, $B$9+2)</f>
        <v>95</v>
      </c>
      <c r="C16" s="174">
        <v>95</v>
      </c>
      <c r="D16" s="174">
        <v>90</v>
      </c>
      <c r="E16" s="174">
        <v>90</v>
      </c>
      <c r="F16" s="174">
        <v>95</v>
      </c>
      <c r="G16" s="580"/>
      <c r="H16" s="580"/>
      <c r="I16" s="580"/>
      <c r="J16" s="580"/>
      <c r="K16" s="580"/>
      <c r="L16" s="580"/>
      <c r="M16" s="580"/>
      <c r="N16" s="580"/>
      <c r="O16" s="580"/>
    </row>
    <row r="17" spans="1:16" x14ac:dyDescent="0.25">
      <c r="A17" s="353" t="s">
        <v>2066</v>
      </c>
      <c r="B17" s="444" cm="1">
        <f t="array" ref="B17">INDEX(17:17, $B$9+2)</f>
        <v>10</v>
      </c>
      <c r="C17" s="174">
        <v>70</v>
      </c>
      <c r="D17" s="174">
        <v>30</v>
      </c>
      <c r="E17" s="174">
        <v>20</v>
      </c>
      <c r="F17" s="174">
        <v>10</v>
      </c>
      <c r="G17" s="580"/>
      <c r="H17" s="580"/>
      <c r="I17" s="580"/>
      <c r="J17" s="580"/>
      <c r="K17" s="580"/>
      <c r="L17" s="580"/>
      <c r="M17" s="580"/>
      <c r="N17" s="580"/>
      <c r="O17" s="580"/>
    </row>
    <row r="18" spans="1:16" x14ac:dyDescent="0.25">
      <c r="A18" s="353" t="s">
        <v>2067</v>
      </c>
      <c r="B18" s="444" cm="1">
        <f t="array" ref="B18">INDEX(18:18, $B$9+2)</f>
        <v>5</v>
      </c>
      <c r="C18" s="174">
        <v>2</v>
      </c>
      <c r="D18" s="174">
        <v>2</v>
      </c>
      <c r="E18" s="174">
        <v>2</v>
      </c>
      <c r="F18" s="174">
        <v>5</v>
      </c>
      <c r="G18" s="580"/>
      <c r="H18" s="580"/>
      <c r="I18" s="580"/>
      <c r="J18" s="580"/>
      <c r="K18" s="580"/>
      <c r="L18" s="580"/>
      <c r="M18" s="580"/>
      <c r="N18" s="580"/>
      <c r="O18" s="580"/>
    </row>
    <row r="19" spans="1:16" x14ac:dyDescent="0.25">
      <c r="A19" s="353" t="s">
        <v>2068</v>
      </c>
      <c r="B19" s="444" t="b" cm="1">
        <f t="array" ref="B19">INDEX(19:19, $B$9+2)</f>
        <v>1</v>
      </c>
      <c r="C19" s="174" t="b">
        <v>0</v>
      </c>
      <c r="D19" s="174" t="b">
        <v>0</v>
      </c>
      <c r="E19" s="174" t="b">
        <v>0</v>
      </c>
      <c r="F19" s="174" t="b">
        <v>1</v>
      </c>
      <c r="G19" s="582"/>
      <c r="H19" s="582"/>
      <c r="I19" s="580"/>
      <c r="J19" s="580"/>
      <c r="K19" s="580"/>
      <c r="L19" s="580"/>
      <c r="M19" s="580"/>
      <c r="N19" s="580"/>
      <c r="O19" s="580"/>
    </row>
    <row r="20" spans="1:16" x14ac:dyDescent="0.25">
      <c r="A20" s="353" t="s">
        <v>2069</v>
      </c>
      <c r="B20" s="444" t="str" cm="1">
        <f t="array" ref="B20">INDEX(20:20, $B$9+2)</f>
        <v>Energy</v>
      </c>
      <c r="C20" s="174" t="s">
        <v>49</v>
      </c>
      <c r="D20" s="174" t="s">
        <v>49</v>
      </c>
      <c r="E20" s="174" t="s">
        <v>2070</v>
      </c>
      <c r="F20" s="174" t="s">
        <v>2071</v>
      </c>
      <c r="G20" s="580"/>
      <c r="H20" s="580"/>
      <c r="I20" s="580"/>
      <c r="J20" s="580"/>
      <c r="K20" s="580"/>
      <c r="L20" s="580"/>
      <c r="M20" s="580"/>
      <c r="N20" s="580"/>
      <c r="O20" s="580"/>
    </row>
    <row r="21" spans="1:16" x14ac:dyDescent="0.25">
      <c r="A21" t="s">
        <v>2072</v>
      </c>
      <c r="B21" s="444" cm="1">
        <f t="array" ref="B21">INDEX(21:21, $B$9+2)</f>
        <v>150</v>
      </c>
      <c r="C21" s="52">
        <v>50</v>
      </c>
      <c r="D21" s="52">
        <v>100</v>
      </c>
      <c r="E21" s="52">
        <v>150</v>
      </c>
      <c r="F21" s="52">
        <v>150</v>
      </c>
      <c r="G21" s="580"/>
      <c r="H21" s="580"/>
      <c r="I21" s="580"/>
      <c r="J21" s="580"/>
      <c r="K21" s="580"/>
      <c r="L21" s="580"/>
      <c r="M21" s="580"/>
      <c r="N21" s="580"/>
      <c r="O21" s="580"/>
    </row>
    <row r="22" spans="1:16" ht="15" customHeight="1" x14ac:dyDescent="0.25">
      <c r="G22" s="580"/>
      <c r="H22" s="580"/>
      <c r="I22" s="580"/>
      <c r="J22" s="580"/>
      <c r="K22" s="580"/>
      <c r="L22" s="580"/>
      <c r="M22" s="580"/>
      <c r="N22" s="580"/>
      <c r="O22" s="580"/>
    </row>
    <row r="23" spans="1:16" ht="15.65" customHeight="1" x14ac:dyDescent="0.3">
      <c r="A23" s="130" t="s">
        <v>2073</v>
      </c>
      <c r="B23" s="174"/>
      <c r="C23" s="174"/>
      <c r="D23" s="174"/>
      <c r="E23" s="174"/>
      <c r="F23" s="174"/>
      <c r="G23" s="580"/>
      <c r="H23" s="580"/>
      <c r="I23" s="580"/>
      <c r="J23" s="580"/>
      <c r="K23" s="580"/>
      <c r="L23" s="580"/>
      <c r="M23" s="580"/>
      <c r="N23" s="580"/>
      <c r="O23" s="580"/>
    </row>
    <row r="24" spans="1:16" x14ac:dyDescent="0.25">
      <c r="A24" s="353" t="s">
        <v>2074</v>
      </c>
      <c r="B24" s="444" t="b" cm="1">
        <f t="array" ref="B24">INDEX(24:24, $B$9+2)</f>
        <v>1</v>
      </c>
      <c r="C24" s="353" t="b">
        <v>0</v>
      </c>
      <c r="D24" s="353" t="b">
        <v>0</v>
      </c>
      <c r="E24" s="353" t="b">
        <v>1</v>
      </c>
      <c r="F24" s="353" t="b">
        <v>1</v>
      </c>
      <c r="G24" s="580"/>
      <c r="H24" s="580"/>
      <c r="I24" s="580"/>
      <c r="J24" s="580"/>
      <c r="K24" s="580"/>
      <c r="L24" s="580"/>
      <c r="M24" s="580"/>
      <c r="N24" s="580"/>
      <c r="O24" s="580"/>
    </row>
    <row r="25" spans="1:16" x14ac:dyDescent="0.25">
      <c r="A25" s="353" t="s">
        <v>2075</v>
      </c>
      <c r="B25" s="444" t="b" cm="1">
        <f t="array" ref="B25">INDEX(25:25, $B$9+2)</f>
        <v>1</v>
      </c>
      <c r="C25" s="353" t="b">
        <v>0</v>
      </c>
      <c r="D25" s="353" t="b">
        <v>0</v>
      </c>
      <c r="E25" s="353" t="b">
        <v>1</v>
      </c>
      <c r="F25" s="353" t="b">
        <v>1</v>
      </c>
      <c r="G25" s="580"/>
      <c r="H25" s="580"/>
      <c r="I25" s="580"/>
      <c r="J25" s="580"/>
      <c r="K25" s="580"/>
      <c r="L25" s="580"/>
      <c r="M25" s="580"/>
      <c r="N25" s="580"/>
      <c r="O25" s="580"/>
    </row>
    <row r="26" spans="1:16" x14ac:dyDescent="0.25">
      <c r="B26" s="174"/>
      <c r="C26" s="45"/>
      <c r="D26" s="45"/>
      <c r="E26" s="45"/>
      <c r="F26" s="45"/>
      <c r="G26" s="580"/>
      <c r="H26" s="580"/>
      <c r="I26" s="580"/>
      <c r="J26" s="580"/>
      <c r="K26" s="580"/>
      <c r="L26" s="580"/>
      <c r="M26" s="580"/>
      <c r="N26" s="580"/>
      <c r="O26" s="580"/>
    </row>
    <row r="27" spans="1:16" ht="13" x14ac:dyDescent="0.3">
      <c r="A27" s="130" t="s">
        <v>2076</v>
      </c>
      <c r="B27" s="174"/>
      <c r="C27" s="45"/>
      <c r="D27" s="45"/>
      <c r="E27" s="45"/>
      <c r="F27" s="45"/>
      <c r="G27" s="580"/>
      <c r="H27" s="580"/>
      <c r="I27" s="580"/>
      <c r="J27" s="580"/>
      <c r="K27" s="580"/>
      <c r="L27" s="580"/>
      <c r="M27" s="580"/>
      <c r="N27" s="580"/>
      <c r="O27" s="580"/>
    </row>
    <row r="28" spans="1:16" ht="13" x14ac:dyDescent="0.3">
      <c r="A28" s="353" t="s">
        <v>2077</v>
      </c>
      <c r="B28" s="444" t="b" cm="1">
        <f t="array" ref="B28">INDEX(28:28, $B$9+2)</f>
        <v>1</v>
      </c>
      <c r="C28" s="189" t="b">
        <v>0</v>
      </c>
      <c r="D28" s="189" t="b">
        <v>0</v>
      </c>
      <c r="E28" s="189" t="b">
        <v>0</v>
      </c>
      <c r="F28" s="189" t="b">
        <v>1</v>
      </c>
      <c r="G28" s="580"/>
      <c r="H28" s="580"/>
      <c r="I28" s="580"/>
      <c r="J28" s="580"/>
      <c r="K28" s="580"/>
      <c r="L28" s="580"/>
      <c r="M28" s="580"/>
      <c r="N28" s="580"/>
      <c r="O28" s="580"/>
      <c r="P28" s="737"/>
    </row>
    <row r="29" spans="1:16" ht="13" x14ac:dyDescent="0.3">
      <c r="A29" s="353" t="s">
        <v>2078</v>
      </c>
      <c r="B29" s="444" t="b" cm="1">
        <f t="array" ref="B29">INDEX(29:29, $B$9+2)</f>
        <v>1</v>
      </c>
      <c r="C29" s="189" t="b">
        <v>0</v>
      </c>
      <c r="D29" s="189" t="b">
        <v>0</v>
      </c>
      <c r="E29" s="189" t="b">
        <v>1</v>
      </c>
      <c r="F29" s="189" t="b">
        <v>1</v>
      </c>
      <c r="G29" s="580"/>
      <c r="H29" s="580"/>
      <c r="I29" s="580"/>
      <c r="J29" s="580"/>
      <c r="K29" s="580"/>
      <c r="L29" s="580"/>
      <c r="M29" s="580"/>
      <c r="N29" s="580"/>
      <c r="O29" s="580"/>
      <c r="P29" s="737"/>
    </row>
    <row r="30" spans="1:16" x14ac:dyDescent="0.25">
      <c r="A30" s="1051" t="s">
        <v>1273</v>
      </c>
      <c r="B30" s="444" cm="1">
        <f t="array" ref="B30">INDEX(30:30, $B$9+2)</f>
        <v>40</v>
      </c>
      <c r="C30" s="189">
        <v>20</v>
      </c>
      <c r="D30" s="189">
        <v>40</v>
      </c>
      <c r="E30" s="189">
        <v>40</v>
      </c>
      <c r="F30" s="189">
        <v>40</v>
      </c>
      <c r="G30" s="580"/>
      <c r="H30" s="580"/>
      <c r="I30" s="580"/>
      <c r="J30" s="580"/>
      <c r="K30" s="580"/>
      <c r="L30" s="580"/>
      <c r="M30" s="580"/>
      <c r="N30" s="580"/>
      <c r="O30" s="580"/>
    </row>
    <row r="31" spans="1:16" x14ac:dyDescent="0.25">
      <c r="A31" s="353" t="s">
        <v>1268</v>
      </c>
      <c r="B31" s="444" cm="1">
        <f t="array" ref="B31">INDEX(31:31, $B$9+2)</f>
        <v>20</v>
      </c>
      <c r="C31" s="189">
        <v>0</v>
      </c>
      <c r="D31" s="189">
        <v>20</v>
      </c>
      <c r="E31" s="189">
        <v>20</v>
      </c>
      <c r="F31" s="189">
        <v>20</v>
      </c>
      <c r="G31" s="580"/>
      <c r="H31" s="580"/>
      <c r="I31" s="580"/>
      <c r="J31" s="580"/>
      <c r="K31" s="580"/>
      <c r="L31" s="580"/>
      <c r="M31" s="580"/>
      <c r="N31" s="580"/>
      <c r="O31" s="580"/>
    </row>
    <row r="32" spans="1:16" x14ac:dyDescent="0.25">
      <c r="A32" s="353" t="s">
        <v>2079</v>
      </c>
      <c r="B32" s="444" cm="1">
        <f t="array" ref="B32">INDEX(32:32, $B$9+2)</f>
        <v>70</v>
      </c>
      <c r="C32" s="52">
        <v>0</v>
      </c>
      <c r="D32" s="52">
        <v>35</v>
      </c>
      <c r="E32" s="52">
        <v>70</v>
      </c>
      <c r="F32" s="52">
        <v>70</v>
      </c>
      <c r="G32" s="580"/>
      <c r="H32" s="580"/>
      <c r="I32" s="580"/>
      <c r="J32" s="580"/>
      <c r="K32" s="580"/>
      <c r="L32" s="580"/>
      <c r="M32" s="580"/>
      <c r="N32" s="580"/>
      <c r="O32" s="580"/>
    </row>
    <row r="33" spans="1:15" x14ac:dyDescent="0.25">
      <c r="A33" t="s">
        <v>1743</v>
      </c>
      <c r="B33" s="444" cm="1">
        <f t="array" ref="B33">INDEX(33:33, $B$9+2)</f>
        <v>250</v>
      </c>
      <c r="C33" s="52">
        <v>250</v>
      </c>
      <c r="D33" s="52">
        <v>250</v>
      </c>
      <c r="E33" s="52">
        <v>250</v>
      </c>
      <c r="F33" s="52">
        <v>250</v>
      </c>
      <c r="G33" s="580"/>
      <c r="H33" s="580"/>
      <c r="I33" s="580"/>
      <c r="J33" s="580"/>
      <c r="K33" s="580"/>
      <c r="L33" s="580"/>
      <c r="M33" s="580"/>
      <c r="N33" s="580"/>
      <c r="O33" s="580"/>
    </row>
    <row r="34" spans="1:15" x14ac:dyDescent="0.25">
      <c r="A34" s="353" t="s">
        <v>2080</v>
      </c>
      <c r="B34" s="444" cm="1">
        <f t="array" ref="B34">INDEX(34:34, $B$9+2)</f>
        <v>0.04</v>
      </c>
      <c r="C34" s="52">
        <v>0.02</v>
      </c>
      <c r="D34" s="52">
        <v>0.04</v>
      </c>
      <c r="E34" s="52">
        <v>0.04</v>
      </c>
      <c r="F34" s="52">
        <v>0.04</v>
      </c>
      <c r="G34" s="580"/>
      <c r="H34" s="580"/>
      <c r="I34" s="580"/>
      <c r="J34" s="580"/>
      <c r="K34" s="580"/>
      <c r="L34" s="580"/>
      <c r="M34" s="580"/>
      <c r="N34" s="580"/>
      <c r="O34" s="580"/>
    </row>
    <row r="35" spans="1:15" x14ac:dyDescent="0.25">
      <c r="C35" s="45"/>
      <c r="D35" s="45"/>
      <c r="E35" s="45"/>
      <c r="F35" s="45"/>
      <c r="G35" s="580"/>
      <c r="H35" s="580"/>
      <c r="I35" s="580"/>
      <c r="J35" s="580"/>
      <c r="K35" s="580"/>
      <c r="L35" s="580"/>
      <c r="M35" s="580"/>
      <c r="N35" s="580"/>
      <c r="O35" s="580"/>
    </row>
    <row r="36" spans="1:15" x14ac:dyDescent="0.25">
      <c r="C36" s="45"/>
      <c r="D36" s="45"/>
      <c r="E36" s="45"/>
      <c r="F36" s="45"/>
      <c r="G36" s="580"/>
      <c r="H36" s="580"/>
      <c r="I36" s="580"/>
      <c r="J36" s="580"/>
      <c r="K36" s="580"/>
      <c r="L36" s="580"/>
      <c r="M36" s="580"/>
      <c r="N36" s="580"/>
      <c r="O36" s="580"/>
    </row>
    <row r="37" spans="1:15" x14ac:dyDescent="0.25">
      <c r="G37" s="580"/>
      <c r="H37" s="580"/>
      <c r="I37" s="580"/>
      <c r="J37" s="580"/>
      <c r="K37" s="580"/>
      <c r="L37" s="580"/>
      <c r="M37" s="580"/>
      <c r="N37" s="580"/>
      <c r="O37" s="580"/>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74"/>
  <sheetViews>
    <sheetView workbookViewId="0">
      <pane ySplit="6" topLeftCell="A7" activePane="bottomLeft" state="frozen"/>
      <selection pane="bottomLeft"/>
    </sheetView>
  </sheetViews>
  <sheetFormatPr defaultRowHeight="12.5" x14ac:dyDescent="0.25"/>
  <cols>
    <col min="4" max="4" width="38.453125" customWidth="1"/>
    <col min="5" max="5" width="18.453125" customWidth="1"/>
    <col min="6" max="6" width="20.54296875" customWidth="1"/>
    <col min="7" max="7" width="18" customWidth="1"/>
    <col min="8" max="8" width="16.54296875" customWidth="1"/>
    <col min="9" max="9" width="15.453125" customWidth="1"/>
    <col min="10" max="11" width="17.453125" customWidth="1"/>
    <col min="12" max="12" width="15.453125" customWidth="1"/>
    <col min="14" max="14" width="18" bestFit="1" customWidth="1"/>
    <col min="15" max="15" width="18.54296875" bestFit="1" customWidth="1"/>
    <col min="16" max="16" width="9.54296875" customWidth="1"/>
    <col min="17" max="17" width="31.453125" customWidth="1"/>
    <col min="18" max="18" width="13.453125" customWidth="1"/>
    <col min="19" max="19" width="13.54296875" customWidth="1"/>
    <col min="20" max="20" width="14.453125" customWidth="1"/>
    <col min="21" max="21" width="13.54296875" customWidth="1"/>
    <col min="22" max="22" width="12.453125" customWidth="1"/>
    <col min="23" max="23" width="12.54296875" customWidth="1"/>
    <col min="24" max="24" width="14.453125" customWidth="1"/>
    <col min="27" max="27" width="24.54296875" customWidth="1"/>
    <col min="28" max="28" width="23.453125" customWidth="1"/>
    <col min="29" max="29" width="16.54296875" customWidth="1"/>
    <col min="30" max="30" width="15.453125" customWidth="1"/>
    <col min="31" max="31" width="14.54296875" customWidth="1"/>
    <col min="32" max="32" width="12.54296875" customWidth="1"/>
    <col min="33" max="33" width="14" customWidth="1"/>
    <col min="34" max="34" width="13.453125" customWidth="1"/>
    <col min="35" max="35" width="13" customWidth="1"/>
    <col min="37" max="37" width="23.54296875" customWidth="1"/>
    <col min="38" max="38" width="16.453125" customWidth="1"/>
    <col min="39" max="39" width="14.54296875" customWidth="1"/>
    <col min="40" max="41" width="15.453125" customWidth="1"/>
    <col min="42" max="42" width="17" customWidth="1"/>
    <col min="43" max="43" width="14.453125" customWidth="1"/>
    <col min="44" max="44" width="11.54296875" bestFit="1" customWidth="1"/>
    <col min="47" max="47" width="23.7265625" customWidth="1"/>
    <col min="48" max="48" width="12.54296875" bestFit="1" customWidth="1"/>
    <col min="49" max="49" width="17" customWidth="1"/>
    <col min="50" max="50" width="13" bestFit="1" customWidth="1"/>
    <col min="51" max="51" width="12.1796875" bestFit="1" customWidth="1"/>
    <col min="52" max="52" width="13" bestFit="1" customWidth="1"/>
    <col min="53" max="53" width="11.26953125" customWidth="1"/>
    <col min="54" max="54" width="13" bestFit="1" customWidth="1"/>
    <col min="57" max="57" width="24.26953125" customWidth="1"/>
    <col min="58" max="58" width="10.26953125" bestFit="1" customWidth="1"/>
    <col min="59" max="59" width="12.26953125" customWidth="1"/>
    <col min="60" max="60" width="10.26953125" bestFit="1" customWidth="1"/>
    <col min="61" max="61" width="12.1796875" bestFit="1" customWidth="1"/>
    <col min="62" max="62" width="10.26953125" bestFit="1" customWidth="1"/>
    <col min="63" max="63" width="11.453125" customWidth="1"/>
    <col min="64" max="64" width="10.26953125" bestFit="1" customWidth="1"/>
  </cols>
  <sheetData>
    <row r="1" spans="2:65" ht="18.5" thickBot="1" x14ac:dyDescent="0.45">
      <c r="B1" s="1506" t="s">
        <v>2081</v>
      </c>
      <c r="C1" s="1508"/>
      <c r="D1" s="1508"/>
      <c r="E1" s="1508"/>
      <c r="F1" s="1508"/>
      <c r="G1" s="1508"/>
      <c r="H1" s="1508"/>
      <c r="I1" s="1508"/>
      <c r="J1" s="1508"/>
      <c r="K1" s="1508"/>
      <c r="L1" s="1508"/>
      <c r="M1" s="1509"/>
      <c r="N1" s="1419" t="s">
        <v>6</v>
      </c>
      <c r="O1" s="1420"/>
    </row>
    <row r="2" spans="2:65" ht="16" thickBot="1" x14ac:dyDescent="0.4">
      <c r="B2" s="1531" t="str">
        <f>Dashboard!B2</f>
        <v>EV with NMC811-G (Energy) Electrodes</v>
      </c>
      <c r="C2" s="1532"/>
      <c r="D2" s="1532"/>
      <c r="E2" s="1532"/>
      <c r="F2" s="1532"/>
      <c r="G2" s="1532"/>
      <c r="H2" s="1532"/>
      <c r="I2" s="1532"/>
      <c r="J2" s="1532"/>
      <c r="K2" s="1532"/>
      <c r="L2" s="1532"/>
      <c r="M2" s="1533"/>
      <c r="N2" s="1241" t="s">
        <v>5</v>
      </c>
      <c r="O2" s="1242" t="s">
        <v>7</v>
      </c>
      <c r="Q2" s="885"/>
    </row>
    <row r="3" spans="2:65" ht="15.5" x14ac:dyDescent="0.35">
      <c r="B3" s="1492" t="s">
        <v>2082</v>
      </c>
      <c r="C3" s="1493"/>
      <c r="D3" s="1493"/>
      <c r="E3" s="1493"/>
      <c r="F3" s="1493"/>
      <c r="G3" s="1493"/>
      <c r="H3" s="1493"/>
      <c r="I3" s="1493"/>
      <c r="J3" s="1493"/>
      <c r="K3" s="1493"/>
      <c r="L3" s="1493"/>
      <c r="M3" s="1502"/>
      <c r="N3" s="1243" t="s">
        <v>12</v>
      </c>
      <c r="O3" s="1242" t="s">
        <v>13</v>
      </c>
    </row>
    <row r="4" spans="2:65" ht="13" x14ac:dyDescent="0.3">
      <c r="B4" s="1447" t="s">
        <v>282</v>
      </c>
      <c r="C4" s="1447"/>
      <c r="D4" s="1447"/>
      <c r="E4" s="1447"/>
      <c r="F4" s="264"/>
      <c r="G4" s="1448" t="s">
        <v>9</v>
      </c>
      <c r="H4" s="1473"/>
      <c r="I4" s="1473"/>
      <c r="J4" s="1473"/>
      <c r="K4" s="1473"/>
      <c r="L4" s="1473"/>
      <c r="M4" s="1474"/>
      <c r="N4" s="1240" t="s">
        <v>14</v>
      </c>
      <c r="O4" s="1242" t="s">
        <v>15</v>
      </c>
    </row>
    <row r="5" spans="2:65" ht="13.5" thickBot="1" x14ac:dyDescent="0.35">
      <c r="B5" s="1450" t="s">
        <v>10</v>
      </c>
      <c r="C5" s="1450"/>
      <c r="D5" s="1450"/>
      <c r="E5" s="1450"/>
      <c r="F5" s="254"/>
      <c r="G5" s="1451" t="s">
        <v>11</v>
      </c>
      <c r="H5" s="1475"/>
      <c r="I5" s="1475"/>
      <c r="J5" s="1475"/>
      <c r="K5" s="1475"/>
      <c r="L5" s="1475"/>
      <c r="M5" s="1476"/>
      <c r="N5" s="1240" t="s">
        <v>17</v>
      </c>
      <c r="O5" s="1246" t="s">
        <v>18</v>
      </c>
    </row>
    <row r="6" spans="2:65" ht="13" thickBot="1" x14ac:dyDescent="0.3">
      <c r="N6" s="1244" t="s">
        <v>22</v>
      </c>
      <c r="O6" s="1245" t="s">
        <v>23</v>
      </c>
    </row>
    <row r="12" spans="2:65" ht="13" thickBot="1" x14ac:dyDescent="0.3"/>
    <row r="13" spans="2:65" ht="18" thickBot="1" x14ac:dyDescent="0.4">
      <c r="D13" s="1527" t="s">
        <v>2083</v>
      </c>
      <c r="E13" s="1528"/>
      <c r="F13" s="1529"/>
      <c r="G13" s="1529"/>
      <c r="H13" s="1529"/>
      <c r="I13" s="1529"/>
      <c r="J13" s="1529"/>
      <c r="K13" s="1529"/>
      <c r="L13" s="1530"/>
      <c r="P13" s="839"/>
      <c r="Q13" s="845" t="s">
        <v>2084</v>
      </c>
      <c r="R13" s="836" t="str" cm="1">
        <f t="array" aca="1" ref="R13" ca="1">INDEX(_vehicles, R14)</f>
        <v>mildHEV</v>
      </c>
      <c r="S13" s="837"/>
      <c r="T13" s="837"/>
      <c r="U13" s="837"/>
      <c r="V13" s="838"/>
      <c r="W13" s="840" t="s">
        <v>2085</v>
      </c>
      <c r="X13" s="841"/>
      <c r="Y13" s="847">
        <f>Y15</f>
        <v>3</v>
      </c>
      <c r="Z13" s="839"/>
      <c r="AA13" s="845" t="s">
        <v>2084</v>
      </c>
      <c r="AB13" s="836" t="str" cm="1">
        <f t="array" aca="1" ref="AB13" ca="1">INDEX(_vehicles, AB14)</f>
        <v>HEV-HP</v>
      </c>
      <c r="AC13" s="837"/>
      <c r="AD13" s="837"/>
      <c r="AE13" s="837"/>
      <c r="AF13" s="838"/>
      <c r="AG13" s="840" t="s">
        <v>2085</v>
      </c>
      <c r="AH13" s="841"/>
      <c r="AI13" s="847">
        <f>AI15</f>
        <v>3</v>
      </c>
      <c r="AJ13" s="839"/>
      <c r="AK13" s="845" t="s">
        <v>2084</v>
      </c>
      <c r="AL13" s="836" t="str" cm="1">
        <f t="array" aca="1" ref="AL13" ca="1">INDEX(_vehicles, AL14)</f>
        <v>PHEV</v>
      </c>
      <c r="AM13" s="837"/>
      <c r="AN13" s="837"/>
      <c r="AO13" s="837"/>
      <c r="AP13" s="838"/>
      <c r="AQ13" s="840" t="s">
        <v>2085</v>
      </c>
      <c r="AR13" s="841"/>
      <c r="AS13" s="847">
        <f>AS15</f>
        <v>2</v>
      </c>
      <c r="AT13" s="839"/>
      <c r="AU13" s="845" t="s">
        <v>2084</v>
      </c>
      <c r="AV13" s="836" t="str" cm="1">
        <f t="array" aca="1" ref="AV13" ca="1">INDEX(_vehicles, AV14)</f>
        <v>EV</v>
      </c>
      <c r="AW13" s="837"/>
      <c r="AX13" s="837"/>
      <c r="AY13" s="837"/>
      <c r="AZ13" s="838"/>
      <c r="BA13" s="840" t="s">
        <v>2085</v>
      </c>
      <c r="BB13" s="841"/>
      <c r="BC13" s="847">
        <f>BC15</f>
        <v>2</v>
      </c>
      <c r="BD13" s="839"/>
      <c r="BE13" s="845" t="s">
        <v>2084</v>
      </c>
      <c r="BF13" s="836" t="e" cm="1">
        <f t="array" aca="1" ref="BF13" ca="1">INDEX(_vehicles, BF14)</f>
        <v>#REF!</v>
      </c>
      <c r="BG13" s="837"/>
      <c r="BH13" s="837"/>
      <c r="BI13" s="837"/>
      <c r="BJ13" s="838"/>
      <c r="BK13" s="840" t="s">
        <v>2085</v>
      </c>
      <c r="BL13" s="841"/>
      <c r="BM13" s="847">
        <f>BM15</f>
        <v>1</v>
      </c>
    </row>
    <row r="14" spans="2:65" ht="18" thickBot="1" x14ac:dyDescent="0.4">
      <c r="D14" s="588" t="s">
        <v>2086</v>
      </c>
      <c r="E14" s="794" t="str">
        <f ca="1">OFFSET('Default Vehicle Configurations'!U15, 20*(G16-1), 10*($E$16-1))</f>
        <v>Default 1</v>
      </c>
      <c r="F14" s="795"/>
      <c r="G14" s="795"/>
      <c r="H14" s="829">
        <v>0</v>
      </c>
      <c r="J14" s="308"/>
      <c r="K14" s="799"/>
      <c r="L14" s="343"/>
      <c r="P14" s="842"/>
      <c r="Q14" s="846" t="s">
        <v>2087</v>
      </c>
      <c r="R14" s="825">
        <f>H14+1</f>
        <v>1</v>
      </c>
      <c r="S14" s="843"/>
      <c r="T14" s="843"/>
      <c r="U14" s="843"/>
      <c r="V14" s="843"/>
      <c r="W14" s="843"/>
      <c r="X14" s="843"/>
      <c r="Y14" s="844"/>
      <c r="Z14" s="842"/>
      <c r="AA14" s="846" t="s">
        <v>2087</v>
      </c>
      <c r="AB14" s="825">
        <f>R14+1</f>
        <v>2</v>
      </c>
      <c r="AC14" s="843"/>
      <c r="AD14" s="843"/>
      <c r="AE14" s="843"/>
      <c r="AF14" s="843"/>
      <c r="AG14" s="843"/>
      <c r="AH14" s="843"/>
      <c r="AI14" s="844"/>
      <c r="AJ14" s="842"/>
      <c r="AK14" s="846" t="s">
        <v>2087</v>
      </c>
      <c r="AL14" s="825">
        <f>AB14+1</f>
        <v>3</v>
      </c>
      <c r="AM14" s="843"/>
      <c r="AN14" s="843"/>
      <c r="AO14" s="843"/>
      <c r="AP14" s="843"/>
      <c r="AQ14" s="843"/>
      <c r="AR14" s="843"/>
      <c r="AS14" s="844"/>
      <c r="AT14" s="842"/>
      <c r="AU14" s="846" t="s">
        <v>2087</v>
      </c>
      <c r="AV14" s="825">
        <f>AL14+1</f>
        <v>4</v>
      </c>
      <c r="AW14" s="843"/>
      <c r="AX14" s="843"/>
      <c r="AY14" s="843"/>
      <c r="AZ14" s="843"/>
      <c r="BA14" s="843"/>
      <c r="BB14" s="843"/>
      <c r="BC14" s="844"/>
      <c r="BD14" s="842"/>
      <c r="BE14" s="846" t="s">
        <v>2087</v>
      </c>
      <c r="BF14" s="825">
        <f>AV14+1</f>
        <v>5</v>
      </c>
      <c r="BG14" s="843"/>
      <c r="BH14" s="843"/>
      <c r="BI14" s="843"/>
      <c r="BJ14" s="843"/>
      <c r="BK14" s="843"/>
      <c r="BL14" s="843"/>
      <c r="BM14" s="844"/>
    </row>
    <row r="15" spans="2:65" ht="18.5" thickBot="1" x14ac:dyDescent="0.45">
      <c r="D15" s="309" t="s">
        <v>43</v>
      </c>
      <c r="E15" s="792" t="str">
        <f ca="1">'Vehicle Considerations'!B8</f>
        <v>EV</v>
      </c>
      <c r="F15" s="299" t="s">
        <v>2085</v>
      </c>
      <c r="G15" s="793">
        <f ca="1">OFFSET('Default Vehicle Configurations'!Y13, 0, 10*($E$16-1))</f>
        <v>2</v>
      </c>
      <c r="H15" s="353" t="s">
        <v>2088</v>
      </c>
      <c r="I15" s="859" t="str">
        <f ca="1">IF(ISBLANK(OFFSET('Default Vehicle Configurations'!R16, 20*(G16-1), 10*($E$16-1)) ),  "", OFFSET('Default Vehicle Configurations'!R16, 20*(G16-1), 10*($E$16-1)))</f>
        <v/>
      </c>
      <c r="J15" s="795"/>
      <c r="K15" s="860"/>
      <c r="L15" s="331"/>
      <c r="P15" s="848"/>
      <c r="Q15" s="850" t="s">
        <v>2089</v>
      </c>
      <c r="R15" s="851">
        <f>Y$13-Y15+1</f>
        <v>1</v>
      </c>
      <c r="S15" s="850" t="s">
        <v>2090</v>
      </c>
      <c r="T15" s="849"/>
      <c r="U15" s="856" t="str">
        <f>"Default " &amp; R15</f>
        <v>Default 1</v>
      </c>
      <c r="V15" s="857"/>
      <c r="W15" s="857"/>
      <c r="X15" s="858"/>
      <c r="Y15" s="852">
        <f>Y35+1</f>
        <v>3</v>
      </c>
      <c r="Z15" s="848"/>
      <c r="AA15" s="850" t="s">
        <v>2089</v>
      </c>
      <c r="AB15" s="851">
        <f>AI$13-AI15+1</f>
        <v>1</v>
      </c>
      <c r="AC15" s="850" t="s">
        <v>2090</v>
      </c>
      <c r="AD15" s="849"/>
      <c r="AE15" s="856" t="str">
        <f>"Default " &amp; AB15</f>
        <v>Default 1</v>
      </c>
      <c r="AF15" s="857"/>
      <c r="AG15" s="857"/>
      <c r="AH15" s="858"/>
      <c r="AI15" s="852">
        <f>AI35+1</f>
        <v>3</v>
      </c>
      <c r="AJ15" s="848"/>
      <c r="AK15" s="850" t="s">
        <v>2089</v>
      </c>
      <c r="AL15" s="851">
        <f>AS$13-AS15+1</f>
        <v>1</v>
      </c>
      <c r="AM15" s="850" t="s">
        <v>2090</v>
      </c>
      <c r="AN15" s="849"/>
      <c r="AO15" s="856" t="str">
        <f>"Default " &amp; AL15</f>
        <v>Default 1</v>
      </c>
      <c r="AP15" s="857"/>
      <c r="AQ15" s="857"/>
      <c r="AR15" s="858"/>
      <c r="AS15" s="852">
        <f>AS35+1</f>
        <v>2</v>
      </c>
      <c r="AT15" s="848"/>
      <c r="AU15" s="850" t="s">
        <v>2089</v>
      </c>
      <c r="AV15" s="851">
        <f>BC$13-BC15+1</f>
        <v>1</v>
      </c>
      <c r="AW15" s="850" t="s">
        <v>2090</v>
      </c>
      <c r="AX15" s="849"/>
      <c r="AY15" s="856" t="str">
        <f>"Default " &amp; AV15</f>
        <v>Default 1</v>
      </c>
      <c r="AZ15" s="857"/>
      <c r="BA15" s="857"/>
      <c r="BB15" s="858"/>
      <c r="BC15" s="852">
        <f>BC35+1</f>
        <v>2</v>
      </c>
      <c r="BD15" s="848"/>
      <c r="BE15" s="850" t="s">
        <v>2089</v>
      </c>
      <c r="BF15" s="851">
        <f>BM$13-BM15+1</f>
        <v>1</v>
      </c>
      <c r="BG15" s="850" t="s">
        <v>2090</v>
      </c>
      <c r="BH15" s="849"/>
      <c r="BI15" s="856" t="str">
        <f>"Default " &amp; BF15</f>
        <v>Default 1</v>
      </c>
      <c r="BJ15" s="857"/>
      <c r="BK15" s="857"/>
      <c r="BL15" s="858"/>
      <c r="BM15" s="852">
        <f>BM35+1</f>
        <v>1</v>
      </c>
    </row>
    <row r="16" spans="2:65" ht="18" thickBot="1" x14ac:dyDescent="0.4">
      <c r="D16" s="309" t="s">
        <v>2091</v>
      </c>
      <c r="E16" s="638">
        <f>'Vehicle Considerations'!B9</f>
        <v>4</v>
      </c>
      <c r="F16" s="299" t="s">
        <v>2092</v>
      </c>
      <c r="G16" s="639">
        <v>1</v>
      </c>
      <c r="I16" s="5"/>
      <c r="J16" s="5"/>
      <c r="K16" s="5"/>
      <c r="L16" s="331"/>
      <c r="P16" s="330"/>
      <c r="Q16" s="333" t="s">
        <v>681</v>
      </c>
      <c r="R16" s="861" t="s">
        <v>2093</v>
      </c>
      <c r="S16" s="854"/>
      <c r="T16" s="854"/>
      <c r="U16" s="854"/>
      <c r="V16" s="854"/>
      <c r="W16" s="854"/>
      <c r="X16" s="854"/>
      <c r="Y16" s="855"/>
      <c r="Z16" s="330"/>
      <c r="AA16" s="9" t="s">
        <v>681</v>
      </c>
      <c r="AB16" s="853"/>
      <c r="AC16" s="854"/>
      <c r="AD16" s="854"/>
      <c r="AE16" s="854"/>
      <c r="AF16" s="854"/>
      <c r="AG16" s="854"/>
      <c r="AH16" s="854"/>
      <c r="AI16" s="855"/>
      <c r="AJ16" s="330"/>
      <c r="AK16" s="333" t="s">
        <v>681</v>
      </c>
      <c r="AL16" s="853"/>
      <c r="AM16" s="854"/>
      <c r="AN16" s="854"/>
      <c r="AO16" s="854"/>
      <c r="AP16" s="854"/>
      <c r="AQ16" s="854"/>
      <c r="AR16" s="854"/>
      <c r="AS16" s="855"/>
      <c r="AT16" s="330"/>
      <c r="AU16" s="9" t="s">
        <v>681</v>
      </c>
      <c r="AV16" s="861"/>
      <c r="AW16" s="854"/>
      <c r="AX16" s="854"/>
      <c r="AY16" s="854"/>
      <c r="AZ16" s="854"/>
      <c r="BA16" s="854"/>
      <c r="BB16" s="854"/>
      <c r="BC16" s="855"/>
      <c r="BD16" s="330"/>
      <c r="BE16" s="9" t="s">
        <v>681</v>
      </c>
      <c r="BF16" s="853"/>
      <c r="BG16" s="854"/>
      <c r="BH16" s="854"/>
      <c r="BI16" s="854"/>
      <c r="BJ16" s="854"/>
      <c r="BK16" s="854"/>
      <c r="BL16" s="854"/>
      <c r="BM16" s="855"/>
    </row>
    <row r="17" spans="4:65" ht="14.5" thickBot="1" x14ac:dyDescent="0.35">
      <c r="D17" s="636"/>
      <c r="E17" s="107"/>
      <c r="F17" s="5"/>
      <c r="G17" s="5"/>
      <c r="H17" s="5"/>
      <c r="I17" s="5"/>
      <c r="J17" s="5"/>
      <c r="K17" s="5"/>
      <c r="L17" s="331"/>
      <c r="P17" s="330"/>
      <c r="Q17" s="5"/>
      <c r="R17" s="5"/>
      <c r="S17" s="5"/>
      <c r="T17" s="5"/>
      <c r="U17" s="5"/>
      <c r="V17" s="5"/>
      <c r="W17" s="5"/>
      <c r="X17" s="5"/>
      <c r="Y17" s="331"/>
      <c r="Z17" s="330"/>
      <c r="AA17" s="5"/>
      <c r="AB17" s="5"/>
      <c r="AC17" s="5"/>
      <c r="AD17" s="5"/>
      <c r="AE17" s="5"/>
      <c r="AF17" s="5"/>
      <c r="AG17" s="5"/>
      <c r="AH17" s="5"/>
      <c r="AI17" s="331"/>
      <c r="AJ17" s="330"/>
      <c r="AK17" s="5"/>
      <c r="AL17" s="5"/>
      <c r="AM17" s="5"/>
      <c r="AN17" s="5"/>
      <c r="AO17" s="5"/>
      <c r="AP17" s="5"/>
      <c r="AQ17" s="5"/>
      <c r="AR17" s="5"/>
      <c r="AS17" s="331"/>
      <c r="AT17" s="330"/>
      <c r="AU17" s="5"/>
      <c r="AV17" s="5"/>
      <c r="AW17" s="5"/>
      <c r="AX17" s="5"/>
      <c r="AY17" s="5"/>
      <c r="AZ17" s="5"/>
      <c r="BA17" s="5"/>
      <c r="BB17" s="5"/>
      <c r="BC17" s="331"/>
      <c r="BD17" s="330"/>
      <c r="BE17" s="5"/>
      <c r="BF17" s="5"/>
      <c r="BG17" s="5"/>
      <c r="BH17" s="5"/>
      <c r="BI17" s="5"/>
      <c r="BJ17" s="5"/>
      <c r="BK17" s="5"/>
      <c r="BL17" s="5"/>
      <c r="BM17" s="331"/>
    </row>
    <row r="18" spans="4:65" ht="21" customHeight="1" thickBot="1" x14ac:dyDescent="0.4">
      <c r="D18" s="800" t="s">
        <v>1939</v>
      </c>
      <c r="E18" s="804" t="s">
        <v>2094</v>
      </c>
      <c r="F18" s="796" t="s">
        <v>50</v>
      </c>
      <c r="G18" s="796" t="s">
        <v>51</v>
      </c>
      <c r="H18" s="796" t="s">
        <v>52</v>
      </c>
      <c r="I18" s="796" t="s">
        <v>53</v>
      </c>
      <c r="J18" s="796" t="s">
        <v>54</v>
      </c>
      <c r="K18" s="796" t="s">
        <v>55</v>
      </c>
      <c r="L18" s="801" t="s">
        <v>56</v>
      </c>
      <c r="P18" s="330"/>
      <c r="Q18" s="333" t="s">
        <v>1939</v>
      </c>
      <c r="R18" s="826" t="s">
        <v>50</v>
      </c>
      <c r="S18" s="827" t="s">
        <v>51</v>
      </c>
      <c r="T18" s="827" t="s">
        <v>52</v>
      </c>
      <c r="U18" s="827" t="s">
        <v>53</v>
      </c>
      <c r="V18" s="827" t="s">
        <v>54</v>
      </c>
      <c r="W18" s="827" t="s">
        <v>55</v>
      </c>
      <c r="X18" s="828" t="s">
        <v>56</v>
      </c>
      <c r="Y18" s="331"/>
      <c r="Z18" s="330"/>
      <c r="AA18" s="333" t="s">
        <v>1939</v>
      </c>
      <c r="AB18" s="826" t="s">
        <v>50</v>
      </c>
      <c r="AC18" s="827" t="s">
        <v>51</v>
      </c>
      <c r="AD18" s="827" t="s">
        <v>52</v>
      </c>
      <c r="AE18" s="827" t="s">
        <v>53</v>
      </c>
      <c r="AF18" s="827" t="s">
        <v>54</v>
      </c>
      <c r="AG18" s="827" t="s">
        <v>55</v>
      </c>
      <c r="AH18" s="828" t="s">
        <v>56</v>
      </c>
      <c r="AI18" s="331"/>
      <c r="AJ18" s="330"/>
      <c r="AK18" s="333" t="s">
        <v>1939</v>
      </c>
      <c r="AL18" s="826" t="s">
        <v>50</v>
      </c>
      <c r="AM18" s="827" t="s">
        <v>51</v>
      </c>
      <c r="AN18" s="827" t="s">
        <v>52</v>
      </c>
      <c r="AO18" s="827" t="s">
        <v>53</v>
      </c>
      <c r="AP18" s="827" t="s">
        <v>54</v>
      </c>
      <c r="AQ18" s="827" t="s">
        <v>55</v>
      </c>
      <c r="AR18" s="828" t="s">
        <v>56</v>
      </c>
      <c r="AS18" s="331"/>
      <c r="AT18" s="330"/>
      <c r="AU18" s="333" t="s">
        <v>1939</v>
      </c>
      <c r="AV18" s="826" t="s">
        <v>50</v>
      </c>
      <c r="AW18" s="827" t="s">
        <v>51</v>
      </c>
      <c r="AX18" s="827" t="s">
        <v>52</v>
      </c>
      <c r="AY18" s="827" t="s">
        <v>53</v>
      </c>
      <c r="AZ18" s="827" t="s">
        <v>54</v>
      </c>
      <c r="BA18" s="827" t="s">
        <v>55</v>
      </c>
      <c r="BB18" s="828" t="s">
        <v>56</v>
      </c>
      <c r="BC18" s="331"/>
      <c r="BD18" s="330"/>
      <c r="BE18" s="333" t="s">
        <v>1939</v>
      </c>
      <c r="BF18" s="826" t="s">
        <v>50</v>
      </c>
      <c r="BG18" s="827" t="s">
        <v>51</v>
      </c>
      <c r="BH18" s="827" t="s">
        <v>52</v>
      </c>
      <c r="BI18" s="827" t="s">
        <v>53</v>
      </c>
      <c r="BJ18" s="827" t="s">
        <v>54</v>
      </c>
      <c r="BK18" s="827" t="s">
        <v>55</v>
      </c>
      <c r="BL18" s="828" t="s">
        <v>56</v>
      </c>
      <c r="BM18" s="331"/>
    </row>
    <row r="19" spans="4:65" ht="27.65" customHeight="1" x14ac:dyDescent="0.4">
      <c r="D19" s="797" t="s">
        <v>73</v>
      </c>
      <c r="E19" s="830">
        <v>67</v>
      </c>
      <c r="F19" s="869">
        <f ca="1">OFFSET($R$19, 20*($G$16-1), 10*($E$16-1))</f>
        <v>20</v>
      </c>
      <c r="G19" s="870">
        <f ca="1">OFFSET('Default Vehicle Configurations'!S19, 20*($G$16-1), 10*($E$16-1))</f>
        <v>20</v>
      </c>
      <c r="H19" s="870">
        <f ca="1">OFFSET('Default Vehicle Configurations'!T19, 20*($G$16-1), 10*($E$16-1))</f>
        <v>20</v>
      </c>
      <c r="I19" s="870">
        <f ca="1">OFFSET('Default Vehicle Configurations'!U19, 20*($G$16-1), 10*($E$16-1))</f>
        <v>20</v>
      </c>
      <c r="J19" s="870">
        <f ca="1">OFFSET('Default Vehicle Configurations'!V19, 20*($G$16-1), 10*($E$16-1))</f>
        <v>20</v>
      </c>
      <c r="K19" s="870">
        <f ca="1">OFFSET('Default Vehicle Configurations'!W19, 20*($G$16-1), 10*($E$16-1))</f>
        <v>20</v>
      </c>
      <c r="L19" s="871">
        <f ca="1">OFFSET('Default Vehicle Configurations'!X19, 20*($G$16-1), 10*($E$16-1))</f>
        <v>20</v>
      </c>
      <c r="P19" s="330"/>
      <c r="Q19" s="301" t="s">
        <v>73</v>
      </c>
      <c r="R19" s="805">
        <v>12</v>
      </c>
      <c r="S19" s="806">
        <v>12</v>
      </c>
      <c r="T19" s="806">
        <v>12</v>
      </c>
      <c r="U19" s="806">
        <v>12</v>
      </c>
      <c r="V19" s="806">
        <v>12</v>
      </c>
      <c r="W19" s="806">
        <v>12</v>
      </c>
      <c r="X19" s="806">
        <v>12</v>
      </c>
      <c r="Y19" s="331"/>
      <c r="Z19" s="330"/>
      <c r="AA19" s="301" t="s">
        <v>73</v>
      </c>
      <c r="AB19" s="805">
        <v>26</v>
      </c>
      <c r="AC19" s="806">
        <v>28</v>
      </c>
      <c r="AD19" s="806">
        <v>30</v>
      </c>
      <c r="AE19" s="806">
        <v>32</v>
      </c>
      <c r="AF19" s="806">
        <v>34</v>
      </c>
      <c r="AG19" s="806">
        <v>36</v>
      </c>
      <c r="AH19" s="807">
        <v>38</v>
      </c>
      <c r="AI19" s="331"/>
      <c r="AJ19" s="330"/>
      <c r="AK19" s="301" t="s">
        <v>73</v>
      </c>
      <c r="AL19" s="805">
        <v>26</v>
      </c>
      <c r="AM19" s="806">
        <v>28</v>
      </c>
      <c r="AN19" s="806">
        <v>30</v>
      </c>
      <c r="AO19" s="806">
        <v>32</v>
      </c>
      <c r="AP19" s="806">
        <v>34</v>
      </c>
      <c r="AQ19" s="806">
        <v>36</v>
      </c>
      <c r="AR19" s="807">
        <v>38</v>
      </c>
      <c r="AS19" s="331"/>
      <c r="AT19" s="330"/>
      <c r="AU19" s="301" t="s">
        <v>73</v>
      </c>
      <c r="AV19" s="805">
        <v>20</v>
      </c>
      <c r="AW19" s="806">
        <v>20</v>
      </c>
      <c r="AX19" s="806">
        <v>20</v>
      </c>
      <c r="AY19" s="806">
        <v>20</v>
      </c>
      <c r="AZ19" s="806">
        <v>20</v>
      </c>
      <c r="BA19" s="806">
        <v>20</v>
      </c>
      <c r="BB19" s="807">
        <v>20</v>
      </c>
      <c r="BC19" s="331"/>
      <c r="BD19" s="330"/>
      <c r="BE19" s="301" t="s">
        <v>73</v>
      </c>
      <c r="BF19" s="805"/>
      <c r="BG19" s="806"/>
      <c r="BH19" s="806"/>
      <c r="BI19" s="806"/>
      <c r="BJ19" s="806"/>
      <c r="BK19" s="806"/>
      <c r="BL19" s="807"/>
      <c r="BM19" s="331"/>
    </row>
    <row r="20" spans="4:65" ht="33" customHeight="1" x14ac:dyDescent="0.4">
      <c r="D20" s="797" t="s">
        <v>74</v>
      </c>
      <c r="E20" s="831">
        <v>68</v>
      </c>
      <c r="F20" s="872">
        <f ca="1">OFFSET('Default Vehicle Configurations'!R20, 20*($G$16-1), 10*($E$16-1))</f>
        <v>2</v>
      </c>
      <c r="G20" s="873">
        <f ca="1">OFFSET('Default Vehicle Configurations'!S20, 20*($G$16-1), 10*($E$16-1))</f>
        <v>2</v>
      </c>
      <c r="H20" s="873">
        <f ca="1">OFFSET('Default Vehicle Configurations'!T20, 20*($G$16-1), 10*($E$16-1))</f>
        <v>2</v>
      </c>
      <c r="I20" s="873">
        <f ca="1">OFFSET('Default Vehicle Configurations'!U20, 20*($G$16-1), 10*($E$16-1))</f>
        <v>2</v>
      </c>
      <c r="J20" s="873">
        <f ca="1">OFFSET('Default Vehicle Configurations'!V20, 20*($G$16-1), 10*($E$16-1))</f>
        <v>2</v>
      </c>
      <c r="K20" s="873">
        <f ca="1">OFFSET('Default Vehicle Configurations'!W20, 20*($G$16-1), 10*($E$16-1))</f>
        <v>2</v>
      </c>
      <c r="L20" s="874">
        <f ca="1">OFFSET('Default Vehicle Configurations'!X20, 20*($G$16-1), 10*($E$16-1))</f>
        <v>2</v>
      </c>
      <c r="P20" s="330"/>
      <c r="Q20" s="301" t="s">
        <v>74</v>
      </c>
      <c r="R20" s="808">
        <v>4</v>
      </c>
      <c r="S20" s="691">
        <v>4</v>
      </c>
      <c r="T20" s="691">
        <v>4</v>
      </c>
      <c r="U20" s="691">
        <v>4</v>
      </c>
      <c r="V20" s="691">
        <v>4</v>
      </c>
      <c r="W20" s="691">
        <v>4</v>
      </c>
      <c r="X20" s="691">
        <v>4</v>
      </c>
      <c r="Y20" s="331"/>
      <c r="Z20" s="330"/>
      <c r="AA20" s="301" t="s">
        <v>74</v>
      </c>
      <c r="AB20" s="808">
        <v>1</v>
      </c>
      <c r="AC20" s="691">
        <v>1</v>
      </c>
      <c r="AD20" s="691">
        <v>1</v>
      </c>
      <c r="AE20" s="691">
        <v>1</v>
      </c>
      <c r="AF20" s="691">
        <v>1</v>
      </c>
      <c r="AG20" s="691">
        <v>1</v>
      </c>
      <c r="AH20" s="809">
        <v>1</v>
      </c>
      <c r="AI20" s="331"/>
      <c r="AJ20" s="330"/>
      <c r="AK20" s="301" t="s">
        <v>74</v>
      </c>
      <c r="AL20" s="808">
        <v>1</v>
      </c>
      <c r="AM20" s="691">
        <v>1</v>
      </c>
      <c r="AN20" s="691">
        <v>1</v>
      </c>
      <c r="AO20" s="691">
        <v>1</v>
      </c>
      <c r="AP20" s="691">
        <v>1</v>
      </c>
      <c r="AQ20" s="691">
        <v>1</v>
      </c>
      <c r="AR20" s="809">
        <v>1</v>
      </c>
      <c r="AS20" s="331"/>
      <c r="AT20" s="330"/>
      <c r="AU20" s="301" t="s">
        <v>74</v>
      </c>
      <c r="AV20" s="808">
        <v>2</v>
      </c>
      <c r="AW20" s="691">
        <v>2</v>
      </c>
      <c r="AX20" s="691">
        <v>2</v>
      </c>
      <c r="AY20" s="691">
        <v>2</v>
      </c>
      <c r="AZ20" s="691">
        <v>2</v>
      </c>
      <c r="BA20" s="691">
        <v>2</v>
      </c>
      <c r="BB20" s="809">
        <v>2</v>
      </c>
      <c r="BC20" s="331"/>
      <c r="BD20" s="330"/>
      <c r="BE20" s="301" t="s">
        <v>74</v>
      </c>
      <c r="BF20" s="808"/>
      <c r="BG20" s="691"/>
      <c r="BH20" s="691"/>
      <c r="BI20" s="691"/>
      <c r="BJ20" s="691"/>
      <c r="BK20" s="691"/>
      <c r="BL20" s="809"/>
      <c r="BM20" s="331"/>
    </row>
    <row r="21" spans="4:65" ht="34.4" customHeight="1" x14ac:dyDescent="0.4">
      <c r="D21" s="797" t="s">
        <v>75</v>
      </c>
      <c r="E21" s="831">
        <v>69</v>
      </c>
      <c r="F21" s="872">
        <f ca="1">OFFSET('Default Vehicle Configurations'!R21, 20*($G$16-1), 10*($E$16-1))</f>
        <v>5</v>
      </c>
      <c r="G21" s="873">
        <f ca="1">OFFSET('Default Vehicle Configurations'!S21, 20*($G$16-1), 10*($E$16-1))</f>
        <v>5</v>
      </c>
      <c r="H21" s="873">
        <f ca="1">OFFSET('Default Vehicle Configurations'!T21, 20*($G$16-1), 10*($E$16-1))</f>
        <v>5</v>
      </c>
      <c r="I21" s="873">
        <f ca="1">OFFSET('Default Vehicle Configurations'!U21, 20*($G$16-1), 10*($E$16-1))</f>
        <v>5</v>
      </c>
      <c r="J21" s="873">
        <f ca="1">OFFSET('Default Vehicle Configurations'!V21, 20*($G$16-1), 10*($E$16-1))</f>
        <v>5</v>
      </c>
      <c r="K21" s="873">
        <f ca="1">OFFSET('Default Vehicle Configurations'!W21, 20*($G$16-1), 10*($E$16-1))</f>
        <v>5</v>
      </c>
      <c r="L21" s="874">
        <f ca="1">OFFSET('Default Vehicle Configurations'!X21, 20*($G$16-1), 10*($E$16-1))</f>
        <v>5</v>
      </c>
      <c r="P21" s="330"/>
      <c r="Q21" s="301" t="s">
        <v>75</v>
      </c>
      <c r="R21" s="810">
        <v>1</v>
      </c>
      <c r="S21" s="803">
        <v>1</v>
      </c>
      <c r="T21" s="803">
        <v>1</v>
      </c>
      <c r="U21" s="803">
        <v>1</v>
      </c>
      <c r="V21" s="803">
        <v>1</v>
      </c>
      <c r="W21" s="803">
        <v>1</v>
      </c>
      <c r="X21" s="803">
        <v>1</v>
      </c>
      <c r="Y21" s="331"/>
      <c r="Z21" s="330"/>
      <c r="AA21" s="301" t="s">
        <v>75</v>
      </c>
      <c r="AB21" s="810">
        <v>1</v>
      </c>
      <c r="AC21" s="803">
        <v>1</v>
      </c>
      <c r="AD21" s="803">
        <v>1</v>
      </c>
      <c r="AE21" s="803">
        <v>1</v>
      </c>
      <c r="AF21" s="803">
        <v>1</v>
      </c>
      <c r="AG21" s="803">
        <v>1</v>
      </c>
      <c r="AH21" s="811">
        <v>1</v>
      </c>
      <c r="AI21" s="331"/>
      <c r="AJ21" s="330"/>
      <c r="AK21" s="301" t="s">
        <v>75</v>
      </c>
      <c r="AL21" s="810">
        <v>1</v>
      </c>
      <c r="AM21" s="803">
        <v>1</v>
      </c>
      <c r="AN21" s="803">
        <v>1</v>
      </c>
      <c r="AO21" s="803">
        <v>1</v>
      </c>
      <c r="AP21" s="803">
        <v>1</v>
      </c>
      <c r="AQ21" s="803">
        <v>1</v>
      </c>
      <c r="AR21" s="811">
        <v>1</v>
      </c>
      <c r="AS21" s="331"/>
      <c r="AT21" s="330"/>
      <c r="AU21" s="301" t="s">
        <v>75</v>
      </c>
      <c r="AV21" s="810">
        <v>5</v>
      </c>
      <c r="AW21" s="803">
        <v>5</v>
      </c>
      <c r="AX21" s="803">
        <v>5</v>
      </c>
      <c r="AY21" s="803">
        <v>5</v>
      </c>
      <c r="AZ21" s="803">
        <v>5</v>
      </c>
      <c r="BA21" s="803">
        <v>5</v>
      </c>
      <c r="BB21" s="811">
        <v>5</v>
      </c>
      <c r="BC21" s="331"/>
      <c r="BD21" s="330"/>
      <c r="BE21" s="301" t="s">
        <v>75</v>
      </c>
      <c r="BF21" s="810"/>
      <c r="BG21" s="803"/>
      <c r="BH21" s="803"/>
      <c r="BI21" s="803"/>
      <c r="BJ21" s="803"/>
      <c r="BK21" s="803"/>
      <c r="BL21" s="811"/>
      <c r="BM21" s="331"/>
    </row>
    <row r="22" spans="4:65" ht="28.4" customHeight="1" x14ac:dyDescent="0.4">
      <c r="D22" s="797" t="s">
        <v>76</v>
      </c>
      <c r="E22" s="831">
        <v>70</v>
      </c>
      <c r="F22" s="872">
        <f ca="1">OFFSET('Default Vehicle Configurations'!R22, 20*($G$16-1), 10*($E$16-1))</f>
        <v>4</v>
      </c>
      <c r="G22" s="873">
        <f ca="1">OFFSET('Default Vehicle Configurations'!S22, 20*($G$16-1), 10*($E$16-1))</f>
        <v>4</v>
      </c>
      <c r="H22" s="873">
        <f ca="1">OFFSET('Default Vehicle Configurations'!T22, 20*($G$16-1), 10*($E$16-1))</f>
        <v>4</v>
      </c>
      <c r="I22" s="873">
        <f ca="1">OFFSET('Default Vehicle Configurations'!U22, 20*($G$16-1), 10*($E$16-1))</f>
        <v>4</v>
      </c>
      <c r="J22" s="873">
        <f ca="1">OFFSET('Default Vehicle Configurations'!V22, 20*($G$16-1), 10*($E$16-1))</f>
        <v>4</v>
      </c>
      <c r="K22" s="873">
        <f ca="1">OFFSET('Default Vehicle Configurations'!W22, 20*($G$16-1), 10*($E$16-1))</f>
        <v>4</v>
      </c>
      <c r="L22" s="874">
        <f ca="1">OFFSET('Default Vehicle Configurations'!X22, 20*($G$16-1), 10*($E$16-1))</f>
        <v>4</v>
      </c>
      <c r="P22" s="330"/>
      <c r="Q22" s="301" t="s">
        <v>76</v>
      </c>
      <c r="R22" s="810">
        <v>1</v>
      </c>
      <c r="S22" s="803">
        <v>1</v>
      </c>
      <c r="T22" s="803">
        <v>1</v>
      </c>
      <c r="U22" s="803">
        <v>1</v>
      </c>
      <c r="V22" s="803">
        <v>1</v>
      </c>
      <c r="W22" s="803">
        <v>1</v>
      </c>
      <c r="X22" s="803">
        <v>1</v>
      </c>
      <c r="Y22" s="331"/>
      <c r="Z22" s="330"/>
      <c r="AA22" s="301" t="s">
        <v>76</v>
      </c>
      <c r="AB22" s="810">
        <v>1</v>
      </c>
      <c r="AC22" s="803">
        <v>1</v>
      </c>
      <c r="AD22" s="803">
        <v>1</v>
      </c>
      <c r="AE22" s="803">
        <v>1</v>
      </c>
      <c r="AF22" s="803">
        <v>1</v>
      </c>
      <c r="AG22" s="803">
        <v>1</v>
      </c>
      <c r="AH22" s="811">
        <v>1</v>
      </c>
      <c r="AI22" s="331"/>
      <c r="AJ22" s="330"/>
      <c r="AK22" s="301" t="s">
        <v>76</v>
      </c>
      <c r="AL22" s="810">
        <v>1</v>
      </c>
      <c r="AM22" s="803">
        <v>1</v>
      </c>
      <c r="AN22" s="803">
        <v>1</v>
      </c>
      <c r="AO22" s="803">
        <v>1</v>
      </c>
      <c r="AP22" s="803">
        <v>1</v>
      </c>
      <c r="AQ22" s="803">
        <v>1</v>
      </c>
      <c r="AR22" s="811">
        <v>1</v>
      </c>
      <c r="AS22" s="331"/>
      <c r="AT22" s="330"/>
      <c r="AU22" s="301" t="s">
        <v>76</v>
      </c>
      <c r="AV22" s="810">
        <v>4</v>
      </c>
      <c r="AW22" s="803">
        <v>4</v>
      </c>
      <c r="AX22" s="803">
        <v>4</v>
      </c>
      <c r="AY22" s="803">
        <v>4</v>
      </c>
      <c r="AZ22" s="803">
        <v>4</v>
      </c>
      <c r="BA22" s="803">
        <v>4</v>
      </c>
      <c r="BB22" s="811">
        <v>4</v>
      </c>
      <c r="BC22" s="331"/>
      <c r="BD22" s="330"/>
      <c r="BE22" s="301" t="s">
        <v>76</v>
      </c>
      <c r="BF22" s="810"/>
      <c r="BG22" s="803"/>
      <c r="BH22" s="803"/>
      <c r="BI22" s="803"/>
      <c r="BJ22" s="803"/>
      <c r="BK22" s="803"/>
      <c r="BL22" s="811"/>
      <c r="BM22" s="331"/>
    </row>
    <row r="23" spans="4:65" ht="35.9" customHeight="1" thickBot="1" x14ac:dyDescent="0.45">
      <c r="D23" s="797" t="s">
        <v>77</v>
      </c>
      <c r="E23" s="831">
        <v>71</v>
      </c>
      <c r="F23" s="875">
        <f ca="1">OFFSET('Default Vehicle Configurations'!R23, 20*($G$16-1), 10*($E$16-1))</f>
        <v>2</v>
      </c>
      <c r="G23" s="876">
        <f ca="1">OFFSET('Default Vehicle Configurations'!S23, 20*($G$16-1), 10*($E$16-1))</f>
        <v>2</v>
      </c>
      <c r="H23" s="876">
        <f ca="1">OFFSET('Default Vehicle Configurations'!T23, 20*($G$16-1), 10*($E$16-1))</f>
        <v>2</v>
      </c>
      <c r="I23" s="876">
        <f ca="1">OFFSET('Default Vehicle Configurations'!U23, 20*($G$16-1), 10*($E$16-1))</f>
        <v>2</v>
      </c>
      <c r="J23" s="876">
        <f ca="1">OFFSET('Default Vehicle Configurations'!V23, 20*($G$16-1), 10*($E$16-1))</f>
        <v>2</v>
      </c>
      <c r="K23" s="876">
        <f ca="1">OFFSET('Default Vehicle Configurations'!W23, 20*($G$16-1), 10*($E$16-1))</f>
        <v>2</v>
      </c>
      <c r="L23" s="877">
        <f ca="1">OFFSET('Default Vehicle Configurations'!X23, 20*($G$16-1), 10*($E$16-1))</f>
        <v>2</v>
      </c>
      <c r="P23" s="330"/>
      <c r="Q23" s="301" t="s">
        <v>77</v>
      </c>
      <c r="R23" s="812">
        <v>1</v>
      </c>
      <c r="S23" s="813">
        <v>1</v>
      </c>
      <c r="T23" s="813">
        <v>1</v>
      </c>
      <c r="U23" s="813">
        <v>1</v>
      </c>
      <c r="V23" s="813">
        <v>1</v>
      </c>
      <c r="W23" s="813">
        <v>1</v>
      </c>
      <c r="X23" s="813">
        <v>1</v>
      </c>
      <c r="Y23" s="331"/>
      <c r="Z23" s="330"/>
      <c r="AA23" s="301" t="s">
        <v>77</v>
      </c>
      <c r="AB23" s="812">
        <v>1</v>
      </c>
      <c r="AC23" s="813">
        <v>1</v>
      </c>
      <c r="AD23" s="813">
        <v>1</v>
      </c>
      <c r="AE23" s="813">
        <v>1</v>
      </c>
      <c r="AF23" s="813">
        <v>1</v>
      </c>
      <c r="AG23" s="813">
        <v>1</v>
      </c>
      <c r="AH23" s="814">
        <v>1</v>
      </c>
      <c r="AI23" s="331"/>
      <c r="AJ23" s="330"/>
      <c r="AK23" s="301" t="s">
        <v>77</v>
      </c>
      <c r="AL23" s="812">
        <v>1</v>
      </c>
      <c r="AM23" s="813">
        <v>1</v>
      </c>
      <c r="AN23" s="813">
        <v>1</v>
      </c>
      <c r="AO23" s="813">
        <v>1</v>
      </c>
      <c r="AP23" s="813">
        <v>1</v>
      </c>
      <c r="AQ23" s="813">
        <v>1</v>
      </c>
      <c r="AR23" s="814">
        <v>1</v>
      </c>
      <c r="AS23" s="331"/>
      <c r="AT23" s="330"/>
      <c r="AU23" s="301" t="s">
        <v>77</v>
      </c>
      <c r="AV23" s="812">
        <v>2</v>
      </c>
      <c r="AW23" s="813">
        <v>2</v>
      </c>
      <c r="AX23" s="813">
        <v>2</v>
      </c>
      <c r="AY23" s="813">
        <v>2</v>
      </c>
      <c r="AZ23" s="813">
        <v>2</v>
      </c>
      <c r="BA23" s="813">
        <v>2</v>
      </c>
      <c r="BB23" s="814">
        <v>2</v>
      </c>
      <c r="BC23" s="331"/>
      <c r="BD23" s="330"/>
      <c r="BE23" s="301" t="s">
        <v>77</v>
      </c>
      <c r="BF23" s="812"/>
      <c r="BG23" s="813"/>
      <c r="BH23" s="813"/>
      <c r="BI23" s="813"/>
      <c r="BJ23" s="813"/>
      <c r="BK23" s="813"/>
      <c r="BL23" s="814"/>
      <c r="BM23" s="331"/>
    </row>
    <row r="24" spans="4:65" ht="18" thickBot="1" x14ac:dyDescent="0.4">
      <c r="D24" s="438"/>
      <c r="E24" s="832"/>
      <c r="F24" s="341"/>
      <c r="G24" s="341"/>
      <c r="H24" s="341"/>
      <c r="I24" s="341"/>
      <c r="J24" s="341"/>
      <c r="K24" s="341"/>
      <c r="L24" s="637"/>
      <c r="P24" s="330"/>
      <c r="Q24" s="5"/>
      <c r="R24" s="299"/>
      <c r="S24" s="299"/>
      <c r="T24" s="299"/>
      <c r="U24" s="299"/>
      <c r="V24" s="299"/>
      <c r="W24" s="299"/>
      <c r="X24" s="299"/>
      <c r="Y24" s="331"/>
      <c r="Z24" s="330"/>
      <c r="AA24" s="5"/>
      <c r="AB24" s="299"/>
      <c r="AC24" s="299"/>
      <c r="AD24" s="299"/>
      <c r="AE24" s="299"/>
      <c r="AF24" s="299"/>
      <c r="AG24" s="299"/>
      <c r="AH24" s="299"/>
      <c r="AI24" s="331"/>
      <c r="AJ24" s="330"/>
      <c r="AK24" s="5"/>
      <c r="AL24" s="299"/>
      <c r="AM24" s="299"/>
      <c r="AN24" s="299"/>
      <c r="AO24" s="299"/>
      <c r="AP24" s="299"/>
      <c r="AQ24" s="299"/>
      <c r="AR24" s="299"/>
      <c r="AS24" s="331"/>
      <c r="AT24" s="330"/>
      <c r="AU24" s="5"/>
      <c r="AV24" s="299"/>
      <c r="AW24" s="299"/>
      <c r="AX24" s="299"/>
      <c r="AY24" s="299"/>
      <c r="AZ24" s="299"/>
      <c r="BA24" s="299"/>
      <c r="BB24" s="299"/>
      <c r="BC24" s="331"/>
      <c r="BD24" s="330"/>
      <c r="BE24" s="5"/>
      <c r="BF24" s="299"/>
      <c r="BG24" s="299"/>
      <c r="BH24" s="299"/>
      <c r="BI24" s="299"/>
      <c r="BJ24" s="299"/>
      <c r="BK24" s="299"/>
      <c r="BL24" s="299"/>
      <c r="BM24" s="331"/>
    </row>
    <row r="25" spans="4:65" ht="23.9" customHeight="1" x14ac:dyDescent="0.4">
      <c r="D25" s="438" t="s">
        <v>2095</v>
      </c>
      <c r="E25" s="832">
        <v>38</v>
      </c>
      <c r="F25" s="869">
        <f ca="1">OFFSET('Default Vehicle Configurations'!R25, 20*($G$16-1), 10*($E$16-1))</f>
        <v>300</v>
      </c>
      <c r="G25" s="870">
        <f ca="1">OFFSET('Default Vehicle Configurations'!S25, 20*($G$16-1), 10*($E$16-1))</f>
        <v>300</v>
      </c>
      <c r="H25" s="870">
        <f ca="1">OFFSET('Default Vehicle Configurations'!T25, 20*($G$16-1), 10*($E$16-1))</f>
        <v>300</v>
      </c>
      <c r="I25" s="870">
        <f ca="1">OFFSET('Default Vehicle Configurations'!U25, 20*($G$16-1), 10*($E$16-1))</f>
        <v>300</v>
      </c>
      <c r="J25" s="870">
        <f ca="1">OFFSET('Default Vehicle Configurations'!V25, 20*($G$16-1), 10*($E$16-1))</f>
        <v>300</v>
      </c>
      <c r="K25" s="870">
        <f ca="1">OFFSET('Default Vehicle Configurations'!W25, 20*($G$16-1), 10*($E$16-1))</f>
        <v>300</v>
      </c>
      <c r="L25" s="871">
        <f ca="1">OFFSET('Default Vehicle Configurations'!X25, 20*($G$16-1), 10*($E$16-1))</f>
        <v>300</v>
      </c>
      <c r="P25" s="330"/>
      <c r="Q25" s="301" t="s">
        <v>2095</v>
      </c>
      <c r="R25" s="815">
        <v>40</v>
      </c>
      <c r="S25" s="816">
        <v>35</v>
      </c>
      <c r="T25" s="816">
        <v>30</v>
      </c>
      <c r="U25" s="816">
        <v>25</v>
      </c>
      <c r="V25" s="816">
        <v>20</v>
      </c>
      <c r="W25" s="816">
        <v>15</v>
      </c>
      <c r="X25" s="817">
        <v>10</v>
      </c>
      <c r="Y25" s="331"/>
      <c r="Z25" s="330"/>
      <c r="AA25" s="9" t="s">
        <v>2095</v>
      </c>
      <c r="AB25" s="815">
        <v>100</v>
      </c>
      <c r="AC25" s="816">
        <v>125</v>
      </c>
      <c r="AD25" s="816">
        <v>150</v>
      </c>
      <c r="AE25" s="816">
        <v>175</v>
      </c>
      <c r="AF25" s="816">
        <v>200</v>
      </c>
      <c r="AG25" s="816">
        <v>225</v>
      </c>
      <c r="AH25" s="817">
        <v>250</v>
      </c>
      <c r="AI25" s="331"/>
      <c r="AJ25" s="330"/>
      <c r="AK25" s="301" t="s">
        <v>2095</v>
      </c>
      <c r="AL25" s="815">
        <v>100</v>
      </c>
      <c r="AM25" s="816">
        <v>125</v>
      </c>
      <c r="AN25" s="816">
        <v>150</v>
      </c>
      <c r="AO25" s="816">
        <v>175</v>
      </c>
      <c r="AP25" s="816">
        <v>200</v>
      </c>
      <c r="AQ25" s="816">
        <v>225</v>
      </c>
      <c r="AR25" s="817">
        <v>250</v>
      </c>
      <c r="AS25" s="331"/>
      <c r="AT25" s="330"/>
      <c r="AU25" s="9" t="s">
        <v>2095</v>
      </c>
      <c r="AV25" s="815">
        <v>300</v>
      </c>
      <c r="AW25" s="816">
        <v>300</v>
      </c>
      <c r="AX25" s="816">
        <v>300</v>
      </c>
      <c r="AY25" s="816">
        <v>300</v>
      </c>
      <c r="AZ25" s="816">
        <v>300</v>
      </c>
      <c r="BA25" s="816">
        <v>300</v>
      </c>
      <c r="BB25" s="817">
        <v>300</v>
      </c>
      <c r="BC25" s="331"/>
      <c r="BD25" s="330"/>
      <c r="BE25" s="9" t="s">
        <v>2095</v>
      </c>
      <c r="BF25" s="815"/>
      <c r="BG25" s="816"/>
      <c r="BH25" s="816"/>
      <c r="BI25" s="816"/>
      <c r="BJ25" s="816"/>
      <c r="BK25" s="816"/>
      <c r="BL25" s="817"/>
      <c r="BM25" s="331"/>
    </row>
    <row r="26" spans="4:65" ht="21.65" customHeight="1" x14ac:dyDescent="0.4">
      <c r="D26" s="797" t="s">
        <v>2096</v>
      </c>
      <c r="E26" s="831">
        <v>51</v>
      </c>
      <c r="F26" s="872" t="str">
        <f ca="1">IF(OFFSET('Default Vehicle Configurations'!R26, 20*($G$16-1), 10*($E$16-1)) = 0, "", OFFSET('Default Vehicle Configurations'!R26, 20*($G$16-1), 10*($E$16-1)))</f>
        <v/>
      </c>
      <c r="G26" s="873" t="str">
        <f ca="1">IF(OFFSET('Default Vehicle Configurations'!S26, 20*($G$16-1), 10*($E$16-1)) = 0, "", OFFSET('Default Vehicle Configurations'!S26, 20*($G$16-1), 10*($E$16-1)))</f>
        <v/>
      </c>
      <c r="H26" s="873" t="str">
        <f ca="1">IF(OFFSET('Default Vehicle Configurations'!T26, 20*($G$16-1), 10*($E$16-1)) = 0, "", OFFSET('Default Vehicle Configurations'!T26, 20*($G$16-1), 10*($E$16-1)))</f>
        <v/>
      </c>
      <c r="I26" s="873" t="str">
        <f ca="1">IF(OFFSET('Default Vehicle Configurations'!U26, 20*($G$16-1), 10*($E$16-1)) = 0, "", OFFSET('Default Vehicle Configurations'!U26, 20*($G$16-1), 10*($E$16-1)))</f>
        <v/>
      </c>
      <c r="J26" s="873" t="str">
        <f ca="1">IF(OFFSET('Default Vehicle Configurations'!V26, 20*($G$16-1), 10*($E$16-1)) = 0, "", OFFSET('Default Vehicle Configurations'!V26, 20*($G$16-1), 10*($E$16-1)))</f>
        <v/>
      </c>
      <c r="K26" s="873" t="str">
        <f ca="1">IF(OFFSET('Default Vehicle Configurations'!W26, 20*($G$16-1), 10*($E$16-1)) = 0, "", OFFSET('Default Vehicle Configurations'!W26, 20*($G$16-1), 10*($E$16-1)))</f>
        <v/>
      </c>
      <c r="L26" s="874" t="str">
        <f ca="1">IF(OFFSET('Default Vehicle Configurations'!X26, 20*($G$16-1), 10*($E$16-1)) = 0, "", OFFSET('Default Vehicle Configurations'!X26, 20*($G$16-1), 10*($E$16-1)))</f>
        <v/>
      </c>
      <c r="P26" s="330"/>
      <c r="Q26" s="301" t="s">
        <v>2096</v>
      </c>
      <c r="R26" s="344"/>
      <c r="S26" s="290"/>
      <c r="T26" s="290"/>
      <c r="U26" s="290"/>
      <c r="V26" s="290"/>
      <c r="W26" s="290"/>
      <c r="X26" s="818"/>
      <c r="Y26" s="331"/>
      <c r="Z26" s="330"/>
      <c r="AA26" s="301" t="s">
        <v>2096</v>
      </c>
      <c r="AB26" s="344"/>
      <c r="AC26" s="290"/>
      <c r="AD26" s="290"/>
      <c r="AE26" s="290"/>
      <c r="AF26" s="290"/>
      <c r="AG26" s="290"/>
      <c r="AH26" s="818"/>
      <c r="AI26" s="331"/>
      <c r="AJ26" s="330"/>
      <c r="AK26" s="301" t="s">
        <v>2096</v>
      </c>
      <c r="AL26" s="344"/>
      <c r="AM26" s="290"/>
      <c r="AN26" s="290"/>
      <c r="AO26" s="290"/>
      <c r="AP26" s="290"/>
      <c r="AQ26" s="290"/>
      <c r="AR26" s="818"/>
      <c r="AS26" s="331"/>
      <c r="AT26" s="330"/>
      <c r="AU26" s="301" t="s">
        <v>2096</v>
      </c>
      <c r="AV26" s="344"/>
      <c r="AW26" s="290"/>
      <c r="AX26" s="290"/>
      <c r="AY26" s="290"/>
      <c r="AZ26" s="290"/>
      <c r="BA26" s="290"/>
      <c r="BB26" s="818"/>
      <c r="BC26" s="331"/>
      <c r="BD26" s="330"/>
      <c r="BE26" s="301" t="s">
        <v>2096</v>
      </c>
      <c r="BF26" s="344"/>
      <c r="BG26" s="290"/>
      <c r="BH26" s="290"/>
      <c r="BI26" s="290"/>
      <c r="BJ26" s="290"/>
      <c r="BK26" s="290"/>
      <c r="BL26" s="818"/>
      <c r="BM26" s="331"/>
    </row>
    <row r="27" spans="4:65" ht="22.4" customHeight="1" thickBot="1" x14ac:dyDescent="0.45">
      <c r="D27" s="797" t="s">
        <v>2097</v>
      </c>
      <c r="E27" s="831">
        <v>52</v>
      </c>
      <c r="F27" s="875">
        <f ca="1">IF(OFFSET('Default Vehicle Configurations'!R27, 20*($G$16-1), 10*($E$16-1)) = 0, "", OFFSET('Default Vehicle Configurations'!R27, 20*($G$16-1), 10*($E$16-1)))</f>
        <v>100</v>
      </c>
      <c r="G27" s="876">
        <f ca="1">IF(OFFSET('Default Vehicle Configurations'!S27, 20*($G$16-1), 10*($E$16-1)) = 0, "", OFFSET('Default Vehicle Configurations'!S27, 20*($G$16-1), 10*($E$16-1)))</f>
        <v>100</v>
      </c>
      <c r="H27" s="876">
        <f ca="1">IF(OFFSET('Default Vehicle Configurations'!T27, 20*($G$16-1), 10*($E$16-1)) = 0, "", OFFSET('Default Vehicle Configurations'!T27, 20*($G$16-1), 10*($E$16-1)))</f>
        <v>100</v>
      </c>
      <c r="I27" s="876">
        <f ca="1">IF(OFFSET('Default Vehicle Configurations'!U27, 20*($G$16-1), 10*($E$16-1)) = 0, "", OFFSET('Default Vehicle Configurations'!U27, 20*($G$16-1), 10*($E$16-1)))</f>
        <v>100</v>
      </c>
      <c r="J27" s="876">
        <f ca="1">IF(OFFSET('Default Vehicle Configurations'!V27, 20*($G$16-1), 10*($E$16-1)) = 0, "", OFFSET('Default Vehicle Configurations'!V27, 20*($G$16-1), 10*($E$16-1)))</f>
        <v>100</v>
      </c>
      <c r="K27" s="876">
        <f ca="1">IF(OFFSET('Default Vehicle Configurations'!W27, 20*($G$16-1), 10*($E$16-1)) = 0, "", OFFSET('Default Vehicle Configurations'!W27, 20*($G$16-1), 10*($E$16-1)))</f>
        <v>100</v>
      </c>
      <c r="L27" s="877">
        <f ca="1">IF(OFFSET('Default Vehicle Configurations'!X27, 20*($G$16-1), 10*($E$16-1)) = 0, "", OFFSET('Default Vehicle Configurations'!X27, 20*($G$16-1), 10*($E$16-1)))</f>
        <v>100</v>
      </c>
      <c r="P27" s="330"/>
      <c r="Q27" s="301" t="s">
        <v>2097</v>
      </c>
      <c r="R27" s="819">
        <v>1</v>
      </c>
      <c r="S27" s="820">
        <v>1</v>
      </c>
      <c r="T27" s="820">
        <v>1</v>
      </c>
      <c r="U27" s="820">
        <v>1</v>
      </c>
      <c r="V27" s="820">
        <v>1</v>
      </c>
      <c r="W27" s="820">
        <v>1</v>
      </c>
      <c r="X27" s="821">
        <v>1</v>
      </c>
      <c r="Y27" s="331"/>
      <c r="Z27" s="330"/>
      <c r="AA27" s="301" t="s">
        <v>2097</v>
      </c>
      <c r="AB27" s="819">
        <v>10</v>
      </c>
      <c r="AC27" s="820">
        <v>10</v>
      </c>
      <c r="AD27" s="820">
        <v>10</v>
      </c>
      <c r="AE27" s="820">
        <v>10</v>
      </c>
      <c r="AF27" s="820">
        <v>10</v>
      </c>
      <c r="AG27" s="820">
        <v>10</v>
      </c>
      <c r="AH27" s="820">
        <v>10</v>
      </c>
      <c r="AI27" s="331"/>
      <c r="AJ27" s="330"/>
      <c r="AK27" s="301" t="s">
        <v>2097</v>
      </c>
      <c r="AL27" s="819">
        <v>10</v>
      </c>
      <c r="AM27" s="820">
        <v>10</v>
      </c>
      <c r="AN27" s="820">
        <v>10</v>
      </c>
      <c r="AO27" s="820">
        <v>10</v>
      </c>
      <c r="AP27" s="820">
        <v>10</v>
      </c>
      <c r="AQ27" s="820">
        <v>10</v>
      </c>
      <c r="AR27" s="820">
        <v>10</v>
      </c>
      <c r="AS27" s="331"/>
      <c r="AT27" s="330"/>
      <c r="AU27" s="301" t="s">
        <v>2097</v>
      </c>
      <c r="AV27" s="819">
        <v>100</v>
      </c>
      <c r="AW27" s="820">
        <v>100</v>
      </c>
      <c r="AX27" s="820">
        <v>100</v>
      </c>
      <c r="AY27" s="820">
        <v>100</v>
      </c>
      <c r="AZ27" s="820">
        <v>100</v>
      </c>
      <c r="BA27" s="820">
        <v>100</v>
      </c>
      <c r="BB27" s="821">
        <v>100</v>
      </c>
      <c r="BC27" s="331"/>
      <c r="BD27" s="330"/>
      <c r="BE27" s="301" t="s">
        <v>2097</v>
      </c>
      <c r="BF27" s="819"/>
      <c r="BG27" s="820"/>
      <c r="BH27" s="820"/>
      <c r="BI27" s="820"/>
      <c r="BJ27" s="820"/>
      <c r="BK27" s="820"/>
      <c r="BL27" s="821"/>
      <c r="BM27" s="331"/>
    </row>
    <row r="28" spans="4:65" ht="27.65" customHeight="1" thickBot="1" x14ac:dyDescent="0.4">
      <c r="D28" s="438"/>
      <c r="E28" s="832"/>
      <c r="F28" s="341"/>
      <c r="G28" s="341"/>
      <c r="H28" s="341"/>
      <c r="I28" s="341"/>
      <c r="J28" s="341"/>
      <c r="K28" s="341"/>
      <c r="L28" s="637"/>
      <c r="P28" s="330"/>
      <c r="Q28" s="5"/>
      <c r="R28" s="299"/>
      <c r="S28" s="299"/>
      <c r="T28" s="299"/>
      <c r="U28" s="299"/>
      <c r="V28" s="299"/>
      <c r="W28" s="299"/>
      <c r="X28" s="299"/>
      <c r="Y28" s="331"/>
      <c r="Z28" s="330"/>
      <c r="AA28" s="5"/>
      <c r="AB28" s="299"/>
      <c r="AC28" s="299"/>
      <c r="AD28" s="299"/>
      <c r="AE28" s="299"/>
      <c r="AF28" s="299"/>
      <c r="AG28" s="299"/>
      <c r="AH28" s="299"/>
      <c r="AI28" s="331"/>
      <c r="AJ28" s="330"/>
      <c r="AK28" s="5"/>
      <c r="AL28" s="299"/>
      <c r="AM28" s="299"/>
      <c r="AN28" s="299"/>
      <c r="AO28" s="299"/>
      <c r="AP28" s="299"/>
      <c r="AQ28" s="299"/>
      <c r="AR28" s="299"/>
      <c r="AS28" s="331"/>
      <c r="AT28" s="330"/>
      <c r="AU28" s="5"/>
      <c r="AV28" s="299"/>
      <c r="AW28" s="299"/>
      <c r="AX28" s="299"/>
      <c r="AY28" s="299"/>
      <c r="AZ28" s="299"/>
      <c r="BA28" s="299"/>
      <c r="BB28" s="299"/>
      <c r="BC28" s="331"/>
      <c r="BD28" s="330"/>
      <c r="BE28" s="5"/>
      <c r="BF28" s="299"/>
      <c r="BG28" s="299"/>
      <c r="BH28" s="299"/>
      <c r="BI28" s="299"/>
      <c r="BJ28" s="299"/>
      <c r="BK28" s="299"/>
      <c r="BL28" s="299"/>
      <c r="BM28" s="331"/>
    </row>
    <row r="29" spans="4:65" ht="47.9" customHeight="1" thickBot="1" x14ac:dyDescent="0.3">
      <c r="D29" s="798" t="s">
        <v>88</v>
      </c>
      <c r="E29" s="833">
        <v>105</v>
      </c>
      <c r="F29" s="878">
        <f ca="1">OFFSET('Default Vehicle Configurations'!R29, 20*($G$16-1), 10*($E$16-1))</f>
        <v>500000</v>
      </c>
      <c r="G29" s="879">
        <f ca="1">OFFSET('Default Vehicle Configurations'!S29, 20*($G$16-1), 10*($E$16-1))</f>
        <v>500000</v>
      </c>
      <c r="H29" s="879">
        <f ca="1">OFFSET('Default Vehicle Configurations'!T29, 20*($G$16-1), 10*($E$16-1))</f>
        <v>500000</v>
      </c>
      <c r="I29" s="879">
        <f ca="1">OFFSET('Default Vehicle Configurations'!U29, 20*($G$16-1), 10*($E$16-1))</f>
        <v>500000</v>
      </c>
      <c r="J29" s="879">
        <f ca="1">OFFSET('Default Vehicle Configurations'!V29, 20*($G$16-1), 10*($E$16-1))</f>
        <v>500000</v>
      </c>
      <c r="K29" s="879">
        <f ca="1">OFFSET('Default Vehicle Configurations'!W29, 20*($G$16-1), 10*($E$16-1))</f>
        <v>500000</v>
      </c>
      <c r="L29" s="880">
        <f ca="1">OFFSET('Default Vehicle Configurations'!X29, 20*($G$16-1), 10*($E$16-1))</f>
        <v>500000</v>
      </c>
      <c r="P29" s="330"/>
      <c r="Q29" s="629" t="s">
        <v>88</v>
      </c>
      <c r="R29" s="822">
        <v>500000</v>
      </c>
      <c r="S29" s="823">
        <v>500000</v>
      </c>
      <c r="T29" s="823">
        <v>500000</v>
      </c>
      <c r="U29" s="823">
        <v>500000</v>
      </c>
      <c r="V29" s="823">
        <v>500000</v>
      </c>
      <c r="W29" s="823">
        <v>500000</v>
      </c>
      <c r="X29" s="824">
        <v>500000</v>
      </c>
      <c r="Y29" s="331"/>
      <c r="Z29" s="330"/>
      <c r="AA29" s="629" t="s">
        <v>88</v>
      </c>
      <c r="AB29" s="822">
        <v>500000</v>
      </c>
      <c r="AC29" s="823">
        <v>500000</v>
      </c>
      <c r="AD29" s="823">
        <v>500000</v>
      </c>
      <c r="AE29" s="823">
        <v>500000</v>
      </c>
      <c r="AF29" s="823">
        <v>500000</v>
      </c>
      <c r="AG29" s="823">
        <v>500000</v>
      </c>
      <c r="AH29" s="824">
        <v>500000</v>
      </c>
      <c r="AI29" s="331"/>
      <c r="AJ29" s="330"/>
      <c r="AK29" s="629" t="s">
        <v>88</v>
      </c>
      <c r="AL29" s="822">
        <v>500000</v>
      </c>
      <c r="AM29" s="823">
        <v>500000</v>
      </c>
      <c r="AN29" s="823">
        <v>500000</v>
      </c>
      <c r="AO29" s="823">
        <v>500000</v>
      </c>
      <c r="AP29" s="823">
        <v>500000</v>
      </c>
      <c r="AQ29" s="823">
        <v>500000</v>
      </c>
      <c r="AR29" s="824">
        <v>500000</v>
      </c>
      <c r="AS29" s="331"/>
      <c r="AT29" s="330"/>
      <c r="AU29" s="629" t="s">
        <v>88</v>
      </c>
      <c r="AV29" s="822">
        <v>500000</v>
      </c>
      <c r="AW29" s="823">
        <v>500000</v>
      </c>
      <c r="AX29" s="823">
        <v>500000</v>
      </c>
      <c r="AY29" s="823">
        <v>500000</v>
      </c>
      <c r="AZ29" s="823">
        <v>500000</v>
      </c>
      <c r="BA29" s="823">
        <v>500000</v>
      </c>
      <c r="BB29" s="824">
        <v>500000</v>
      </c>
      <c r="BC29" s="331"/>
      <c r="BD29" s="330"/>
      <c r="BE29" s="629" t="s">
        <v>88</v>
      </c>
      <c r="BF29" s="822"/>
      <c r="BG29" s="823"/>
      <c r="BH29" s="823"/>
      <c r="BI29" s="823"/>
      <c r="BJ29" s="823"/>
      <c r="BK29" s="823"/>
      <c r="BL29" s="824"/>
      <c r="BM29" s="331"/>
    </row>
    <row r="30" spans="4:65" x14ac:dyDescent="0.25">
      <c r="D30" s="491"/>
      <c r="E30" s="834"/>
      <c r="F30" s="5"/>
      <c r="G30" s="5"/>
      <c r="H30" s="5"/>
      <c r="I30" s="5"/>
      <c r="J30" s="5"/>
      <c r="K30" s="5"/>
      <c r="L30" s="331"/>
      <c r="P30" s="330"/>
      <c r="Q30" s="5"/>
      <c r="R30" s="5"/>
      <c r="S30" s="5"/>
      <c r="T30" s="5"/>
      <c r="U30" s="5"/>
      <c r="V30" s="5"/>
      <c r="W30" s="5"/>
      <c r="X30" s="5"/>
      <c r="Y30" s="331"/>
      <c r="Z30" s="330"/>
      <c r="AA30" s="5"/>
      <c r="AB30" s="5"/>
      <c r="AC30" s="5"/>
      <c r="AD30" s="5"/>
      <c r="AE30" s="5"/>
      <c r="AF30" s="5"/>
      <c r="AG30" s="5"/>
      <c r="AH30" s="5"/>
      <c r="AI30" s="331"/>
      <c r="AJ30" s="330"/>
      <c r="AK30" s="5"/>
      <c r="AL30" s="5"/>
      <c r="AM30" s="5"/>
      <c r="AN30" s="5"/>
      <c r="AO30" s="5"/>
      <c r="AP30" s="5"/>
      <c r="AQ30" s="5"/>
      <c r="AR30" s="5"/>
      <c r="AS30" s="331"/>
      <c r="AT30" s="330"/>
      <c r="AU30" s="5"/>
      <c r="AV30" s="5"/>
      <c r="AW30" s="5"/>
      <c r="AX30" s="5"/>
      <c r="AY30" s="5"/>
      <c r="AZ30" s="5"/>
      <c r="BA30" s="5"/>
      <c r="BB30" s="5"/>
      <c r="BC30" s="331"/>
      <c r="BD30" s="330"/>
      <c r="BE30" s="5"/>
      <c r="BF30" s="5"/>
      <c r="BG30" s="5"/>
      <c r="BH30" s="5"/>
      <c r="BI30" s="5"/>
      <c r="BJ30" s="5"/>
      <c r="BK30" s="5"/>
      <c r="BL30" s="5"/>
      <c r="BM30" s="331"/>
    </row>
    <row r="31" spans="4:65" ht="15.5" x14ac:dyDescent="0.25">
      <c r="D31" s="802"/>
      <c r="E31" s="834"/>
      <c r="F31" s="5"/>
      <c r="G31" s="5"/>
      <c r="H31" s="5"/>
      <c r="I31" s="5"/>
      <c r="J31" s="5"/>
      <c r="K31" s="5"/>
      <c r="L31" s="331"/>
      <c r="P31" s="330"/>
      <c r="Q31" s="5"/>
      <c r="R31" s="5"/>
      <c r="S31" s="5"/>
      <c r="T31" s="5"/>
      <c r="U31" s="5"/>
      <c r="V31" s="5"/>
      <c r="W31" s="5"/>
      <c r="X31" s="5"/>
      <c r="Y31" s="331"/>
      <c r="Z31" s="330"/>
      <c r="AA31" s="5"/>
      <c r="AB31" s="5"/>
      <c r="AC31" s="5"/>
      <c r="AD31" s="5"/>
      <c r="AE31" s="5"/>
      <c r="AF31" s="5"/>
      <c r="AG31" s="5"/>
      <c r="AH31" s="5"/>
      <c r="AI31" s="331"/>
      <c r="AJ31" s="330"/>
      <c r="AK31" s="5"/>
      <c r="AL31" s="5"/>
      <c r="AM31" s="5"/>
      <c r="AN31" s="5"/>
      <c r="AO31" s="5"/>
      <c r="AP31" s="5"/>
      <c r="AQ31" s="5"/>
      <c r="AR31" s="5"/>
      <c r="AS31" s="331"/>
      <c r="AT31" s="330"/>
      <c r="AU31" s="5"/>
      <c r="AV31" s="5"/>
      <c r="AW31" s="5"/>
      <c r="AX31" s="5"/>
      <c r="AY31" s="5"/>
      <c r="AZ31" s="5"/>
      <c r="BA31" s="5"/>
      <c r="BB31" s="5"/>
      <c r="BC31" s="331"/>
      <c r="BD31" s="330"/>
      <c r="BE31" s="5"/>
      <c r="BF31" s="5"/>
      <c r="BG31" s="5"/>
      <c r="BH31" s="5"/>
      <c r="BI31" s="5"/>
      <c r="BJ31" s="5"/>
      <c r="BK31" s="5"/>
      <c r="BL31" s="5"/>
      <c r="BM31" s="331"/>
    </row>
    <row r="32" spans="4:65" x14ac:dyDescent="0.25">
      <c r="D32" s="330"/>
      <c r="E32" s="834"/>
      <c r="F32" s="5"/>
      <c r="G32" s="5"/>
      <c r="H32" s="5"/>
      <c r="I32" s="5"/>
      <c r="J32" s="5"/>
      <c r="K32" s="5"/>
      <c r="L32" s="331"/>
      <c r="P32" s="330"/>
      <c r="Q32" s="5"/>
      <c r="R32" s="5"/>
      <c r="S32" s="5"/>
      <c r="T32" s="5"/>
      <c r="U32" s="5"/>
      <c r="V32" s="5"/>
      <c r="W32" s="5"/>
      <c r="X32" s="5"/>
      <c r="Y32" s="331"/>
      <c r="Z32" s="330"/>
      <c r="AA32" s="5"/>
      <c r="AB32" s="5"/>
      <c r="AC32" s="5"/>
      <c r="AD32" s="5"/>
      <c r="AE32" s="5"/>
      <c r="AF32" s="5"/>
      <c r="AG32" s="5"/>
      <c r="AH32" s="5"/>
      <c r="AI32" s="331"/>
      <c r="AJ32" s="330"/>
      <c r="AK32" s="5"/>
      <c r="AL32" s="5"/>
      <c r="AM32" s="5"/>
      <c r="AN32" s="5"/>
      <c r="AO32" s="5"/>
      <c r="AP32" s="5"/>
      <c r="AQ32" s="5"/>
      <c r="AR32" s="5"/>
      <c r="AS32" s="331"/>
      <c r="AT32" s="330"/>
      <c r="AU32" s="5"/>
      <c r="AV32" s="5"/>
      <c r="AW32" s="5"/>
      <c r="AX32" s="5"/>
      <c r="AY32" s="5"/>
      <c r="AZ32" s="5"/>
      <c r="BA32" s="5"/>
      <c r="BB32" s="5"/>
      <c r="BC32" s="331"/>
      <c r="BD32" s="330"/>
      <c r="BE32" s="5"/>
      <c r="BF32" s="5"/>
      <c r="BG32" s="5"/>
      <c r="BH32" s="5"/>
      <c r="BI32" s="5"/>
      <c r="BJ32" s="5"/>
      <c r="BK32" s="5"/>
      <c r="BL32" s="5"/>
      <c r="BM32" s="331"/>
    </row>
    <row r="33" spans="3:65" ht="13" thickBot="1" x14ac:dyDescent="0.3">
      <c r="D33" s="345"/>
      <c r="E33" s="835"/>
      <c r="F33" s="46"/>
      <c r="G33" s="46"/>
      <c r="H33" s="46"/>
      <c r="I33" s="46"/>
      <c r="J33" s="46"/>
      <c r="K33" s="46"/>
      <c r="L33" s="346"/>
      <c r="P33" s="330"/>
      <c r="Q33" s="5"/>
      <c r="R33" s="5"/>
      <c r="S33" s="5"/>
      <c r="T33" s="5"/>
      <c r="U33" s="5"/>
      <c r="V33" s="5"/>
      <c r="W33" s="5"/>
      <c r="X33" s="5"/>
      <c r="Y33" s="331"/>
      <c r="Z33" s="330"/>
      <c r="AA33" s="5"/>
      <c r="AB33" s="5"/>
      <c r="AC33" s="5"/>
      <c r="AD33" s="5"/>
      <c r="AE33" s="5"/>
      <c r="AF33" s="5"/>
      <c r="AG33" s="5"/>
      <c r="AH33" s="5"/>
      <c r="AI33" s="331"/>
      <c r="AJ33" s="330"/>
      <c r="AK33" s="5"/>
      <c r="AL33" s="5"/>
      <c r="AM33" s="5"/>
      <c r="AN33" s="5"/>
      <c r="AO33" s="5"/>
      <c r="AP33" s="5"/>
      <c r="AQ33" s="5"/>
      <c r="AR33" s="5"/>
      <c r="AS33" s="331"/>
      <c r="AT33" s="330"/>
      <c r="AU33" s="5"/>
      <c r="AV33" s="5"/>
      <c r="AW33" s="5"/>
      <c r="AX33" s="5"/>
      <c r="AY33" s="5"/>
      <c r="AZ33" s="5"/>
      <c r="BA33" s="5"/>
      <c r="BB33" s="5"/>
      <c r="BC33" s="331"/>
      <c r="BD33" s="330"/>
      <c r="BE33" s="5"/>
      <c r="BF33" s="5"/>
      <c r="BG33" s="5"/>
      <c r="BH33" s="5"/>
      <c r="BI33" s="5"/>
      <c r="BJ33" s="5"/>
      <c r="BK33" s="5"/>
      <c r="BL33" s="5"/>
      <c r="BM33" s="331"/>
    </row>
    <row r="34" spans="3:65" ht="13" thickBot="1" x14ac:dyDescent="0.3">
      <c r="C34" s="5"/>
      <c r="D34" s="5"/>
      <c r="E34" s="5"/>
      <c r="F34" s="5"/>
      <c r="G34" s="5"/>
      <c r="H34" s="5"/>
      <c r="I34" s="5"/>
      <c r="J34" s="5"/>
      <c r="K34" s="5"/>
      <c r="L34" s="5"/>
      <c r="P34" s="345"/>
      <c r="Q34" s="46"/>
      <c r="R34" s="46"/>
      <c r="S34" s="46"/>
      <c r="T34" s="46"/>
      <c r="U34" s="46"/>
      <c r="V34" s="46"/>
      <c r="W34" s="46"/>
      <c r="X34" s="46"/>
      <c r="Y34" s="346"/>
      <c r="Z34" s="345"/>
      <c r="AA34" s="46"/>
      <c r="AB34" s="46"/>
      <c r="AC34" s="46"/>
      <c r="AD34" s="46"/>
      <c r="AE34" s="46"/>
      <c r="AF34" s="46"/>
      <c r="AG34" s="46"/>
      <c r="AH34" s="46"/>
      <c r="AI34" s="346"/>
      <c r="AJ34" s="345"/>
      <c r="AK34" s="46"/>
      <c r="AL34" s="46"/>
      <c r="AM34" s="46"/>
      <c r="AN34" s="46"/>
      <c r="AO34" s="46"/>
      <c r="AP34" s="46"/>
      <c r="AQ34" s="46"/>
      <c r="AR34" s="46"/>
      <c r="AS34" s="346"/>
      <c r="AT34" s="345"/>
      <c r="AU34" s="46"/>
      <c r="AV34" s="46"/>
      <c r="AW34" s="46"/>
      <c r="AX34" s="46"/>
      <c r="AY34" s="46"/>
      <c r="AZ34" s="46"/>
      <c r="BA34" s="46"/>
      <c r="BB34" s="46"/>
      <c r="BC34" s="346"/>
      <c r="BD34" s="345"/>
      <c r="BE34" s="46"/>
      <c r="BF34" s="46"/>
      <c r="BG34" s="46"/>
      <c r="BH34" s="46"/>
      <c r="BI34" s="46"/>
      <c r="BJ34" s="46"/>
      <c r="BK34" s="46"/>
      <c r="BL34" s="46"/>
      <c r="BM34" s="346"/>
    </row>
    <row r="35" spans="3:65" ht="18.5" thickBot="1" x14ac:dyDescent="0.45">
      <c r="C35" s="5"/>
      <c r="D35" s="5"/>
      <c r="E35" s="5"/>
      <c r="F35" s="5"/>
      <c r="G35" s="5"/>
      <c r="H35" s="5"/>
      <c r="I35" s="5"/>
      <c r="J35" s="5"/>
      <c r="K35" s="5"/>
      <c r="L35" s="5"/>
      <c r="P35" s="848"/>
      <c r="Q35" s="850" t="s">
        <v>2089</v>
      </c>
      <c r="R35" s="851">
        <f>Y$13-Y35+1</f>
        <v>2</v>
      </c>
      <c r="S35" s="850" t="s">
        <v>2090</v>
      </c>
      <c r="T35" s="849"/>
      <c r="U35" s="856" t="str">
        <f>"Default " &amp; R35</f>
        <v>Default 2</v>
      </c>
      <c r="V35" s="857"/>
      <c r="W35" s="857"/>
      <c r="X35" s="858"/>
      <c r="Y35" s="852">
        <f>Y55+1</f>
        <v>2</v>
      </c>
      <c r="Z35" s="848"/>
      <c r="AA35" s="850" t="s">
        <v>2089</v>
      </c>
      <c r="AB35" s="851">
        <f>AI$13-AI35+1</f>
        <v>2</v>
      </c>
      <c r="AC35" s="850" t="s">
        <v>2090</v>
      </c>
      <c r="AD35" s="849"/>
      <c r="AE35" s="856" t="str">
        <f>"Default " &amp; AB35</f>
        <v>Default 2</v>
      </c>
      <c r="AF35" s="857"/>
      <c r="AG35" s="857"/>
      <c r="AH35" s="858"/>
      <c r="AI35" s="852">
        <f>AI55+1</f>
        <v>2</v>
      </c>
      <c r="AJ35" s="848"/>
      <c r="AK35" s="850" t="s">
        <v>2089</v>
      </c>
      <c r="AL35" s="851">
        <f>AS$13-AS35+1</f>
        <v>2</v>
      </c>
      <c r="AM35" s="850" t="s">
        <v>2090</v>
      </c>
      <c r="AN35" s="849"/>
      <c r="AO35" s="856" t="str">
        <f>"Default " &amp; AL35</f>
        <v>Default 2</v>
      </c>
      <c r="AP35" s="857"/>
      <c r="AQ35" s="857"/>
      <c r="AR35" s="858"/>
      <c r="AS35" s="852">
        <f>AS55+1</f>
        <v>1</v>
      </c>
      <c r="AT35" s="848"/>
      <c r="AU35" s="850" t="s">
        <v>2089</v>
      </c>
      <c r="AV35" s="851">
        <f>BC$13-BC35+1</f>
        <v>2</v>
      </c>
      <c r="AW35" s="850" t="s">
        <v>2090</v>
      </c>
      <c r="AX35" s="849"/>
      <c r="AY35" s="856" t="str">
        <f>"Default " &amp; AV35</f>
        <v>Default 2</v>
      </c>
      <c r="AZ35" s="857"/>
      <c r="BA35" s="857"/>
      <c r="BB35" s="858"/>
      <c r="BC35" s="852">
        <f>BC55+1</f>
        <v>1</v>
      </c>
    </row>
    <row r="36" spans="3:65" ht="16" thickBot="1" x14ac:dyDescent="0.4">
      <c r="C36" s="5"/>
      <c r="D36" s="5"/>
      <c r="E36" s="5"/>
      <c r="F36" s="5"/>
      <c r="G36" s="5"/>
      <c r="H36" s="5"/>
      <c r="I36" s="5"/>
      <c r="J36" s="5"/>
      <c r="K36" s="5"/>
      <c r="L36" s="5"/>
      <c r="P36" s="330"/>
      <c r="Q36" s="333" t="s">
        <v>681</v>
      </c>
      <c r="R36" s="853"/>
      <c r="S36" s="854"/>
      <c r="T36" s="854"/>
      <c r="U36" s="854"/>
      <c r="V36" s="854"/>
      <c r="W36" s="854"/>
      <c r="X36" s="854"/>
      <c r="Y36" s="855"/>
      <c r="Z36" s="330"/>
      <c r="AA36" s="333" t="s">
        <v>681</v>
      </c>
      <c r="AB36" s="853"/>
      <c r="AC36" s="854"/>
      <c r="AD36" s="854"/>
      <c r="AE36" s="854"/>
      <c r="AF36" s="854"/>
      <c r="AG36" s="854"/>
      <c r="AH36" s="854"/>
      <c r="AI36" s="855"/>
      <c r="AJ36" s="330"/>
      <c r="AK36" s="333" t="s">
        <v>681</v>
      </c>
      <c r="AL36" s="853"/>
      <c r="AM36" s="854"/>
      <c r="AN36" s="854"/>
      <c r="AO36" s="854"/>
      <c r="AP36" s="854"/>
      <c r="AQ36" s="854"/>
      <c r="AR36" s="854"/>
      <c r="AS36" s="855"/>
      <c r="AT36" s="330"/>
      <c r="AU36" s="9" t="s">
        <v>681</v>
      </c>
      <c r="AV36" s="853"/>
      <c r="AW36" s="854"/>
      <c r="AX36" s="854"/>
      <c r="AY36" s="854"/>
      <c r="AZ36" s="854"/>
      <c r="BA36" s="854"/>
      <c r="BB36" s="854"/>
      <c r="BC36" s="855"/>
    </row>
    <row r="37" spans="3:65" ht="13" thickBot="1" x14ac:dyDescent="0.3">
      <c r="C37" s="5"/>
      <c r="D37" s="5"/>
      <c r="E37" s="5"/>
      <c r="F37" s="5"/>
      <c r="G37" s="5"/>
      <c r="H37" s="5"/>
      <c r="I37" s="5"/>
      <c r="J37" s="5"/>
      <c r="K37" s="5"/>
      <c r="L37" s="5"/>
      <c r="P37" s="330"/>
      <c r="Q37" s="5"/>
      <c r="R37" s="5"/>
      <c r="S37" s="5"/>
      <c r="T37" s="5"/>
      <c r="U37" s="5"/>
      <c r="V37" s="5"/>
      <c r="W37" s="5"/>
      <c r="X37" s="5"/>
      <c r="Y37" s="331"/>
      <c r="Z37" s="330"/>
      <c r="AA37" s="5"/>
      <c r="AB37" s="5"/>
      <c r="AC37" s="5"/>
      <c r="AD37" s="5"/>
      <c r="AE37" s="5"/>
      <c r="AF37" s="5"/>
      <c r="AG37" s="5"/>
      <c r="AH37" s="5"/>
      <c r="AI37" s="331"/>
      <c r="AJ37" s="330"/>
      <c r="AK37" s="5"/>
      <c r="AL37" s="5"/>
      <c r="AM37" s="5"/>
      <c r="AN37" s="5"/>
      <c r="AO37" s="5"/>
      <c r="AP37" s="5"/>
      <c r="AQ37" s="5"/>
      <c r="AR37" s="5"/>
      <c r="AS37" s="331"/>
      <c r="AT37" s="330"/>
      <c r="AU37" s="5"/>
      <c r="AV37" s="5"/>
      <c r="AW37" s="5"/>
      <c r="AX37" s="5"/>
      <c r="AY37" s="5"/>
      <c r="AZ37" s="5"/>
      <c r="BA37" s="5"/>
      <c r="BB37" s="5"/>
      <c r="BC37" s="331"/>
    </row>
    <row r="38" spans="3:65" ht="16" thickBot="1" x14ac:dyDescent="0.4">
      <c r="C38" s="5"/>
      <c r="D38" s="5"/>
      <c r="E38" s="5"/>
      <c r="F38" s="5"/>
      <c r="G38" s="5"/>
      <c r="H38" s="5"/>
      <c r="I38" s="5"/>
      <c r="J38" s="5"/>
      <c r="K38" s="5"/>
      <c r="L38" s="5"/>
      <c r="P38" s="330"/>
      <c r="Q38" s="333" t="s">
        <v>1939</v>
      </c>
      <c r="R38" s="826" t="s">
        <v>50</v>
      </c>
      <c r="S38" s="827" t="s">
        <v>51</v>
      </c>
      <c r="T38" s="827" t="s">
        <v>52</v>
      </c>
      <c r="U38" s="827" t="s">
        <v>53</v>
      </c>
      <c r="V38" s="827" t="s">
        <v>54</v>
      </c>
      <c r="W38" s="827" t="s">
        <v>55</v>
      </c>
      <c r="X38" s="828" t="s">
        <v>56</v>
      </c>
      <c r="Y38" s="331"/>
      <c r="Z38" s="330"/>
      <c r="AA38" s="333" t="s">
        <v>1939</v>
      </c>
      <c r="AB38" s="826" t="s">
        <v>50</v>
      </c>
      <c r="AC38" s="827" t="s">
        <v>51</v>
      </c>
      <c r="AD38" s="827" t="s">
        <v>52</v>
      </c>
      <c r="AE38" s="827" t="s">
        <v>53</v>
      </c>
      <c r="AF38" s="827" t="s">
        <v>54</v>
      </c>
      <c r="AG38" s="827" t="s">
        <v>55</v>
      </c>
      <c r="AH38" s="828" t="s">
        <v>56</v>
      </c>
      <c r="AI38" s="331"/>
      <c r="AJ38" s="330"/>
      <c r="AK38" s="333" t="s">
        <v>1939</v>
      </c>
      <c r="AL38" s="826" t="s">
        <v>50</v>
      </c>
      <c r="AM38" s="827" t="s">
        <v>51</v>
      </c>
      <c r="AN38" s="827" t="s">
        <v>52</v>
      </c>
      <c r="AO38" s="827" t="s">
        <v>53</v>
      </c>
      <c r="AP38" s="827" t="s">
        <v>54</v>
      </c>
      <c r="AQ38" s="827" t="s">
        <v>55</v>
      </c>
      <c r="AR38" s="828" t="s">
        <v>56</v>
      </c>
      <c r="AS38" s="331"/>
      <c r="AT38" s="330"/>
      <c r="AU38" s="333" t="s">
        <v>1939</v>
      </c>
      <c r="AV38" s="826" t="s">
        <v>50</v>
      </c>
      <c r="AW38" s="827" t="s">
        <v>51</v>
      </c>
      <c r="AX38" s="827" t="s">
        <v>52</v>
      </c>
      <c r="AY38" s="827" t="s">
        <v>53</v>
      </c>
      <c r="AZ38" s="827" t="s">
        <v>54</v>
      </c>
      <c r="BA38" s="827" t="s">
        <v>55</v>
      </c>
      <c r="BB38" s="828" t="s">
        <v>56</v>
      </c>
      <c r="BC38" s="331"/>
    </row>
    <row r="39" spans="3:65" ht="31" x14ac:dyDescent="0.35">
      <c r="C39" s="5"/>
      <c r="D39" s="5"/>
      <c r="E39" s="5"/>
      <c r="F39" s="5"/>
      <c r="G39" s="5"/>
      <c r="H39" s="5"/>
      <c r="I39" s="5"/>
      <c r="J39" s="5"/>
      <c r="K39" s="5"/>
      <c r="L39" s="5"/>
      <c r="P39" s="330"/>
      <c r="Q39" s="301" t="s">
        <v>73</v>
      </c>
      <c r="R39" s="805">
        <v>12</v>
      </c>
      <c r="S39" s="806">
        <v>9</v>
      </c>
      <c r="T39" s="806">
        <v>6</v>
      </c>
      <c r="U39" s="806">
        <v>3</v>
      </c>
      <c r="V39" s="806">
        <v>3</v>
      </c>
      <c r="W39" s="806">
        <v>15</v>
      </c>
      <c r="X39" s="807">
        <v>18</v>
      </c>
      <c r="Y39" s="331"/>
      <c r="Z39" s="330"/>
      <c r="AA39" s="301" t="s">
        <v>73</v>
      </c>
      <c r="AB39" s="805">
        <v>12</v>
      </c>
      <c r="AC39" s="806">
        <v>12</v>
      </c>
      <c r="AD39" s="806">
        <v>12</v>
      </c>
      <c r="AE39" s="806">
        <v>12</v>
      </c>
      <c r="AF39" s="806">
        <v>12</v>
      </c>
      <c r="AG39" s="806">
        <v>12</v>
      </c>
      <c r="AH39" s="806">
        <v>12</v>
      </c>
      <c r="AI39" s="331"/>
      <c r="AJ39" s="330"/>
      <c r="AK39" s="301" t="s">
        <v>73</v>
      </c>
      <c r="AL39" s="805">
        <v>26</v>
      </c>
      <c r="AM39" s="806">
        <v>28</v>
      </c>
      <c r="AN39" s="806">
        <v>30</v>
      </c>
      <c r="AO39" s="806">
        <v>32</v>
      </c>
      <c r="AP39" s="806">
        <v>34</v>
      </c>
      <c r="AQ39" s="806">
        <v>36</v>
      </c>
      <c r="AR39" s="807">
        <v>38</v>
      </c>
      <c r="AS39" s="331"/>
      <c r="AT39" s="330"/>
      <c r="AU39" s="301" t="s">
        <v>73</v>
      </c>
      <c r="AV39" s="805">
        <v>12</v>
      </c>
      <c r="AW39" s="806">
        <v>12</v>
      </c>
      <c r="AX39" s="806">
        <v>12</v>
      </c>
      <c r="AY39" s="806">
        <v>20</v>
      </c>
      <c r="AZ39" s="806">
        <v>20</v>
      </c>
      <c r="BA39" s="806">
        <v>12</v>
      </c>
      <c r="BB39" s="807">
        <v>12</v>
      </c>
      <c r="BC39" s="331"/>
    </row>
    <row r="40" spans="3:65" ht="31" x14ac:dyDescent="0.35">
      <c r="C40" s="5"/>
      <c r="D40" s="5"/>
      <c r="E40" s="5"/>
      <c r="F40" s="5"/>
      <c r="G40" s="5"/>
      <c r="H40" s="5"/>
      <c r="I40" s="5"/>
      <c r="J40" s="5"/>
      <c r="K40" s="5"/>
      <c r="L40" s="5"/>
      <c r="P40" s="330"/>
      <c r="Q40" s="301" t="s">
        <v>74</v>
      </c>
      <c r="R40" s="808">
        <v>4</v>
      </c>
      <c r="S40" s="691">
        <v>3</v>
      </c>
      <c r="T40" s="691">
        <v>2</v>
      </c>
      <c r="U40" s="691">
        <v>1</v>
      </c>
      <c r="V40" s="691">
        <v>1</v>
      </c>
      <c r="W40" s="691">
        <v>5</v>
      </c>
      <c r="X40" s="809">
        <v>6</v>
      </c>
      <c r="Y40" s="331"/>
      <c r="Z40" s="330"/>
      <c r="AA40" s="301" t="s">
        <v>74</v>
      </c>
      <c r="AB40" s="808">
        <v>1</v>
      </c>
      <c r="AC40" s="691">
        <v>1</v>
      </c>
      <c r="AD40" s="691">
        <v>1</v>
      </c>
      <c r="AE40" s="691">
        <v>1</v>
      </c>
      <c r="AF40" s="691">
        <v>1</v>
      </c>
      <c r="AG40" s="691">
        <v>1</v>
      </c>
      <c r="AH40" s="691">
        <v>1</v>
      </c>
      <c r="AI40" s="331"/>
      <c r="AJ40" s="330"/>
      <c r="AK40" s="301" t="s">
        <v>74</v>
      </c>
      <c r="AL40" s="808">
        <v>1</v>
      </c>
      <c r="AM40" s="691">
        <v>1</v>
      </c>
      <c r="AN40" s="691">
        <v>1</v>
      </c>
      <c r="AO40" s="691">
        <v>1</v>
      </c>
      <c r="AP40" s="691">
        <v>1</v>
      </c>
      <c r="AQ40" s="691">
        <v>1</v>
      </c>
      <c r="AR40" s="809">
        <v>1</v>
      </c>
      <c r="AS40" s="331"/>
      <c r="AT40" s="330"/>
      <c r="AU40" s="301" t="s">
        <v>74</v>
      </c>
      <c r="AV40" s="808">
        <v>4</v>
      </c>
      <c r="AW40" s="691">
        <v>2</v>
      </c>
      <c r="AX40" s="691">
        <v>3</v>
      </c>
      <c r="AY40" s="691">
        <v>2</v>
      </c>
      <c r="AZ40" s="691">
        <v>2</v>
      </c>
      <c r="BA40" s="691">
        <v>3</v>
      </c>
      <c r="BB40" s="809">
        <v>4</v>
      </c>
      <c r="BC40" s="331"/>
    </row>
    <row r="41" spans="3:65" ht="31" x14ac:dyDescent="0.35">
      <c r="P41" s="330"/>
      <c r="Q41" s="301" t="s">
        <v>75</v>
      </c>
      <c r="R41" s="810">
        <v>1</v>
      </c>
      <c r="S41" s="803">
        <v>1</v>
      </c>
      <c r="T41" s="803">
        <v>1</v>
      </c>
      <c r="U41" s="803">
        <v>1</v>
      </c>
      <c r="V41" s="803">
        <v>1</v>
      </c>
      <c r="W41" s="803">
        <v>1</v>
      </c>
      <c r="X41" s="811">
        <v>1</v>
      </c>
      <c r="Y41" s="331"/>
      <c r="Z41" s="330"/>
      <c r="AA41" s="301" t="s">
        <v>75</v>
      </c>
      <c r="AB41" s="810">
        <v>1</v>
      </c>
      <c r="AC41" s="803">
        <v>1</v>
      </c>
      <c r="AD41" s="803">
        <v>1</v>
      </c>
      <c r="AE41" s="803">
        <v>1</v>
      </c>
      <c r="AF41" s="803">
        <v>1</v>
      </c>
      <c r="AG41" s="803">
        <v>1</v>
      </c>
      <c r="AH41" s="803">
        <v>1</v>
      </c>
      <c r="AI41" s="331"/>
      <c r="AJ41" s="330"/>
      <c r="AK41" s="301" t="s">
        <v>75</v>
      </c>
      <c r="AL41" s="810">
        <v>1</v>
      </c>
      <c r="AM41" s="803">
        <v>1</v>
      </c>
      <c r="AN41" s="803">
        <v>1</v>
      </c>
      <c r="AO41" s="803">
        <v>1</v>
      </c>
      <c r="AP41" s="803">
        <v>1</v>
      </c>
      <c r="AQ41" s="803">
        <v>1</v>
      </c>
      <c r="AR41" s="811">
        <v>1</v>
      </c>
      <c r="AS41" s="331"/>
      <c r="AT41" s="330"/>
      <c r="AU41" s="301" t="s">
        <v>75</v>
      </c>
      <c r="AV41" s="810">
        <v>5</v>
      </c>
      <c r="AW41" s="803">
        <v>5</v>
      </c>
      <c r="AX41" s="803">
        <v>6</v>
      </c>
      <c r="AY41" s="803">
        <v>5</v>
      </c>
      <c r="AZ41" s="803">
        <v>4</v>
      </c>
      <c r="BA41" s="803">
        <v>5</v>
      </c>
      <c r="BB41" s="811">
        <v>6</v>
      </c>
      <c r="BC41" s="331"/>
    </row>
    <row r="42" spans="3:65" ht="31" x14ac:dyDescent="0.35">
      <c r="P42" s="330"/>
      <c r="Q42" s="301" t="s">
        <v>76</v>
      </c>
      <c r="R42" s="810">
        <v>1</v>
      </c>
      <c r="S42" s="803">
        <v>1</v>
      </c>
      <c r="T42" s="803">
        <v>1</v>
      </c>
      <c r="U42" s="803">
        <v>1</v>
      </c>
      <c r="V42" s="803">
        <v>2</v>
      </c>
      <c r="W42" s="803">
        <v>1</v>
      </c>
      <c r="X42" s="811">
        <v>1</v>
      </c>
      <c r="Y42" s="331"/>
      <c r="Z42" s="330"/>
      <c r="AA42" s="301" t="s">
        <v>76</v>
      </c>
      <c r="AB42" s="810">
        <v>1</v>
      </c>
      <c r="AC42" s="803">
        <v>1</v>
      </c>
      <c r="AD42" s="803">
        <v>1</v>
      </c>
      <c r="AE42" s="803">
        <v>1</v>
      </c>
      <c r="AF42" s="803">
        <v>1</v>
      </c>
      <c r="AG42" s="803">
        <v>1</v>
      </c>
      <c r="AH42" s="803">
        <v>1</v>
      </c>
      <c r="AI42" s="331"/>
      <c r="AJ42" s="330"/>
      <c r="AK42" s="301" t="s">
        <v>76</v>
      </c>
      <c r="AL42" s="810">
        <v>2</v>
      </c>
      <c r="AM42" s="803">
        <v>2</v>
      </c>
      <c r="AN42" s="803">
        <v>2</v>
      </c>
      <c r="AO42" s="803">
        <v>2</v>
      </c>
      <c r="AP42" s="803">
        <v>2</v>
      </c>
      <c r="AQ42" s="803">
        <v>2</v>
      </c>
      <c r="AR42" s="811">
        <v>2</v>
      </c>
      <c r="AS42" s="331"/>
      <c r="AT42" s="330"/>
      <c r="AU42" s="301" t="s">
        <v>76</v>
      </c>
      <c r="AV42" s="810">
        <v>4</v>
      </c>
      <c r="AW42" s="803">
        <v>4</v>
      </c>
      <c r="AX42" s="803">
        <v>4</v>
      </c>
      <c r="AY42" s="803">
        <v>4</v>
      </c>
      <c r="AZ42" s="803">
        <v>4</v>
      </c>
      <c r="BA42" s="803">
        <v>4</v>
      </c>
      <c r="BB42" s="811">
        <v>4</v>
      </c>
      <c r="BC42" s="331"/>
    </row>
    <row r="43" spans="3:65" ht="31.5" thickBot="1" x14ac:dyDescent="0.4">
      <c r="P43" s="330"/>
      <c r="Q43" s="301" t="s">
        <v>77</v>
      </c>
      <c r="R43" s="812">
        <v>1</v>
      </c>
      <c r="S43" s="813">
        <v>1</v>
      </c>
      <c r="T43" s="813">
        <v>1</v>
      </c>
      <c r="U43" s="813">
        <v>1</v>
      </c>
      <c r="V43" s="813">
        <v>2</v>
      </c>
      <c r="W43" s="813">
        <v>1</v>
      </c>
      <c r="X43" s="814">
        <v>1</v>
      </c>
      <c r="Y43" s="331"/>
      <c r="Z43" s="330"/>
      <c r="AA43" s="301" t="s">
        <v>77</v>
      </c>
      <c r="AB43" s="812">
        <v>1</v>
      </c>
      <c r="AC43" s="813">
        <v>1</v>
      </c>
      <c r="AD43" s="813">
        <v>1</v>
      </c>
      <c r="AE43" s="813">
        <v>1</v>
      </c>
      <c r="AF43" s="813">
        <v>1</v>
      </c>
      <c r="AG43" s="813">
        <v>1</v>
      </c>
      <c r="AH43" s="813">
        <v>1</v>
      </c>
      <c r="AI43" s="331"/>
      <c r="AJ43" s="330"/>
      <c r="AK43" s="301" t="s">
        <v>77</v>
      </c>
      <c r="AL43" s="812">
        <v>1</v>
      </c>
      <c r="AM43" s="813">
        <v>1</v>
      </c>
      <c r="AN43" s="813">
        <v>1</v>
      </c>
      <c r="AO43" s="813">
        <v>1</v>
      </c>
      <c r="AP43" s="813">
        <v>1</v>
      </c>
      <c r="AQ43" s="813">
        <v>1</v>
      </c>
      <c r="AR43" s="814">
        <v>1</v>
      </c>
      <c r="AS43" s="331"/>
      <c r="AT43" s="330"/>
      <c r="AU43" s="301" t="s">
        <v>77</v>
      </c>
      <c r="AV43" s="812">
        <v>1</v>
      </c>
      <c r="AW43" s="813">
        <v>1</v>
      </c>
      <c r="AX43" s="813">
        <v>1</v>
      </c>
      <c r="AY43" s="813">
        <v>2</v>
      </c>
      <c r="AZ43" s="813">
        <v>2</v>
      </c>
      <c r="BA43" s="813">
        <v>1</v>
      </c>
      <c r="BB43" s="814">
        <v>1</v>
      </c>
      <c r="BC43" s="331"/>
    </row>
    <row r="44" spans="3:65" ht="16" thickBot="1" x14ac:dyDescent="0.4">
      <c r="P44" s="330"/>
      <c r="Q44" s="5"/>
      <c r="R44" s="299"/>
      <c r="S44" s="299"/>
      <c r="T44" s="299"/>
      <c r="U44" s="299"/>
      <c r="V44" s="299"/>
      <c r="W44" s="299"/>
      <c r="X44" s="299"/>
      <c r="Y44" s="331"/>
      <c r="Z44" s="330"/>
      <c r="AA44" s="5"/>
      <c r="AB44" s="299"/>
      <c r="AC44" s="299"/>
      <c r="AD44" s="299"/>
      <c r="AE44" s="299"/>
      <c r="AF44" s="299"/>
      <c r="AG44" s="299"/>
      <c r="AH44" s="299"/>
      <c r="AI44" s="331"/>
      <c r="AJ44" s="330"/>
      <c r="AK44" s="5"/>
      <c r="AL44" s="299"/>
      <c r="AM44" s="299"/>
      <c r="AN44" s="299"/>
      <c r="AO44" s="299"/>
      <c r="AP44" s="299"/>
      <c r="AQ44" s="299"/>
      <c r="AR44" s="299"/>
      <c r="AS44" s="331"/>
      <c r="AT44" s="330"/>
      <c r="AU44" s="5"/>
      <c r="AV44" s="299"/>
      <c r="AW44" s="299"/>
      <c r="AX44" s="299"/>
      <c r="AY44" s="299"/>
      <c r="AZ44" s="299"/>
      <c r="BA44" s="299"/>
      <c r="BB44" s="299"/>
      <c r="BC44" s="331"/>
    </row>
    <row r="45" spans="3:65" ht="31" x14ac:dyDescent="0.35">
      <c r="P45" s="330"/>
      <c r="Q45" s="301" t="s">
        <v>2095</v>
      </c>
      <c r="R45" s="815">
        <v>40</v>
      </c>
      <c r="S45" s="816">
        <v>35</v>
      </c>
      <c r="T45" s="816">
        <v>35</v>
      </c>
      <c r="U45" s="816">
        <v>30</v>
      </c>
      <c r="V45" s="816">
        <v>28</v>
      </c>
      <c r="W45" s="816">
        <v>40</v>
      </c>
      <c r="X45" s="817">
        <v>40</v>
      </c>
      <c r="Y45" s="331"/>
      <c r="Z45" s="330"/>
      <c r="AA45" s="301" t="s">
        <v>2095</v>
      </c>
      <c r="AB45" s="815">
        <v>15</v>
      </c>
      <c r="AC45" s="816">
        <v>20</v>
      </c>
      <c r="AD45" s="816">
        <v>25</v>
      </c>
      <c r="AE45" s="816">
        <v>30</v>
      </c>
      <c r="AF45" s="816">
        <v>35</v>
      </c>
      <c r="AG45" s="816">
        <v>40</v>
      </c>
      <c r="AH45" s="816">
        <v>45</v>
      </c>
      <c r="AI45" s="331"/>
      <c r="AJ45" s="330"/>
      <c r="AK45" s="301" t="s">
        <v>2095</v>
      </c>
      <c r="AL45" s="815">
        <v>100</v>
      </c>
      <c r="AM45" s="816">
        <v>125</v>
      </c>
      <c r="AN45" s="816">
        <v>150</v>
      </c>
      <c r="AO45" s="816">
        <v>175</v>
      </c>
      <c r="AP45" s="816">
        <v>200</v>
      </c>
      <c r="AQ45" s="816">
        <v>225</v>
      </c>
      <c r="AR45" s="817">
        <v>250</v>
      </c>
      <c r="AS45" s="331"/>
      <c r="AT45" s="330"/>
      <c r="AU45" s="9" t="s">
        <v>2095</v>
      </c>
      <c r="AV45" s="815">
        <v>300</v>
      </c>
      <c r="AW45" s="816">
        <v>300</v>
      </c>
      <c r="AX45" s="816">
        <v>300</v>
      </c>
      <c r="AY45" s="816">
        <v>300</v>
      </c>
      <c r="AZ45" s="816">
        <v>300</v>
      </c>
      <c r="BA45" s="816">
        <v>300</v>
      </c>
      <c r="BB45" s="817">
        <v>300</v>
      </c>
      <c r="BC45" s="331"/>
    </row>
    <row r="46" spans="3:65" ht="15.5" x14ac:dyDescent="0.35">
      <c r="P46" s="330"/>
      <c r="Q46" s="301" t="s">
        <v>2096</v>
      </c>
      <c r="R46" s="344"/>
      <c r="S46" s="290"/>
      <c r="T46" s="290"/>
      <c r="U46" s="290"/>
      <c r="V46" s="290"/>
      <c r="W46" s="290"/>
      <c r="X46" s="818"/>
      <c r="Y46" s="331"/>
      <c r="Z46" s="330"/>
      <c r="AA46" s="301" t="s">
        <v>2096</v>
      </c>
      <c r="AB46" s="344"/>
      <c r="AC46" s="290"/>
      <c r="AD46" s="290"/>
      <c r="AE46" s="290"/>
      <c r="AF46" s="290"/>
      <c r="AG46" s="290"/>
      <c r="AH46" s="818"/>
      <c r="AI46" s="331"/>
      <c r="AJ46" s="330"/>
      <c r="AK46" s="301" t="s">
        <v>2096</v>
      </c>
      <c r="AL46" s="344"/>
      <c r="AM46" s="290"/>
      <c r="AN46" s="290"/>
      <c r="AO46" s="290"/>
      <c r="AP46" s="290"/>
      <c r="AQ46" s="290"/>
      <c r="AR46" s="818"/>
      <c r="AS46" s="331"/>
      <c r="AT46" s="330"/>
      <c r="AU46" s="301" t="s">
        <v>2096</v>
      </c>
      <c r="AV46" s="344"/>
      <c r="AW46" s="290"/>
      <c r="AX46" s="290"/>
      <c r="AY46" s="290"/>
      <c r="AZ46" s="290"/>
      <c r="BA46" s="290"/>
      <c r="BB46" s="818"/>
      <c r="BC46" s="331"/>
    </row>
    <row r="47" spans="3:65" ht="16" thickBot="1" x14ac:dyDescent="0.4">
      <c r="P47" s="330"/>
      <c r="Q47" s="301" t="s">
        <v>2097</v>
      </c>
      <c r="R47" s="819">
        <v>1</v>
      </c>
      <c r="S47" s="820">
        <v>1</v>
      </c>
      <c r="T47" s="820">
        <v>1</v>
      </c>
      <c r="U47" s="820">
        <v>1</v>
      </c>
      <c r="V47" s="820">
        <v>1</v>
      </c>
      <c r="W47" s="820">
        <v>1</v>
      </c>
      <c r="X47" s="821">
        <v>1</v>
      </c>
      <c r="Y47" s="331"/>
      <c r="Z47" s="330"/>
      <c r="AA47" s="301" t="s">
        <v>2097</v>
      </c>
      <c r="AB47" s="819">
        <v>1</v>
      </c>
      <c r="AC47" s="820">
        <v>1</v>
      </c>
      <c r="AD47" s="820">
        <v>1</v>
      </c>
      <c r="AE47" s="820">
        <v>1</v>
      </c>
      <c r="AF47" s="820">
        <v>1</v>
      </c>
      <c r="AG47" s="820">
        <v>1</v>
      </c>
      <c r="AH47" s="821">
        <v>1</v>
      </c>
      <c r="AI47" s="331"/>
      <c r="AJ47" s="330"/>
      <c r="AK47" s="301" t="s">
        <v>2097</v>
      </c>
      <c r="AL47" s="819">
        <v>20</v>
      </c>
      <c r="AM47" s="820">
        <v>20</v>
      </c>
      <c r="AN47" s="820">
        <v>20</v>
      </c>
      <c r="AO47" s="820">
        <v>20</v>
      </c>
      <c r="AP47" s="820">
        <v>20</v>
      </c>
      <c r="AQ47" s="820">
        <v>20</v>
      </c>
      <c r="AR47" s="821">
        <v>20</v>
      </c>
      <c r="AS47" s="331"/>
      <c r="AT47" s="330"/>
      <c r="AU47" s="301" t="s">
        <v>2097</v>
      </c>
      <c r="AV47" s="819">
        <v>100</v>
      </c>
      <c r="AW47" s="820">
        <v>100</v>
      </c>
      <c r="AX47" s="820">
        <v>100</v>
      </c>
      <c r="AY47" s="820">
        <v>100</v>
      </c>
      <c r="AZ47" s="820">
        <v>100</v>
      </c>
      <c r="BA47" s="820">
        <v>100</v>
      </c>
      <c r="BB47" s="821">
        <v>100</v>
      </c>
      <c r="BC47" s="331"/>
    </row>
    <row r="48" spans="3:65" ht="16" thickBot="1" x14ac:dyDescent="0.4">
      <c r="P48" s="330"/>
      <c r="Q48" s="5"/>
      <c r="R48" s="299"/>
      <c r="S48" s="299"/>
      <c r="T48" s="299"/>
      <c r="U48" s="299"/>
      <c r="V48" s="299"/>
      <c r="W48" s="299"/>
      <c r="X48" s="299"/>
      <c r="Y48" s="331"/>
      <c r="Z48" s="330"/>
      <c r="AA48" s="5"/>
      <c r="AB48" s="299"/>
      <c r="AC48" s="299"/>
      <c r="AD48" s="299"/>
      <c r="AE48" s="299"/>
      <c r="AF48" s="299"/>
      <c r="AG48" s="299"/>
      <c r="AH48" s="299"/>
      <c r="AI48" s="331"/>
      <c r="AJ48" s="330"/>
      <c r="AK48" s="5"/>
      <c r="AL48" s="299"/>
      <c r="AM48" s="299"/>
      <c r="AN48" s="299"/>
      <c r="AO48" s="299"/>
      <c r="AP48" s="299"/>
      <c r="AQ48" s="299"/>
      <c r="AR48" s="299"/>
      <c r="AS48" s="331"/>
      <c r="AT48" s="330"/>
      <c r="AU48" s="5"/>
      <c r="AV48" s="299"/>
      <c r="AW48" s="299"/>
      <c r="AX48" s="299"/>
      <c r="AY48" s="299"/>
      <c r="AZ48" s="299"/>
      <c r="BA48" s="299"/>
      <c r="BB48" s="299"/>
      <c r="BC48" s="331"/>
    </row>
    <row r="49" spans="16:55" ht="31.5" thickBot="1" x14ac:dyDescent="0.3">
      <c r="P49" s="330"/>
      <c r="Q49" s="629" t="s">
        <v>88</v>
      </c>
      <c r="R49" s="822">
        <v>500000</v>
      </c>
      <c r="S49" s="823">
        <v>500000</v>
      </c>
      <c r="T49" s="823">
        <v>500000</v>
      </c>
      <c r="U49" s="823">
        <v>500000</v>
      </c>
      <c r="V49" s="823">
        <v>500000</v>
      </c>
      <c r="W49" s="823">
        <v>500000</v>
      </c>
      <c r="X49" s="824">
        <v>500000</v>
      </c>
      <c r="Y49" s="331"/>
      <c r="Z49" s="330"/>
      <c r="AA49" s="629" t="s">
        <v>88</v>
      </c>
      <c r="AB49" s="822">
        <v>500000</v>
      </c>
      <c r="AC49" s="823">
        <v>500000</v>
      </c>
      <c r="AD49" s="823">
        <v>500000</v>
      </c>
      <c r="AE49" s="823">
        <v>500000</v>
      </c>
      <c r="AF49" s="823">
        <v>500000</v>
      </c>
      <c r="AG49" s="823">
        <v>500000</v>
      </c>
      <c r="AH49" s="824">
        <v>500000</v>
      </c>
      <c r="AI49" s="331"/>
      <c r="AJ49" s="330"/>
      <c r="AK49" s="629" t="s">
        <v>88</v>
      </c>
      <c r="AL49" s="822">
        <v>500000</v>
      </c>
      <c r="AM49" s="823">
        <v>500000</v>
      </c>
      <c r="AN49" s="823">
        <v>500000</v>
      </c>
      <c r="AO49" s="823">
        <v>500000</v>
      </c>
      <c r="AP49" s="823">
        <v>500000</v>
      </c>
      <c r="AQ49" s="823">
        <v>500000</v>
      </c>
      <c r="AR49" s="824">
        <v>500000</v>
      </c>
      <c r="AS49" s="331"/>
      <c r="AT49" s="330"/>
      <c r="AU49" s="629" t="s">
        <v>88</v>
      </c>
      <c r="AV49" s="822">
        <v>500000</v>
      </c>
      <c r="AW49" s="823">
        <v>500000</v>
      </c>
      <c r="AX49" s="823">
        <v>500000</v>
      </c>
      <c r="AY49" s="823">
        <v>500000</v>
      </c>
      <c r="AZ49" s="823">
        <v>500000</v>
      </c>
      <c r="BA49" s="823">
        <v>500000</v>
      </c>
      <c r="BB49" s="824">
        <v>500000</v>
      </c>
      <c r="BC49" s="331"/>
    </row>
    <row r="50" spans="16:55" x14ac:dyDescent="0.25">
      <c r="P50" s="330"/>
      <c r="Q50" s="5"/>
      <c r="R50" s="5"/>
      <c r="S50" s="5"/>
      <c r="T50" s="5"/>
      <c r="U50" s="5"/>
      <c r="V50" s="5"/>
      <c r="W50" s="5"/>
      <c r="X50" s="5"/>
      <c r="Y50" s="331"/>
      <c r="Z50" s="330"/>
      <c r="AA50" s="5"/>
      <c r="AB50" s="5"/>
      <c r="AC50" s="5"/>
      <c r="AD50" s="5"/>
      <c r="AE50" s="5"/>
      <c r="AF50" s="5"/>
      <c r="AG50" s="5"/>
      <c r="AH50" s="5"/>
      <c r="AI50" s="331"/>
      <c r="AJ50" s="330"/>
      <c r="AK50" s="5"/>
      <c r="AL50" s="5"/>
      <c r="AM50" s="5"/>
      <c r="AN50" s="5"/>
      <c r="AO50" s="5"/>
      <c r="AP50" s="5"/>
      <c r="AQ50" s="5"/>
      <c r="AR50" s="5"/>
      <c r="AS50" s="331"/>
      <c r="AT50" s="330"/>
      <c r="AU50" s="5"/>
      <c r="AV50" s="5"/>
      <c r="AW50" s="5"/>
      <c r="AX50" s="5"/>
      <c r="AY50" s="5"/>
      <c r="AZ50" s="5"/>
      <c r="BA50" s="5"/>
      <c r="BB50" s="5"/>
      <c r="BC50" s="331"/>
    </row>
    <row r="51" spans="16:55" x14ac:dyDescent="0.25">
      <c r="P51" s="330"/>
      <c r="Q51" s="5"/>
      <c r="R51" s="5"/>
      <c r="S51" s="5"/>
      <c r="T51" s="5"/>
      <c r="U51" s="5"/>
      <c r="V51" s="5"/>
      <c r="W51" s="5"/>
      <c r="X51" s="5"/>
      <c r="Y51" s="331"/>
      <c r="Z51" s="330"/>
      <c r="AA51" s="5"/>
      <c r="AB51" s="5"/>
      <c r="AC51" s="5"/>
      <c r="AD51" s="5"/>
      <c r="AE51" s="5"/>
      <c r="AF51" s="5"/>
      <c r="AG51" s="5"/>
      <c r="AH51" s="5"/>
      <c r="AI51" s="331"/>
      <c r="AJ51" s="330"/>
      <c r="AK51" s="5"/>
      <c r="AL51" s="5"/>
      <c r="AM51" s="5"/>
      <c r="AN51" s="5"/>
      <c r="AO51" s="5"/>
      <c r="AP51" s="5"/>
      <c r="AQ51" s="5"/>
      <c r="AR51" s="5"/>
      <c r="AS51" s="331"/>
      <c r="AT51" s="330"/>
      <c r="AU51" s="5"/>
      <c r="AV51" s="5"/>
      <c r="AW51" s="5"/>
      <c r="AX51" s="5"/>
      <c r="AY51" s="5"/>
      <c r="AZ51" s="5"/>
      <c r="BA51" s="5"/>
      <c r="BB51" s="5"/>
      <c r="BC51" s="331"/>
    </row>
    <row r="52" spans="16:55" x14ac:dyDescent="0.25">
      <c r="P52" s="330"/>
      <c r="Q52" s="5"/>
      <c r="R52" s="5"/>
      <c r="S52" s="5"/>
      <c r="T52" s="5"/>
      <c r="U52" s="5"/>
      <c r="V52" s="5"/>
      <c r="W52" s="5"/>
      <c r="X52" s="5"/>
      <c r="Y52" s="331"/>
      <c r="Z52" s="330"/>
      <c r="AA52" s="5"/>
      <c r="AB52" s="5"/>
      <c r="AC52" s="5"/>
      <c r="AD52" s="5"/>
      <c r="AE52" s="5"/>
      <c r="AF52" s="5"/>
      <c r="AG52" s="5"/>
      <c r="AH52" s="5"/>
      <c r="AI52" s="331"/>
      <c r="AJ52" s="330"/>
      <c r="AK52" s="5"/>
      <c r="AL52" s="5"/>
      <c r="AM52" s="5"/>
      <c r="AN52" s="5"/>
      <c r="AO52" s="5"/>
      <c r="AP52" s="5"/>
      <c r="AQ52" s="5"/>
      <c r="AR52" s="5"/>
      <c r="AS52" s="331"/>
      <c r="AT52" s="330"/>
      <c r="AU52" s="5"/>
      <c r="AV52" s="5"/>
      <c r="AW52" s="5"/>
      <c r="AX52" s="5"/>
      <c r="AY52" s="5"/>
      <c r="AZ52" s="5"/>
      <c r="BA52" s="5"/>
      <c r="BB52" s="5"/>
      <c r="BC52" s="331"/>
    </row>
    <row r="53" spans="16:55" x14ac:dyDescent="0.25">
      <c r="P53" s="330"/>
      <c r="Q53" s="5"/>
      <c r="R53" s="5"/>
      <c r="S53" s="5"/>
      <c r="T53" s="5"/>
      <c r="U53" s="5"/>
      <c r="V53" s="5"/>
      <c r="W53" s="5"/>
      <c r="X53" s="5"/>
      <c r="Y53" s="331"/>
      <c r="Z53" s="330"/>
      <c r="AA53" s="5"/>
      <c r="AB53" s="5"/>
      <c r="AC53" s="5"/>
      <c r="AD53" s="5"/>
      <c r="AE53" s="5"/>
      <c r="AF53" s="5"/>
      <c r="AG53" s="5"/>
      <c r="AH53" s="5"/>
      <c r="AI53" s="331"/>
      <c r="AJ53" s="330"/>
      <c r="AK53" s="5"/>
      <c r="AL53" s="5"/>
      <c r="AM53" s="5"/>
      <c r="AN53" s="5"/>
      <c r="AO53" s="5"/>
      <c r="AP53" s="5"/>
      <c r="AQ53" s="5"/>
      <c r="AR53" s="5"/>
      <c r="AS53" s="331"/>
      <c r="AT53" s="330"/>
      <c r="AU53" s="5"/>
      <c r="AV53" s="5"/>
      <c r="AW53" s="5"/>
      <c r="AX53" s="5"/>
      <c r="AY53" s="5"/>
      <c r="AZ53" s="5"/>
      <c r="BA53" s="5"/>
      <c r="BB53" s="5"/>
      <c r="BC53" s="331"/>
    </row>
    <row r="54" spans="16:55" ht="13" thickBot="1" x14ac:dyDescent="0.3">
      <c r="P54" s="345"/>
      <c r="Q54" s="46"/>
      <c r="R54" s="46"/>
      <c r="S54" s="46"/>
      <c r="T54" s="46"/>
      <c r="U54" s="46"/>
      <c r="V54" s="46"/>
      <c r="W54" s="46"/>
      <c r="X54" s="46"/>
      <c r="Y54" s="346"/>
      <c r="Z54" s="345"/>
      <c r="AA54" s="46"/>
      <c r="AB54" s="46"/>
      <c r="AC54" s="46"/>
      <c r="AD54" s="46"/>
      <c r="AE54" s="46"/>
      <c r="AF54" s="46"/>
      <c r="AG54" s="46"/>
      <c r="AH54" s="46"/>
      <c r="AI54" s="346"/>
      <c r="AJ54" s="345"/>
      <c r="AK54" s="46"/>
      <c r="AL54" s="46"/>
      <c r="AM54" s="46"/>
      <c r="AN54" s="46"/>
      <c r="AO54" s="46"/>
      <c r="AP54" s="46"/>
      <c r="AQ54" s="46"/>
      <c r="AR54" s="46"/>
      <c r="AS54" s="346"/>
      <c r="AT54" s="345"/>
      <c r="AU54" s="46"/>
      <c r="AV54" s="46"/>
      <c r="AW54" s="46"/>
      <c r="AX54" s="46"/>
      <c r="AY54" s="46"/>
      <c r="AZ54" s="46"/>
      <c r="BA54" s="46"/>
      <c r="BB54" s="46"/>
      <c r="BC54" s="346"/>
    </row>
    <row r="55" spans="16:55" ht="18.5" thickBot="1" x14ac:dyDescent="0.45">
      <c r="P55" s="848"/>
      <c r="Q55" s="850" t="s">
        <v>2089</v>
      </c>
      <c r="R55" s="851">
        <f>Y$13-Y55+1</f>
        <v>3</v>
      </c>
      <c r="S55" s="850" t="s">
        <v>2090</v>
      </c>
      <c r="T55" s="849"/>
      <c r="U55" s="856" t="str">
        <f>"Default " &amp; R55</f>
        <v>Default 3</v>
      </c>
      <c r="V55" s="857"/>
      <c r="W55" s="857"/>
      <c r="X55" s="858"/>
      <c r="Y55" s="852">
        <f>Y75+1</f>
        <v>1</v>
      </c>
      <c r="Z55" s="848"/>
      <c r="AA55" s="850" t="s">
        <v>2089</v>
      </c>
      <c r="AB55" s="851">
        <f>AI$13-AI55+1</f>
        <v>3</v>
      </c>
      <c r="AC55" s="850" t="s">
        <v>2090</v>
      </c>
      <c r="AD55" s="849"/>
      <c r="AE55" s="856" t="str">
        <f>"Default " &amp; AB55</f>
        <v>Default 3</v>
      </c>
      <c r="AF55" s="857"/>
      <c r="AG55" s="857"/>
      <c r="AH55" s="858"/>
      <c r="AI55" s="852">
        <f>AI75+1</f>
        <v>1</v>
      </c>
    </row>
    <row r="56" spans="16:55" ht="16" thickBot="1" x14ac:dyDescent="0.4">
      <c r="P56" s="330"/>
      <c r="Q56" s="333" t="s">
        <v>681</v>
      </c>
      <c r="R56" s="861" t="s">
        <v>2098</v>
      </c>
      <c r="S56" s="854"/>
      <c r="T56" s="854"/>
      <c r="U56" s="854"/>
      <c r="V56" s="854"/>
      <c r="W56" s="854"/>
      <c r="X56" s="854"/>
      <c r="Y56" s="855"/>
      <c r="Z56" s="330"/>
      <c r="AA56" s="333" t="s">
        <v>681</v>
      </c>
      <c r="AB56" s="853"/>
      <c r="AC56" s="854"/>
      <c r="AD56" s="854"/>
      <c r="AE56" s="854"/>
      <c r="AF56" s="854"/>
      <c r="AG56" s="854"/>
      <c r="AH56" s="854"/>
      <c r="AI56" s="855"/>
    </row>
    <row r="57" spans="16:55" ht="13" thickBot="1" x14ac:dyDescent="0.3">
      <c r="P57" s="330"/>
      <c r="Q57" s="5"/>
      <c r="R57" s="5"/>
      <c r="S57" s="5"/>
      <c r="T57" s="5"/>
      <c r="U57" s="5"/>
      <c r="V57" s="5"/>
      <c r="W57" s="5"/>
      <c r="X57" s="5"/>
      <c r="Y57" s="331"/>
      <c r="Z57" s="330"/>
      <c r="AA57" s="5"/>
      <c r="AB57" s="5"/>
      <c r="AC57" s="5"/>
      <c r="AD57" s="5"/>
      <c r="AE57" s="5"/>
      <c r="AF57" s="5"/>
      <c r="AG57" s="5"/>
      <c r="AH57" s="5"/>
      <c r="AI57" s="331"/>
    </row>
    <row r="58" spans="16:55" ht="16" thickBot="1" x14ac:dyDescent="0.4">
      <c r="P58" s="330"/>
      <c r="Q58" s="333" t="s">
        <v>1939</v>
      </c>
      <c r="R58" s="826" t="s">
        <v>50</v>
      </c>
      <c r="S58" s="827" t="s">
        <v>51</v>
      </c>
      <c r="T58" s="827" t="s">
        <v>52</v>
      </c>
      <c r="U58" s="827" t="s">
        <v>53</v>
      </c>
      <c r="V58" s="827" t="s">
        <v>54</v>
      </c>
      <c r="W58" s="827" t="s">
        <v>55</v>
      </c>
      <c r="X58" s="828" t="s">
        <v>56</v>
      </c>
      <c r="Y58" s="331"/>
      <c r="Z58" s="330"/>
      <c r="AA58" s="333" t="s">
        <v>1939</v>
      </c>
      <c r="AB58" s="826" t="s">
        <v>50</v>
      </c>
      <c r="AC58" s="827" t="s">
        <v>51</v>
      </c>
      <c r="AD58" s="827" t="s">
        <v>52</v>
      </c>
      <c r="AE58" s="827" t="s">
        <v>53</v>
      </c>
      <c r="AF58" s="827" t="s">
        <v>54</v>
      </c>
      <c r="AG58" s="827" t="s">
        <v>55</v>
      </c>
      <c r="AH58" s="828" t="s">
        <v>56</v>
      </c>
      <c r="AI58" s="331"/>
    </row>
    <row r="59" spans="16:55" ht="31" x14ac:dyDescent="0.35">
      <c r="P59" s="330"/>
      <c r="Q59" s="301" t="s">
        <v>73</v>
      </c>
      <c r="R59" s="805">
        <v>12</v>
      </c>
      <c r="S59" s="806">
        <v>12</v>
      </c>
      <c r="T59" s="806">
        <v>12</v>
      </c>
      <c r="U59" s="806">
        <v>12</v>
      </c>
      <c r="V59" s="806">
        <v>12</v>
      </c>
      <c r="W59" s="806">
        <v>12</v>
      </c>
      <c r="X59" s="806">
        <v>12</v>
      </c>
      <c r="Y59" s="331"/>
      <c r="Z59" s="330"/>
      <c r="AA59" s="301" t="s">
        <v>73</v>
      </c>
      <c r="AB59" s="805">
        <v>40</v>
      </c>
      <c r="AC59" s="806">
        <v>40</v>
      </c>
      <c r="AD59" s="806">
        <v>40</v>
      </c>
      <c r="AE59" s="806">
        <v>40</v>
      </c>
      <c r="AF59" s="806">
        <v>40</v>
      </c>
      <c r="AG59" s="806">
        <v>40</v>
      </c>
      <c r="AH59" s="806">
        <v>40</v>
      </c>
      <c r="AI59" s="331"/>
    </row>
    <row r="60" spans="16:55" ht="31" x14ac:dyDescent="0.35">
      <c r="P60" s="330"/>
      <c r="Q60" s="301" t="s">
        <v>74</v>
      </c>
      <c r="R60" s="808">
        <v>1</v>
      </c>
      <c r="S60" s="691">
        <v>1</v>
      </c>
      <c r="T60" s="691">
        <v>1</v>
      </c>
      <c r="U60" s="691">
        <v>1</v>
      </c>
      <c r="V60" s="691">
        <v>1</v>
      </c>
      <c r="W60" s="691">
        <v>1</v>
      </c>
      <c r="X60" s="691">
        <v>1</v>
      </c>
      <c r="Y60" s="331"/>
      <c r="Z60" s="330"/>
      <c r="AA60" s="301" t="s">
        <v>74</v>
      </c>
      <c r="AB60" s="808">
        <v>1</v>
      </c>
      <c r="AC60" s="691">
        <v>1</v>
      </c>
      <c r="AD60" s="691">
        <v>1</v>
      </c>
      <c r="AE60" s="691">
        <v>1</v>
      </c>
      <c r="AF60" s="691">
        <v>1</v>
      </c>
      <c r="AG60" s="691">
        <v>1</v>
      </c>
      <c r="AH60" s="691">
        <v>1</v>
      </c>
      <c r="AI60" s="331"/>
    </row>
    <row r="61" spans="16:55" ht="31" x14ac:dyDescent="0.35">
      <c r="P61" s="330"/>
      <c r="Q61" s="301" t="s">
        <v>75</v>
      </c>
      <c r="R61" s="810">
        <v>1</v>
      </c>
      <c r="S61" s="803">
        <v>1</v>
      </c>
      <c r="T61" s="803">
        <v>1</v>
      </c>
      <c r="U61" s="803">
        <v>1</v>
      </c>
      <c r="V61" s="803">
        <v>1</v>
      </c>
      <c r="W61" s="803">
        <v>1</v>
      </c>
      <c r="X61" s="803">
        <v>1</v>
      </c>
      <c r="Y61" s="331"/>
      <c r="Z61" s="330"/>
      <c r="AA61" s="301" t="s">
        <v>75</v>
      </c>
      <c r="AB61" s="810">
        <v>1</v>
      </c>
      <c r="AC61" s="803">
        <v>1</v>
      </c>
      <c r="AD61" s="803">
        <v>1</v>
      </c>
      <c r="AE61" s="803">
        <v>1</v>
      </c>
      <c r="AF61" s="803">
        <v>1</v>
      </c>
      <c r="AG61" s="803">
        <v>1</v>
      </c>
      <c r="AH61" s="803">
        <v>1</v>
      </c>
      <c r="AI61" s="331"/>
    </row>
    <row r="62" spans="16:55" ht="31" x14ac:dyDescent="0.35">
      <c r="P62" s="330"/>
      <c r="Q62" s="301" t="s">
        <v>76</v>
      </c>
      <c r="R62" s="810">
        <v>1</v>
      </c>
      <c r="S62" s="803">
        <v>1</v>
      </c>
      <c r="T62" s="803">
        <v>1</v>
      </c>
      <c r="U62" s="803">
        <v>1</v>
      </c>
      <c r="V62" s="803">
        <v>1</v>
      </c>
      <c r="W62" s="803">
        <v>1</v>
      </c>
      <c r="X62" s="803">
        <v>1</v>
      </c>
      <c r="Y62" s="331"/>
      <c r="Z62" s="330"/>
      <c r="AA62" s="301" t="s">
        <v>76</v>
      </c>
      <c r="AB62" s="810">
        <v>1</v>
      </c>
      <c r="AC62" s="803">
        <v>1</v>
      </c>
      <c r="AD62" s="803">
        <v>1</v>
      </c>
      <c r="AE62" s="803">
        <v>1</v>
      </c>
      <c r="AF62" s="803">
        <v>1</v>
      </c>
      <c r="AG62" s="803">
        <v>1</v>
      </c>
      <c r="AH62" s="803">
        <v>1</v>
      </c>
      <c r="AI62" s="331"/>
    </row>
    <row r="63" spans="16:55" ht="31.5" thickBot="1" x14ac:dyDescent="0.4">
      <c r="P63" s="330"/>
      <c r="Q63" s="301" t="s">
        <v>77</v>
      </c>
      <c r="R63" s="812">
        <v>1</v>
      </c>
      <c r="S63" s="813">
        <v>1</v>
      </c>
      <c r="T63" s="813">
        <v>1</v>
      </c>
      <c r="U63" s="813">
        <v>1</v>
      </c>
      <c r="V63" s="813">
        <v>1</v>
      </c>
      <c r="W63" s="813">
        <v>1</v>
      </c>
      <c r="X63" s="813">
        <v>1</v>
      </c>
      <c r="Y63" s="331"/>
      <c r="Z63" s="330"/>
      <c r="AA63" s="301" t="s">
        <v>77</v>
      </c>
      <c r="AB63" s="812">
        <v>1</v>
      </c>
      <c r="AC63" s="813">
        <v>1</v>
      </c>
      <c r="AD63" s="813">
        <v>1</v>
      </c>
      <c r="AE63" s="813">
        <v>1</v>
      </c>
      <c r="AF63" s="813">
        <v>1</v>
      </c>
      <c r="AG63" s="813">
        <v>1</v>
      </c>
      <c r="AH63" s="813">
        <v>1</v>
      </c>
      <c r="AI63" s="331"/>
    </row>
    <row r="64" spans="16:55" ht="16" thickBot="1" x14ac:dyDescent="0.4">
      <c r="P64" s="330"/>
      <c r="Q64" s="5"/>
      <c r="R64" s="299"/>
      <c r="S64" s="299"/>
      <c r="T64" s="299"/>
      <c r="U64" s="299"/>
      <c r="V64" s="299"/>
      <c r="W64" s="299"/>
      <c r="X64" s="299"/>
      <c r="Y64" s="331"/>
      <c r="Z64" s="330"/>
      <c r="AA64" s="5"/>
      <c r="AB64" s="299"/>
      <c r="AC64" s="299"/>
      <c r="AD64" s="299"/>
      <c r="AE64" s="299"/>
      <c r="AF64" s="299"/>
      <c r="AG64" s="299"/>
      <c r="AH64" s="299"/>
      <c r="AI64" s="331"/>
    </row>
    <row r="65" spans="16:35" ht="15.5" x14ac:dyDescent="0.35">
      <c r="P65" s="330"/>
      <c r="Q65" s="301" t="s">
        <v>2095</v>
      </c>
      <c r="R65" s="815">
        <v>40</v>
      </c>
      <c r="S65" s="816">
        <v>35</v>
      </c>
      <c r="T65" s="816">
        <v>30</v>
      </c>
      <c r="U65" s="816">
        <v>25</v>
      </c>
      <c r="V65" s="816">
        <v>20</v>
      </c>
      <c r="W65" s="816">
        <v>15</v>
      </c>
      <c r="X65" s="817">
        <v>10</v>
      </c>
      <c r="Y65" s="331"/>
      <c r="Z65" s="330"/>
      <c r="AA65" s="301" t="s">
        <v>2095</v>
      </c>
      <c r="AB65" s="815">
        <v>50</v>
      </c>
      <c r="AC65" s="816">
        <v>75</v>
      </c>
      <c r="AD65" s="816">
        <v>100</v>
      </c>
      <c r="AE65" s="816">
        <v>125</v>
      </c>
      <c r="AF65" s="816">
        <v>150</v>
      </c>
      <c r="AG65" s="816">
        <v>175</v>
      </c>
      <c r="AH65" s="816">
        <v>200</v>
      </c>
      <c r="AI65" s="331"/>
    </row>
    <row r="66" spans="16:35" ht="15.5" x14ac:dyDescent="0.35">
      <c r="P66" s="330"/>
      <c r="Q66" s="301" t="s">
        <v>2096</v>
      </c>
      <c r="R66" s="344"/>
      <c r="S66" s="290"/>
      <c r="T66" s="290"/>
      <c r="U66" s="290"/>
      <c r="V66" s="290"/>
      <c r="W66" s="290"/>
      <c r="X66" s="818"/>
      <c r="Y66" s="331"/>
      <c r="Z66" s="330"/>
      <c r="AA66" s="301" t="s">
        <v>2096</v>
      </c>
      <c r="AB66" s="344"/>
      <c r="AC66" s="290"/>
      <c r="AD66" s="290"/>
      <c r="AE66" s="290"/>
      <c r="AF66" s="290"/>
      <c r="AG66" s="290"/>
      <c r="AH66" s="818"/>
      <c r="AI66" s="331"/>
    </row>
    <row r="67" spans="16:35" ht="16" thickBot="1" x14ac:dyDescent="0.4">
      <c r="P67" s="330"/>
      <c r="Q67" s="301" t="s">
        <v>2097</v>
      </c>
      <c r="R67" s="819">
        <v>1</v>
      </c>
      <c r="S67" s="820">
        <v>1</v>
      </c>
      <c r="T67" s="820">
        <v>1</v>
      </c>
      <c r="U67" s="820">
        <v>1</v>
      </c>
      <c r="V67" s="820">
        <v>1</v>
      </c>
      <c r="W67" s="820">
        <v>1</v>
      </c>
      <c r="X67" s="821">
        <v>1</v>
      </c>
      <c r="Y67" s="331"/>
      <c r="Z67" s="330"/>
      <c r="AA67" s="301" t="s">
        <v>2097</v>
      </c>
      <c r="AB67" s="819">
        <v>5</v>
      </c>
      <c r="AC67" s="820">
        <v>5</v>
      </c>
      <c r="AD67" s="820">
        <v>5</v>
      </c>
      <c r="AE67" s="820">
        <v>5</v>
      </c>
      <c r="AF67" s="820">
        <v>5</v>
      </c>
      <c r="AG67" s="820">
        <v>5</v>
      </c>
      <c r="AH67" s="821">
        <v>5</v>
      </c>
      <c r="AI67" s="331"/>
    </row>
    <row r="68" spans="16:35" ht="16" thickBot="1" x14ac:dyDescent="0.4">
      <c r="P68" s="330"/>
      <c r="Q68" s="5"/>
      <c r="R68" s="299"/>
      <c r="S68" s="299"/>
      <c r="T68" s="299"/>
      <c r="U68" s="299"/>
      <c r="V68" s="299"/>
      <c r="W68" s="299"/>
      <c r="X68" s="299"/>
      <c r="Y68" s="331"/>
      <c r="Z68" s="330"/>
      <c r="AA68" s="5"/>
      <c r="AB68" s="299"/>
      <c r="AC68" s="299"/>
      <c r="AD68" s="299"/>
      <c r="AE68" s="299"/>
      <c r="AF68" s="299"/>
      <c r="AG68" s="299"/>
      <c r="AH68" s="299"/>
      <c r="AI68" s="331"/>
    </row>
    <row r="69" spans="16:35" ht="31.5" thickBot="1" x14ac:dyDescent="0.3">
      <c r="P69" s="330"/>
      <c r="Q69" s="629" t="s">
        <v>88</v>
      </c>
      <c r="R69" s="822">
        <v>500000</v>
      </c>
      <c r="S69" s="823">
        <v>500000</v>
      </c>
      <c r="T69" s="823">
        <v>500000</v>
      </c>
      <c r="U69" s="823">
        <v>500000</v>
      </c>
      <c r="V69" s="823">
        <v>500000</v>
      </c>
      <c r="W69" s="823">
        <v>500000</v>
      </c>
      <c r="X69" s="824">
        <v>500000</v>
      </c>
      <c r="Y69" s="331"/>
      <c r="Z69" s="330"/>
      <c r="AA69" s="629" t="s">
        <v>88</v>
      </c>
      <c r="AB69" s="822">
        <v>500000</v>
      </c>
      <c r="AC69" s="823">
        <v>500000</v>
      </c>
      <c r="AD69" s="823">
        <v>500000</v>
      </c>
      <c r="AE69" s="823">
        <v>500000</v>
      </c>
      <c r="AF69" s="823">
        <v>500000</v>
      </c>
      <c r="AG69" s="823">
        <v>500000</v>
      </c>
      <c r="AH69" s="824">
        <v>500000</v>
      </c>
      <c r="AI69" s="331"/>
    </row>
    <row r="70" spans="16:35" x14ac:dyDescent="0.25">
      <c r="P70" s="330"/>
      <c r="Q70" s="5"/>
      <c r="R70" s="5"/>
      <c r="S70" s="5"/>
      <c r="T70" s="5"/>
      <c r="U70" s="5"/>
      <c r="V70" s="5"/>
      <c r="W70" s="5"/>
      <c r="X70" s="5"/>
      <c r="Y70" s="331"/>
      <c r="Z70" s="330"/>
      <c r="AA70" s="5"/>
      <c r="AB70" s="5"/>
      <c r="AC70" s="5"/>
      <c r="AD70" s="5"/>
      <c r="AE70" s="5"/>
      <c r="AF70" s="5"/>
      <c r="AG70" s="5"/>
      <c r="AH70" s="5"/>
      <c r="AI70" s="331"/>
    </row>
    <row r="71" spans="16:35" x14ac:dyDescent="0.25">
      <c r="P71" s="330"/>
      <c r="Q71" s="5"/>
      <c r="R71" s="5"/>
      <c r="S71" s="5"/>
      <c r="T71" s="5"/>
      <c r="U71" s="5"/>
      <c r="V71" s="5"/>
      <c r="W71" s="5"/>
      <c r="X71" s="5"/>
      <c r="Y71" s="331"/>
      <c r="Z71" s="330"/>
      <c r="AA71" s="5"/>
      <c r="AB71" s="5"/>
      <c r="AC71" s="5"/>
      <c r="AD71" s="5"/>
      <c r="AE71" s="5"/>
      <c r="AF71" s="5"/>
      <c r="AG71" s="5"/>
      <c r="AH71" s="5"/>
      <c r="AI71" s="331"/>
    </row>
    <row r="72" spans="16:35" x14ac:dyDescent="0.25">
      <c r="P72" s="330"/>
      <c r="Q72" s="5"/>
      <c r="R72" s="5"/>
      <c r="S72" s="5"/>
      <c r="T72" s="5"/>
      <c r="U72" s="5"/>
      <c r="V72" s="5"/>
      <c r="W72" s="5"/>
      <c r="X72" s="5"/>
      <c r="Y72" s="331"/>
      <c r="Z72" s="330"/>
      <c r="AA72" s="5"/>
      <c r="AB72" s="5"/>
      <c r="AC72" s="5"/>
      <c r="AD72" s="5"/>
      <c r="AE72" s="5"/>
      <c r="AF72" s="5"/>
      <c r="AG72" s="5"/>
      <c r="AH72" s="5"/>
      <c r="AI72" s="331"/>
    </row>
    <row r="73" spans="16:35" x14ac:dyDescent="0.25">
      <c r="P73" s="330"/>
      <c r="Q73" s="5"/>
      <c r="R73" s="5"/>
      <c r="S73" s="5"/>
      <c r="T73" s="5"/>
      <c r="U73" s="5"/>
      <c r="V73" s="5"/>
      <c r="W73" s="5"/>
      <c r="X73" s="5"/>
      <c r="Y73" s="331"/>
      <c r="Z73" s="330"/>
      <c r="AA73" s="5"/>
      <c r="AB73" s="5"/>
      <c r="AC73" s="5"/>
      <c r="AD73" s="5"/>
      <c r="AE73" s="5"/>
      <c r="AF73" s="5"/>
      <c r="AG73" s="5"/>
      <c r="AH73" s="5"/>
      <c r="AI73" s="331"/>
    </row>
    <row r="74" spans="16:35" ht="13" thickBot="1" x14ac:dyDescent="0.3">
      <c r="P74" s="345"/>
      <c r="Q74" s="46"/>
      <c r="R74" s="46"/>
      <c r="S74" s="46"/>
      <c r="T74" s="46"/>
      <c r="U74" s="46"/>
      <c r="V74" s="46"/>
      <c r="W74" s="46"/>
      <c r="X74" s="46"/>
      <c r="Y74" s="346"/>
      <c r="Z74" s="345"/>
      <c r="AA74" s="46"/>
      <c r="AB74" s="46"/>
      <c r="AC74" s="46"/>
      <c r="AD74" s="46"/>
      <c r="AE74" s="46"/>
      <c r="AF74" s="46"/>
      <c r="AG74" s="46"/>
      <c r="AH74" s="46"/>
      <c r="AI74" s="346"/>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B172"/>
  <sheetViews>
    <sheetView workbookViewId="0"/>
  </sheetViews>
  <sheetFormatPr defaultColWidth="8.54296875" defaultRowHeight="15.5" x14ac:dyDescent="0.35"/>
  <cols>
    <col min="1" max="1" width="14" customWidth="1"/>
    <col min="2" max="2" width="100.26953125" customWidth="1"/>
    <col min="3" max="3" width="16.54296875" style="7" customWidth="1"/>
    <col min="4" max="9" width="16.54296875" customWidth="1"/>
    <col min="11" max="11" width="16.54296875" customWidth="1"/>
    <col min="12" max="12" width="19.54296875" customWidth="1"/>
    <col min="13" max="13" width="22.453125" customWidth="1"/>
    <col min="14" max="14" width="25.453125" customWidth="1"/>
    <col min="15" max="15" width="30.453125" bestFit="1" customWidth="1"/>
    <col min="16" max="16" width="13" customWidth="1"/>
    <col min="17" max="17" width="13.453125" customWidth="1"/>
    <col min="18" max="18" width="13.54296875" customWidth="1"/>
    <col min="19" max="19" width="12.453125" customWidth="1"/>
    <col min="20" max="20" width="11.54296875" customWidth="1"/>
    <col min="41" max="41" width="8.26953125" customWidth="1"/>
    <col min="42" max="42" width="16.1796875" customWidth="1"/>
    <col min="43" max="43" width="27.26953125" customWidth="1"/>
    <col min="46" max="46" width="14.54296875" bestFit="1" customWidth="1"/>
    <col min="47" max="47" width="15.54296875" bestFit="1" customWidth="1"/>
    <col min="48" max="48" width="10.54296875" bestFit="1" customWidth="1"/>
    <col min="49" max="49" width="14.54296875" bestFit="1" customWidth="1"/>
    <col min="50" max="50" width="15.54296875" bestFit="1" customWidth="1"/>
    <col min="51" max="51" width="15.453125" bestFit="1" customWidth="1"/>
  </cols>
  <sheetData>
    <row r="1" spans="1:54" x14ac:dyDescent="0.35">
      <c r="A1" s="7"/>
      <c r="F1" s="1534" t="s">
        <v>2099</v>
      </c>
      <c r="G1" s="1534"/>
      <c r="H1" s="1534"/>
      <c r="I1" s="1534"/>
      <c r="J1" s="1534"/>
      <c r="K1" s="1534"/>
      <c r="L1" s="1534"/>
      <c r="M1" s="1534"/>
      <c r="N1" s="1534"/>
      <c r="O1" s="1534"/>
    </row>
    <row r="2" spans="1:54" x14ac:dyDescent="0.35">
      <c r="F2" s="1534"/>
      <c r="G2" s="1534"/>
      <c r="H2" s="1534"/>
      <c r="I2" s="1534"/>
      <c r="J2" s="1534"/>
      <c r="K2" s="1534"/>
      <c r="L2" s="1534"/>
      <c r="M2" s="1534"/>
      <c r="N2" s="1534"/>
      <c r="O2" s="1534"/>
    </row>
    <row r="3" spans="1:54" ht="16" thickBot="1" x14ac:dyDescent="0.4">
      <c r="F3" s="1534"/>
      <c r="G3" s="1534"/>
      <c r="H3" s="1534"/>
      <c r="I3" s="1534"/>
      <c r="J3" s="1534"/>
      <c r="K3" s="1534"/>
      <c r="L3" s="1534"/>
      <c r="M3" s="1534"/>
      <c r="N3" s="1534"/>
      <c r="O3" s="1534"/>
    </row>
    <row r="4" spans="1:54" ht="28" thickBot="1" x14ac:dyDescent="0.55000000000000004">
      <c r="A4" s="242" t="s">
        <v>2100</v>
      </c>
      <c r="B4" s="646">
        <f t="array" ref="B4">MAX(IF(ISNUMBER(Chem!1:1),Chem!1:1, 0))</f>
        <v>17</v>
      </c>
      <c r="C4" s="507"/>
      <c r="AE4">
        <v>10</v>
      </c>
    </row>
    <row r="5" spans="1:54" x14ac:dyDescent="0.35">
      <c r="A5" s="645" t="s">
        <v>2101</v>
      </c>
      <c r="B5" s="647"/>
      <c r="C5" s="507" t="s">
        <v>2102</v>
      </c>
      <c r="N5" s="353"/>
      <c r="BA5" s="7" t="s">
        <v>43</v>
      </c>
      <c r="BB5" s="353" t="s">
        <v>2103</v>
      </c>
    </row>
    <row r="6" spans="1:54" x14ac:dyDescent="0.35">
      <c r="A6" s="243">
        <v>1</v>
      </c>
      <c r="B6" s="243" t="str">
        <f>IFERROR(INDEX(Chem!$1:$1, MATCH(A6, Chem!$1:$1, 0) - 2), "")</f>
        <v>NMC333-G (Power)</v>
      </c>
      <c r="C6" s="507">
        <f>IF(B6="", "", MATCH(B6, Chem!$1:$1, 0))</f>
        <v>13</v>
      </c>
      <c r="N6" s="353"/>
      <c r="BA6" s="7" t="s">
        <v>2104</v>
      </c>
      <c r="BB6" s="7" t="s">
        <v>2104</v>
      </c>
    </row>
    <row r="7" spans="1:54" x14ac:dyDescent="0.35">
      <c r="A7" s="243">
        <f t="shared" ref="A7:A38" si="0">IF(OR(A6 = "", $B$4 = A6), "", A6 + 1)</f>
        <v>2</v>
      </c>
      <c r="B7" s="243" t="str">
        <f>IFERROR(INDEX(Chem!$1:$1, MATCH(A7, Chem!$1:$1, 0) - 2), "")</f>
        <v>NMC333-G (Energy)</v>
      </c>
      <c r="C7" s="507">
        <f>IF(B7="", "", MATCH(B7, Chem!$1:$1, 0))</f>
        <v>18</v>
      </c>
      <c r="N7" s="353"/>
      <c r="BA7" s="7" t="s">
        <v>2105</v>
      </c>
      <c r="BB7" s="7" t="s">
        <v>2106</v>
      </c>
    </row>
    <row r="8" spans="1:54" x14ac:dyDescent="0.35">
      <c r="A8" s="243">
        <f t="shared" si="0"/>
        <v>3</v>
      </c>
      <c r="B8" s="243" t="str">
        <f>IFERROR(INDEX(Chem!$1:$1, MATCH(A8, Chem!$1:$1, 0) - 2), "")</f>
        <v>NMC532-G (Power)</v>
      </c>
      <c r="C8" s="507">
        <f>IF(B8="", "", MATCH(B8, Chem!$1:$1, 0))</f>
        <v>23</v>
      </c>
      <c r="N8" s="353"/>
      <c r="BA8" s="7" t="s">
        <v>2056</v>
      </c>
      <c r="BB8" s="7" t="s">
        <v>2107</v>
      </c>
    </row>
    <row r="9" spans="1:54" x14ac:dyDescent="0.35">
      <c r="A9" s="243">
        <f t="shared" si="0"/>
        <v>4</v>
      </c>
      <c r="B9" s="243" t="str">
        <f>IFERROR(INDEX(Chem!$1:$1, MATCH(A9, Chem!$1:$1, 0) - 2), "")</f>
        <v>NMC532-G (Energy)</v>
      </c>
      <c r="C9" s="507">
        <f>IF(B9="", "", MATCH(B9, Chem!$1:$1, 0))</f>
        <v>28</v>
      </c>
      <c r="BA9" s="7" t="s">
        <v>2057</v>
      </c>
      <c r="BB9" s="7" t="s">
        <v>2108</v>
      </c>
    </row>
    <row r="10" spans="1:54" x14ac:dyDescent="0.35">
      <c r="A10" s="243">
        <f t="shared" si="0"/>
        <v>5</v>
      </c>
      <c r="B10" s="243" t="str">
        <f>IFERROR(INDEX(Chem!$1:$1, MATCH(A10, Chem!$1:$1, 0) - 2), "")</f>
        <v>NMC622-G (Power)</v>
      </c>
      <c r="C10" s="507">
        <f>IF(B10="", "", MATCH(B10, Chem!$1:$1, 0))</f>
        <v>33</v>
      </c>
      <c r="BA10" s="7" t="s">
        <v>44</v>
      </c>
    </row>
    <row r="11" spans="1:54" x14ac:dyDescent="0.35">
      <c r="A11" s="243">
        <f t="shared" si="0"/>
        <v>6</v>
      </c>
      <c r="B11" s="243" t="str">
        <f>IFERROR(INDEX(Chem!$1:$1, MATCH(A11, Chem!$1:$1, 0) - 2), "")</f>
        <v>NMC622-G (Energy)</v>
      </c>
      <c r="C11" s="507">
        <f>IF(B11="", "", MATCH(B11, Chem!$1:$1, 0))</f>
        <v>38</v>
      </c>
      <c r="BA11" s="7"/>
    </row>
    <row r="12" spans="1:54" x14ac:dyDescent="0.35">
      <c r="A12" s="243">
        <f t="shared" si="0"/>
        <v>7</v>
      </c>
      <c r="B12" s="243" t="str">
        <f>IFERROR(INDEX(Chem!$1:$1, MATCH(A12, Chem!$1:$1, 0) - 2), "")</f>
        <v>NMC811-G (Power)</v>
      </c>
      <c r="C12" s="507">
        <f>IF(B12="", "", MATCH(B12, Chem!$1:$1, 0))</f>
        <v>43</v>
      </c>
      <c r="BA12" s="7"/>
    </row>
    <row r="13" spans="1:54" x14ac:dyDescent="0.35">
      <c r="A13" s="243">
        <f t="shared" si="0"/>
        <v>8</v>
      </c>
      <c r="B13" s="243" t="str">
        <f>IFERROR(INDEX(Chem!$1:$1, MATCH(A13, Chem!$1:$1, 0) - 2), "")</f>
        <v>NMC811-G (Energy)</v>
      </c>
      <c r="C13" s="507">
        <f>IF(B13="", "", MATCH(B13, Chem!$1:$1, 0))</f>
        <v>48</v>
      </c>
      <c r="BA13" s="353" t="s">
        <v>2109</v>
      </c>
    </row>
    <row r="14" spans="1:54" x14ac:dyDescent="0.35">
      <c r="A14" s="244">
        <f t="shared" si="0"/>
        <v>9</v>
      </c>
      <c r="B14" s="243" t="str">
        <f>IFERROR(INDEX(Chem!$1:$1, MATCH(A14, Chem!$1:$1, 0) - 2), "")</f>
        <v>NCA-G (Power)</v>
      </c>
      <c r="C14" s="507">
        <f>IF(B14="", "", MATCH(B14, Chem!$1:$1, 0))</f>
        <v>53</v>
      </c>
      <c r="BA14" s="7" t="s">
        <v>2104</v>
      </c>
      <c r="BB14" s="7" t="s">
        <v>2110</v>
      </c>
    </row>
    <row r="15" spans="1:54" ht="16" thickBot="1" x14ac:dyDescent="0.4">
      <c r="A15" s="244">
        <f t="shared" si="0"/>
        <v>10</v>
      </c>
      <c r="B15" s="243" t="str">
        <f>IFERROR(INDEX(Chem!$1:$1, MATCH(A15, Chem!$1:$1, 0) - 2), "")</f>
        <v>NCA-G (Energy)</v>
      </c>
      <c r="C15" s="507">
        <f>IF(B15="", "", MATCH(B15, Chem!$1:$1, 0))</f>
        <v>58</v>
      </c>
      <c r="BA15" s="7" t="s">
        <v>59</v>
      </c>
      <c r="BB15" s="7" t="s">
        <v>2111</v>
      </c>
    </row>
    <row r="16" spans="1:54" ht="16" thickBot="1" x14ac:dyDescent="0.4">
      <c r="A16" s="244">
        <f t="shared" si="0"/>
        <v>11</v>
      </c>
      <c r="B16" s="243" t="str">
        <f>IFERROR(INDEX(Chem!$1:$1, MATCH(A16, Chem!$1:$1, 0) - 2), "")</f>
        <v>LFP-G (Power)</v>
      </c>
      <c r="C16" s="507">
        <f>IF(B16="", "", MATCH(B16, Chem!$1:$1, 0))</f>
        <v>63</v>
      </c>
      <c r="F16" s="1427" t="s">
        <v>2112</v>
      </c>
      <c r="G16" s="1428"/>
      <c r="H16" s="1428"/>
      <c r="I16" s="1429"/>
      <c r="K16" s="1538" t="s">
        <v>2113</v>
      </c>
      <c r="L16" s="1539"/>
      <c r="M16" s="1539"/>
      <c r="N16" s="1539"/>
      <c r="O16" s="287"/>
      <c r="P16" s="271"/>
      <c r="Q16" s="272"/>
      <c r="R16" s="273"/>
      <c r="S16" s="273"/>
      <c r="T16" s="273"/>
      <c r="U16" s="273"/>
      <c r="V16" s="273"/>
      <c r="W16" s="273"/>
      <c r="X16" s="273"/>
      <c r="Y16" s="273"/>
      <c r="Z16" s="274"/>
      <c r="AA16" s="273"/>
      <c r="AB16" s="274"/>
      <c r="AC16" s="274"/>
      <c r="AD16" s="274"/>
      <c r="AE16" s="274"/>
      <c r="AF16" s="274"/>
      <c r="AG16" s="274"/>
      <c r="AH16" s="274"/>
      <c r="AI16" s="275"/>
      <c r="BA16" s="7" t="s">
        <v>47</v>
      </c>
      <c r="BB16" s="7"/>
    </row>
    <row r="17" spans="1:54" ht="16" thickBot="1" x14ac:dyDescent="0.4">
      <c r="A17" s="244">
        <f t="shared" si="0"/>
        <v>12</v>
      </c>
      <c r="B17" s="243" t="str">
        <f>IFERROR(INDEX(Chem!$1:$1, MATCH(A17, Chem!$1:$1, 0) - 2), "")</f>
        <v>LFP-G (Energy)</v>
      </c>
      <c r="C17" s="507">
        <f>IF(B17="", "", MATCH(B17, Chem!$1:$1, 0))</f>
        <v>68</v>
      </c>
      <c r="F17" s="259" t="s">
        <v>268</v>
      </c>
      <c r="G17" s="260" t="s">
        <v>2114</v>
      </c>
      <c r="H17" s="260" t="s">
        <v>269</v>
      </c>
      <c r="I17" s="261" t="s">
        <v>2115</v>
      </c>
      <c r="K17" s="1546" t="s">
        <v>743</v>
      </c>
      <c r="L17" s="1544" t="s">
        <v>2116</v>
      </c>
      <c r="M17" s="1540" t="s">
        <v>2117</v>
      </c>
      <c r="N17" s="1542" t="s">
        <v>2118</v>
      </c>
      <c r="O17" s="288" t="s">
        <v>2119</v>
      </c>
      <c r="P17" s="284" t="s">
        <v>2120</v>
      </c>
      <c r="Q17" s="262" t="s">
        <v>2121</v>
      </c>
      <c r="R17" s="263" t="s">
        <v>1656</v>
      </c>
      <c r="S17" s="263" t="s">
        <v>1658</v>
      </c>
      <c r="T17" s="263" t="s">
        <v>1657</v>
      </c>
      <c r="U17" s="263" t="s">
        <v>1037</v>
      </c>
      <c r="V17" s="263" t="s">
        <v>2122</v>
      </c>
      <c r="W17" s="263" t="s">
        <v>1659</v>
      </c>
      <c r="X17" s="263" t="s">
        <v>2123</v>
      </c>
      <c r="Y17" s="263" t="s">
        <v>2124</v>
      </c>
      <c r="Z17" s="263" t="s">
        <v>2111</v>
      </c>
      <c r="AA17" s="263" t="s">
        <v>277</v>
      </c>
      <c r="AB17" s="248"/>
      <c r="AC17" s="248"/>
      <c r="AD17" s="248"/>
      <c r="AE17" s="248"/>
      <c r="AF17" s="248"/>
      <c r="AG17" s="248"/>
      <c r="AH17" s="248"/>
      <c r="AI17" s="249"/>
      <c r="BA17" s="7"/>
      <c r="BB17" s="7"/>
    </row>
    <row r="18" spans="1:54" ht="16" thickBot="1" x14ac:dyDescent="0.4">
      <c r="A18" s="244">
        <f t="shared" si="0"/>
        <v>13</v>
      </c>
      <c r="B18" s="243" t="str">
        <f>IFERROR(INDEX(Chem!$1:$1, MATCH(A18, Chem!$1:$1, 0) - 2), "")</f>
        <v>LMO-G (Power)</v>
      </c>
      <c r="C18" s="507">
        <f>IF(B18="", "", MATCH(B18, Chem!$1:$1, 0))</f>
        <v>73</v>
      </c>
      <c r="F18" s="247" t="s">
        <v>2125</v>
      </c>
      <c r="G18" s="247" t="s">
        <v>2126</v>
      </c>
      <c r="H18" s="247">
        <f>1.380649*10^-23</f>
        <v>1.3806490000000001E-23</v>
      </c>
      <c r="I18" s="247" t="s">
        <v>2127</v>
      </c>
      <c r="K18" s="1547"/>
      <c r="L18" s="1545"/>
      <c r="M18" s="1541"/>
      <c r="N18" s="1543"/>
      <c r="O18" s="289"/>
      <c r="P18" s="285" t="s">
        <v>2128</v>
      </c>
      <c r="Q18" s="279">
        <v>6.94</v>
      </c>
      <c r="R18" s="280">
        <v>58.71</v>
      </c>
      <c r="S18" s="280">
        <v>54.94</v>
      </c>
      <c r="T18" s="280">
        <v>58.93</v>
      </c>
      <c r="U18" s="280">
        <v>26.98</v>
      </c>
      <c r="V18" s="280">
        <v>55.85</v>
      </c>
      <c r="W18" s="280">
        <v>30.97</v>
      </c>
      <c r="X18" s="280">
        <v>47.9</v>
      </c>
      <c r="Y18" s="280">
        <v>16</v>
      </c>
      <c r="Z18" s="281"/>
      <c r="AA18" s="280">
        <v>12</v>
      </c>
      <c r="AB18" s="282"/>
      <c r="AC18" s="282"/>
      <c r="AD18" s="282"/>
      <c r="AE18" s="282"/>
      <c r="AF18" s="282"/>
      <c r="AG18" s="282"/>
      <c r="AH18" s="282"/>
      <c r="AI18" s="283"/>
      <c r="BA18" s="7"/>
    </row>
    <row r="19" spans="1:54" x14ac:dyDescent="0.35">
      <c r="A19" s="244">
        <f t="shared" si="0"/>
        <v>14</v>
      </c>
      <c r="B19" s="243" t="str">
        <f>IFERROR(INDEX(Chem!$1:$1, MATCH(A19, Chem!$1:$1, 0) - 2), "")</f>
        <v>LMO-G (Energy)</v>
      </c>
      <c r="C19" s="507">
        <f>IF(B19="", "", MATCH(B19, Chem!$1:$1, 0))</f>
        <v>78</v>
      </c>
      <c r="F19" s="247" t="s">
        <v>2129</v>
      </c>
      <c r="G19" s="247" t="s">
        <v>2130</v>
      </c>
      <c r="H19" s="245">
        <f>6.02214*10^23</f>
        <v>6.0221399999999997E+23</v>
      </c>
      <c r="I19" s="247" t="s">
        <v>2131</v>
      </c>
      <c r="K19" s="256" t="s">
        <v>697</v>
      </c>
      <c r="L19" s="257">
        <f t="array" ref="L19">SUM($Q$18:$AT$18*Q19:AT19)</f>
        <v>96.409140000000008</v>
      </c>
      <c r="M19" s="267">
        <v>155</v>
      </c>
      <c r="N19" s="268">
        <f>Q19/3600*1000*96485/L19</f>
        <v>277.99634857119241</v>
      </c>
      <c r="O19" s="268" t="s">
        <v>2132</v>
      </c>
      <c r="P19" s="258"/>
      <c r="Q19" s="276">
        <v>1</v>
      </c>
      <c r="R19" s="276">
        <f>0.333*(2-Q19)</f>
        <v>0.33300000000000002</v>
      </c>
      <c r="S19" s="276">
        <f>0.333*(2-Q19)</f>
        <v>0.33300000000000002</v>
      </c>
      <c r="T19" s="276">
        <f>0.333*(2-Q19)</f>
        <v>0.33300000000000002</v>
      </c>
      <c r="U19" s="276"/>
      <c r="V19" s="276"/>
      <c r="W19" s="276"/>
      <c r="X19" s="276"/>
      <c r="Y19" s="276">
        <v>2</v>
      </c>
      <c r="Z19" s="277"/>
      <c r="AA19" s="277"/>
      <c r="AB19" s="277"/>
      <c r="AC19" s="277"/>
      <c r="AD19" s="277"/>
      <c r="AE19" s="277"/>
      <c r="AF19" s="277"/>
      <c r="AG19" s="277"/>
      <c r="AH19" s="277"/>
      <c r="AI19" s="278"/>
      <c r="BA19" s="7"/>
    </row>
    <row r="20" spans="1:54" x14ac:dyDescent="0.35">
      <c r="A20" s="244">
        <f t="shared" si="0"/>
        <v>15</v>
      </c>
      <c r="B20" s="243" t="str">
        <f>IFERROR(INDEX(Chem!$1:$1, MATCH(A20, Chem!$1:$1, 0) - 2), "")</f>
        <v>LMO-LTO (Power)</v>
      </c>
      <c r="C20" s="507">
        <f>IF(B20="", "", MATCH(B20, Chem!$1:$1, 0))</f>
        <v>83</v>
      </c>
      <c r="F20" s="247" t="s">
        <v>2133</v>
      </c>
      <c r="G20" s="247" t="s">
        <v>2134</v>
      </c>
      <c r="H20" s="245">
        <v>8.3140000000000001</v>
      </c>
      <c r="I20" s="247" t="s">
        <v>2135</v>
      </c>
      <c r="K20" s="252" t="s">
        <v>699</v>
      </c>
      <c r="L20" s="257">
        <f t="array" ref="L20">SUM($Q$18:$AT$18*Q20:AT20)</f>
        <v>96.94</v>
      </c>
      <c r="M20" s="269">
        <v>180</v>
      </c>
      <c r="N20" s="268">
        <f t="shared" ref="N20:N26" si="1">Q20/3600*1000*96485/L20</f>
        <v>276.47399307704654</v>
      </c>
      <c r="O20" s="268" t="s">
        <v>2136</v>
      </c>
      <c r="P20" s="247"/>
      <c r="Q20" s="245">
        <v>1</v>
      </c>
      <c r="R20" s="245">
        <f>0.6*(2-Q20)</f>
        <v>0.6</v>
      </c>
      <c r="S20" s="245">
        <f>0.2*(2-Q20)</f>
        <v>0.2</v>
      </c>
      <c r="T20" s="245">
        <f>0.2*(2-Q20)</f>
        <v>0.2</v>
      </c>
      <c r="U20" s="245"/>
      <c r="V20" s="245"/>
      <c r="W20" s="245"/>
      <c r="X20" s="245"/>
      <c r="Y20" s="245">
        <v>2</v>
      </c>
      <c r="Z20" s="245"/>
      <c r="AA20" s="245"/>
      <c r="AB20" s="245"/>
      <c r="AC20" s="245"/>
      <c r="AD20" s="245"/>
      <c r="AE20" s="245"/>
      <c r="AF20" s="245"/>
      <c r="AG20" s="245"/>
      <c r="AH20" s="245"/>
      <c r="AI20" s="251"/>
      <c r="BA20" s="7" t="s">
        <v>90</v>
      </c>
      <c r="BB20">
        <v>1</v>
      </c>
    </row>
    <row r="21" spans="1:54" x14ac:dyDescent="0.35">
      <c r="A21" s="244">
        <f t="shared" si="0"/>
        <v>16</v>
      </c>
      <c r="B21" s="243" t="str">
        <f>IFERROR(INDEX(Chem!$1:$1, MATCH(A21, Chem!$1:$1, 0) - 2), "")</f>
        <v>LMO-LTO (Energy)</v>
      </c>
      <c r="C21" s="507">
        <f>IF(B21="", "", MATCH(B21, Chem!$1:$1, 0))</f>
        <v>88</v>
      </c>
      <c r="F21" s="247" t="s">
        <v>2137</v>
      </c>
      <c r="G21" s="247" t="s">
        <v>2138</v>
      </c>
      <c r="H21" s="247">
        <v>2.7</v>
      </c>
      <c r="I21" s="247" t="s">
        <v>2139</v>
      </c>
      <c r="K21" s="252" t="s">
        <v>698</v>
      </c>
      <c r="L21" s="257">
        <f t="array" ref="L21">SUM($Q$18:$AT$18*Q21:AT21)</f>
        <v>96.563000000000002</v>
      </c>
      <c r="M21" s="270">
        <v>161</v>
      </c>
      <c r="N21" s="268">
        <f t="shared" si="1"/>
        <v>277.55339922008318</v>
      </c>
      <c r="O21" s="268" t="s">
        <v>2140</v>
      </c>
      <c r="P21" s="245"/>
      <c r="Q21" s="245">
        <v>1</v>
      </c>
      <c r="R21" s="245">
        <f>0.5*(2-Q21)</f>
        <v>0.5</v>
      </c>
      <c r="S21" s="245">
        <f>0.3*(2-Q21)</f>
        <v>0.3</v>
      </c>
      <c r="T21" s="245">
        <f>0.2*(2-Q21)</f>
        <v>0.2</v>
      </c>
      <c r="U21" s="245"/>
      <c r="V21" s="245"/>
      <c r="W21" s="245"/>
      <c r="X21" s="245"/>
      <c r="Y21" s="246">
        <v>2</v>
      </c>
      <c r="Z21" s="245"/>
      <c r="AA21" s="245"/>
      <c r="AB21" s="245"/>
      <c r="AC21" s="245"/>
      <c r="AD21" s="245"/>
      <c r="AE21" s="245"/>
      <c r="AF21" s="245"/>
      <c r="AG21" s="245"/>
      <c r="AH21" s="245"/>
      <c r="AI21" s="251"/>
      <c r="BA21" s="7" t="s">
        <v>2141</v>
      </c>
      <c r="BB21">
        <v>2</v>
      </c>
    </row>
    <row r="22" spans="1:54" x14ac:dyDescent="0.35">
      <c r="A22" s="244">
        <f t="shared" si="0"/>
        <v>17</v>
      </c>
      <c r="B22" s="243" t="str">
        <f>IFERROR(INDEX(Chem!$1:$1, MATCH(A22, Chem!$1:$1, 0) - 2), "")</f>
        <v>50%/50% NMC532/LMO - G</v>
      </c>
      <c r="C22" s="507">
        <f>IF(B22="", "", MATCH(B22, Chem!$1:$1, 0))</f>
        <v>93</v>
      </c>
      <c r="F22" s="247" t="s">
        <v>2142</v>
      </c>
      <c r="G22" s="247" t="s">
        <v>2143</v>
      </c>
      <c r="H22" s="245">
        <v>8.9600000000000009</v>
      </c>
      <c r="I22" s="247" t="s">
        <v>2139</v>
      </c>
      <c r="K22" s="252" t="s">
        <v>700</v>
      </c>
      <c r="L22" s="257">
        <f t="array" ref="L22">SUM($Q$18:$AT$18*Q22:AT22)</f>
        <v>97.295000000000002</v>
      </c>
      <c r="M22" s="270">
        <v>212</v>
      </c>
      <c r="N22" s="268">
        <f t="shared" si="1"/>
        <v>275.46522317579411</v>
      </c>
      <c r="O22" s="268" t="s">
        <v>2144</v>
      </c>
      <c r="P22" s="245"/>
      <c r="Q22" s="245">
        <v>1</v>
      </c>
      <c r="R22" s="245">
        <f>0.8*(2-Q22)</f>
        <v>0.8</v>
      </c>
      <c r="S22" s="245">
        <f>0.1*(2-Q22)</f>
        <v>0.1</v>
      </c>
      <c r="T22" s="245">
        <f>0.1*(2-Q22)</f>
        <v>0.1</v>
      </c>
      <c r="U22" s="245"/>
      <c r="V22" s="245"/>
      <c r="W22" s="245"/>
      <c r="X22" s="245"/>
      <c r="Y22" s="246">
        <v>2</v>
      </c>
      <c r="Z22" s="245"/>
      <c r="AA22" s="245"/>
      <c r="AB22" s="245"/>
      <c r="AC22" s="245"/>
      <c r="AD22" s="245"/>
      <c r="AE22" s="245"/>
      <c r="AF22" s="245"/>
      <c r="AG22" s="245"/>
      <c r="AH22" s="245"/>
      <c r="AI22" s="251"/>
      <c r="BA22" s="7" t="s">
        <v>2145</v>
      </c>
      <c r="BB22">
        <v>3</v>
      </c>
    </row>
    <row r="23" spans="1:54" x14ac:dyDescent="0.35">
      <c r="A23" s="244" t="str">
        <f t="shared" si="0"/>
        <v/>
      </c>
      <c r="B23" s="243" t="str">
        <f>IFERROR(INDEX(Chem!$1:$1, MATCH(A23, Chem!$1:$1, 0) - 2), "")</f>
        <v/>
      </c>
      <c r="C23" s="507" t="str">
        <f>IF(B23="", "", MATCH(B23, Chem!$1:$1, 0))</f>
        <v/>
      </c>
      <c r="F23" s="247" t="s">
        <v>2146</v>
      </c>
      <c r="G23" s="247" t="s">
        <v>2147</v>
      </c>
      <c r="H23" s="247">
        <v>0.94599999999999995</v>
      </c>
      <c r="I23" s="247" t="s">
        <v>2139</v>
      </c>
      <c r="K23" s="252" t="s">
        <v>701</v>
      </c>
      <c r="L23" s="257">
        <f t="array" ref="L23">SUM($Q$18:$AT$18*Q23:AT23)</f>
        <v>96.096500000000006</v>
      </c>
      <c r="M23" s="270">
        <v>200</v>
      </c>
      <c r="N23" s="268">
        <f t="shared" si="1"/>
        <v>278.90078087015542</v>
      </c>
      <c r="O23" s="268" t="s">
        <v>2148</v>
      </c>
      <c r="P23" s="245"/>
      <c r="Q23" s="245">
        <v>1</v>
      </c>
      <c r="R23" s="245">
        <v>0.8</v>
      </c>
      <c r="S23" s="245"/>
      <c r="T23" s="245">
        <v>0.15</v>
      </c>
      <c r="U23" s="245">
        <v>0.05</v>
      </c>
      <c r="V23" s="245"/>
      <c r="W23" s="245"/>
      <c r="X23" s="245"/>
      <c r="Y23" s="246">
        <v>2</v>
      </c>
      <c r="Z23" s="245"/>
      <c r="AA23" s="245"/>
      <c r="AB23" s="245"/>
      <c r="AC23" s="245"/>
      <c r="AD23" s="245"/>
      <c r="AE23" s="245"/>
      <c r="AF23" s="245"/>
      <c r="AG23" s="245"/>
      <c r="AH23" s="245"/>
      <c r="AI23" s="251"/>
      <c r="BA23" s="7"/>
    </row>
    <row r="24" spans="1:54" x14ac:dyDescent="0.35">
      <c r="A24" s="244" t="str">
        <f t="shared" si="0"/>
        <v/>
      </c>
      <c r="B24" s="243" t="str">
        <f>IFERROR(INDEX(Chem!$1:$1, MATCH(A24, Chem!$1:$1, 0) - 2), "")</f>
        <v/>
      </c>
      <c r="C24" s="507" t="str">
        <f>IF(B24="", "", MATCH(B24, Chem!$1:$1, 0))</f>
        <v/>
      </c>
      <c r="F24" s="247" t="s">
        <v>2149</v>
      </c>
      <c r="G24" s="247" t="s">
        <v>2150</v>
      </c>
      <c r="H24" s="247">
        <v>1.38</v>
      </c>
      <c r="I24" s="247" t="s">
        <v>2139</v>
      </c>
      <c r="K24" s="252" t="s">
        <v>702</v>
      </c>
      <c r="L24" s="257">
        <f t="array" ref="L24">SUM($Q$18:$AT$18*Q24:AT24)</f>
        <v>157.76</v>
      </c>
      <c r="M24" s="270">
        <v>150</v>
      </c>
      <c r="N24" s="268">
        <f t="shared" si="1"/>
        <v>169.88709995492451</v>
      </c>
      <c r="O24" s="268" t="s">
        <v>2151</v>
      </c>
      <c r="P24" s="245"/>
      <c r="Q24" s="245">
        <v>1</v>
      </c>
      <c r="R24" s="245"/>
      <c r="S24" s="245"/>
      <c r="T24" s="245"/>
      <c r="U24" s="245"/>
      <c r="V24" s="245">
        <v>1</v>
      </c>
      <c r="W24" s="245">
        <v>1</v>
      </c>
      <c r="X24" s="245"/>
      <c r="Y24" s="246">
        <v>4</v>
      </c>
      <c r="Z24" s="245"/>
      <c r="AA24" s="245"/>
      <c r="AB24" s="245"/>
      <c r="AC24" s="245"/>
      <c r="AD24" s="245"/>
      <c r="AE24" s="245"/>
      <c r="AF24" s="245"/>
      <c r="AG24" s="245"/>
      <c r="AH24" s="245"/>
      <c r="AI24" s="251"/>
      <c r="BA24" s="7" t="s">
        <v>2152</v>
      </c>
    </row>
    <row r="25" spans="1:54" x14ac:dyDescent="0.35">
      <c r="A25" s="244" t="str">
        <f t="shared" si="0"/>
        <v/>
      </c>
      <c r="B25" s="243" t="str">
        <f>IFERROR(INDEX(Chem!$1:$1, MATCH(A25, Chem!$1:$1, 0) - 2), "")</f>
        <v/>
      </c>
      <c r="C25" s="507" t="str">
        <f>IF(B25="", "", MATCH(B25, Chem!$1:$1, 0))</f>
        <v/>
      </c>
      <c r="F25" s="247" t="s">
        <v>2153</v>
      </c>
      <c r="G25" s="247" t="s">
        <v>2154</v>
      </c>
      <c r="H25" s="245">
        <v>0.38548000000000004</v>
      </c>
      <c r="I25" s="247" t="s">
        <v>2155</v>
      </c>
      <c r="K25" s="252" t="s">
        <v>703</v>
      </c>
      <c r="L25" s="257">
        <f t="array" ref="L25">SUM($Q$18:$AT$18*Q25:AT25)</f>
        <v>176.01999999999998</v>
      </c>
      <c r="M25" s="270">
        <v>108</v>
      </c>
      <c r="N25" s="268">
        <f t="shared" si="1"/>
        <v>167.48964764105094</v>
      </c>
      <c r="O25" s="268" t="s">
        <v>2156</v>
      </c>
      <c r="P25" s="245"/>
      <c r="Q25" s="245">
        <v>1.1000000000000001</v>
      </c>
      <c r="R25" s="245"/>
      <c r="S25" s="245">
        <v>1.9</v>
      </c>
      <c r="T25" s="245"/>
      <c r="U25" s="245"/>
      <c r="V25" s="245"/>
      <c r="W25" s="245"/>
      <c r="X25" s="245"/>
      <c r="Y25" s="246">
        <v>4</v>
      </c>
      <c r="Z25" s="245"/>
      <c r="AA25" s="245"/>
      <c r="AB25" s="245"/>
      <c r="AC25" s="245"/>
      <c r="AD25" s="245"/>
      <c r="AE25" s="245"/>
      <c r="AF25" s="245"/>
      <c r="AG25" s="245"/>
      <c r="AH25" s="245"/>
      <c r="AI25" s="251"/>
      <c r="BA25" s="7"/>
    </row>
    <row r="26" spans="1:54" x14ac:dyDescent="0.35">
      <c r="A26" s="244" t="str">
        <f t="shared" si="0"/>
        <v/>
      </c>
      <c r="B26" s="243" t="str">
        <f>IFERROR(INDEX(Chem!$1:$1, MATCH(A26, Chem!$1:$1, 0) - 2), "")</f>
        <v/>
      </c>
      <c r="C26" s="507" t="str">
        <f>IF(B26="", "", MATCH(B26, Chem!$1:$1, 0))</f>
        <v/>
      </c>
      <c r="F26" s="247" t="s">
        <v>2157</v>
      </c>
      <c r="G26" s="247" t="s">
        <v>2158</v>
      </c>
      <c r="H26" s="245">
        <v>0.90200000000000002</v>
      </c>
      <c r="I26" s="247" t="s">
        <v>2155</v>
      </c>
      <c r="K26" s="252" t="s">
        <v>749</v>
      </c>
      <c r="L26" s="257">
        <f t="array" ref="L26">SUM($Q$18:$AT$18*Q26:AT26)</f>
        <v>459.26</v>
      </c>
      <c r="M26" s="270">
        <v>170</v>
      </c>
      <c r="N26" s="268">
        <f t="shared" si="1"/>
        <v>233.43107511116921</v>
      </c>
      <c r="O26" s="268" t="s">
        <v>2159</v>
      </c>
      <c r="P26" s="245"/>
      <c r="Q26" s="245">
        <v>4</v>
      </c>
      <c r="R26" s="245"/>
      <c r="S26" s="245"/>
      <c r="T26" s="245"/>
      <c r="U26" s="245"/>
      <c r="V26" s="245"/>
      <c r="W26" s="245"/>
      <c r="X26" s="245">
        <v>5</v>
      </c>
      <c r="Y26" s="246">
        <v>12</v>
      </c>
      <c r="Z26" s="245"/>
      <c r="AA26" s="245"/>
      <c r="AB26" s="245"/>
      <c r="AC26" s="245"/>
      <c r="AD26" s="245"/>
      <c r="AE26" s="245"/>
      <c r="AF26" s="245"/>
      <c r="AG26" s="245"/>
      <c r="AH26" s="245"/>
      <c r="AI26" s="251"/>
      <c r="BA26" s="7" t="s">
        <v>1659</v>
      </c>
    </row>
    <row r="27" spans="1:54" x14ac:dyDescent="0.35">
      <c r="A27" s="244" t="str">
        <f t="shared" si="0"/>
        <v/>
      </c>
      <c r="B27" s="243" t="str">
        <f>IFERROR(INDEX(Chem!$1:$1, MATCH(A27, Chem!$1:$1, 0) - 2), "")</f>
        <v/>
      </c>
      <c r="C27" s="507" t="str">
        <f>IF(B27="", "", MATCH(B27, Chem!$1:$1, 0))</f>
        <v/>
      </c>
      <c r="F27" s="247" t="s">
        <v>2160</v>
      </c>
      <c r="G27" s="247" t="s">
        <v>2161</v>
      </c>
      <c r="H27" s="245">
        <v>0.9</v>
      </c>
      <c r="I27" s="247" t="s">
        <v>2139</v>
      </c>
      <c r="K27" s="252" t="s">
        <v>279</v>
      </c>
      <c r="L27" s="257">
        <f t="array" ref="L27">SUM($Q$18:$AT$18*Q27:AT27)</f>
        <v>72</v>
      </c>
      <c r="M27" s="270">
        <v>360</v>
      </c>
      <c r="N27" s="268">
        <f>1/3600*1000*96485/L27</f>
        <v>372.24151234567904</v>
      </c>
      <c r="O27" s="268" t="s">
        <v>2162</v>
      </c>
      <c r="P27" s="245"/>
      <c r="Q27" s="245"/>
      <c r="R27" s="245"/>
      <c r="S27" s="245"/>
      <c r="T27" s="245"/>
      <c r="U27" s="245"/>
      <c r="V27" s="245"/>
      <c r="W27" s="245"/>
      <c r="X27" s="245"/>
      <c r="Y27" s="245"/>
      <c r="Z27" s="245"/>
      <c r="AA27" s="245">
        <v>6</v>
      </c>
      <c r="AB27" s="245"/>
      <c r="AC27" s="245"/>
      <c r="AD27" s="245"/>
      <c r="AE27" s="245"/>
      <c r="AF27" s="245"/>
      <c r="AG27" s="245"/>
      <c r="AH27" s="245"/>
      <c r="AI27" s="251"/>
      <c r="BA27" s="7" t="s">
        <v>2111</v>
      </c>
    </row>
    <row r="28" spans="1:54" x14ac:dyDescent="0.35">
      <c r="A28" s="244" t="str">
        <f t="shared" si="0"/>
        <v/>
      </c>
      <c r="B28" s="243" t="str">
        <f>IFERROR(INDEX(Chem!$1:$1, MATCH(A28, Chem!$1:$1, 0) - 2), "")</f>
        <v/>
      </c>
      <c r="C28" s="507" t="str">
        <f>IF(B28="", "", MATCH(B28, Chem!$1:$1, 0))</f>
        <v/>
      </c>
      <c r="F28" s="264" t="s">
        <v>2163</v>
      </c>
      <c r="G28" s="264" t="s">
        <v>2164</v>
      </c>
      <c r="H28" s="265">
        <f>5.96*10^7</f>
        <v>59600000</v>
      </c>
      <c r="I28" s="264" t="s">
        <v>2165</v>
      </c>
      <c r="K28" s="250"/>
      <c r="L28" s="245"/>
      <c r="M28" s="245"/>
      <c r="N28" s="245"/>
      <c r="O28" s="245"/>
      <c r="P28" s="245"/>
      <c r="Q28" s="245"/>
      <c r="R28" s="245"/>
      <c r="S28" s="245"/>
      <c r="T28" s="245"/>
      <c r="U28" s="245"/>
      <c r="V28" s="245"/>
      <c r="W28" s="245"/>
      <c r="X28" s="245"/>
      <c r="Y28" s="245"/>
      <c r="Z28" s="245"/>
      <c r="AA28" s="245"/>
      <c r="AB28" s="245"/>
      <c r="AC28" s="245"/>
      <c r="AD28" s="245"/>
      <c r="AE28" s="245"/>
      <c r="AF28" s="245"/>
      <c r="AG28" s="245"/>
      <c r="AH28" s="245"/>
      <c r="AI28" s="251"/>
      <c r="BA28" s="7"/>
    </row>
    <row r="29" spans="1:54" x14ac:dyDescent="0.35">
      <c r="A29" s="244" t="str">
        <f t="shared" si="0"/>
        <v/>
      </c>
      <c r="B29" s="243" t="str">
        <f>IFERROR(INDEX(Chem!$1:$1, MATCH(A29, Chem!$1:$1, 0) - 2), "")</f>
        <v/>
      </c>
      <c r="C29" s="507" t="str">
        <f>IF(B29="", "", MATCH(B29, Chem!$1:$1, 0))</f>
        <v/>
      </c>
      <c r="F29" s="264" t="s">
        <v>2166</v>
      </c>
      <c r="G29" s="264" t="s">
        <v>2167</v>
      </c>
      <c r="H29" s="265">
        <f>3.77*10^7</f>
        <v>37700000</v>
      </c>
      <c r="I29" s="264" t="s">
        <v>2165</v>
      </c>
      <c r="K29" s="250"/>
      <c r="L29" s="245"/>
      <c r="M29" s="245"/>
      <c r="N29" s="245"/>
      <c r="O29" s="245"/>
      <c r="P29" s="245"/>
      <c r="Q29" s="245"/>
      <c r="R29" s="245"/>
      <c r="S29" s="245"/>
      <c r="T29" s="245"/>
      <c r="U29" s="245"/>
      <c r="V29" s="245"/>
      <c r="W29" s="245"/>
      <c r="X29" s="245"/>
      <c r="Y29" s="245"/>
      <c r="Z29" s="245"/>
      <c r="AA29" s="245"/>
      <c r="AB29" s="245"/>
      <c r="AC29" s="245"/>
      <c r="AD29" s="245"/>
      <c r="AE29" s="245"/>
      <c r="AF29" s="245"/>
      <c r="AG29" s="245"/>
      <c r="AH29" s="245"/>
      <c r="AI29" s="251"/>
      <c r="BA29" s="7"/>
    </row>
    <row r="30" spans="1:54" x14ac:dyDescent="0.35">
      <c r="A30" s="244" t="str">
        <f t="shared" si="0"/>
        <v/>
      </c>
      <c r="B30" s="243" t="str">
        <f>IFERROR(INDEX(Chem!$1:$1, MATCH(A30, Chem!$1:$1, 0) - 2), "")</f>
        <v/>
      </c>
      <c r="C30" s="507" t="str">
        <f>IF(B30="", "", MATCH(B30, Chem!$1:$1, 0))</f>
        <v/>
      </c>
      <c r="F30" s="247" t="s">
        <v>2168</v>
      </c>
      <c r="G30" s="264" t="s">
        <v>2169</v>
      </c>
      <c r="H30" s="266">
        <v>7.8</v>
      </c>
      <c r="I30" s="247" t="s">
        <v>2139</v>
      </c>
      <c r="K30" s="250"/>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5"/>
      <c r="AI30" s="251"/>
      <c r="BA30" s="7"/>
    </row>
    <row r="31" spans="1:54" ht="16" thickBot="1" x14ac:dyDescent="0.4">
      <c r="A31" s="244" t="str">
        <f t="shared" si="0"/>
        <v/>
      </c>
      <c r="B31" s="243" t="str">
        <f>IFERROR(INDEX(Chem!$1:$1, MATCH(A31, Chem!$1:$1, 0) - 2), "")</f>
        <v/>
      </c>
      <c r="C31" s="507" t="str">
        <f>IF(B31="", "", MATCH(B31, Chem!$1:$1, 0))</f>
        <v/>
      </c>
      <c r="F31" s="264" t="s">
        <v>2170</v>
      </c>
      <c r="G31" s="264" t="s">
        <v>2171</v>
      </c>
      <c r="H31" s="266">
        <v>2</v>
      </c>
      <c r="I31" s="245" t="s">
        <v>2172</v>
      </c>
      <c r="K31" s="250"/>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5"/>
      <c r="AI31" s="251"/>
      <c r="BA31" s="7"/>
    </row>
    <row r="32" spans="1:54" x14ac:dyDescent="0.35">
      <c r="A32" s="244" t="str">
        <f t="shared" si="0"/>
        <v/>
      </c>
      <c r="B32" s="243" t="str">
        <f>IFERROR(INDEX(Chem!$1:$1, MATCH(A32, Chem!$1:$1, 0) - 2), "")</f>
        <v/>
      </c>
      <c r="C32" s="507" t="str">
        <f>IF(B32="", "", MATCH(B32, Chem!$1:$1, 0))</f>
        <v/>
      </c>
      <c r="F32" s="264" t="s">
        <v>2173</v>
      </c>
      <c r="G32" s="264" t="s">
        <v>2174</v>
      </c>
      <c r="H32" s="266">
        <v>3.8</v>
      </c>
      <c r="I32" s="245" t="s">
        <v>2172</v>
      </c>
      <c r="K32" s="250"/>
      <c r="L32" s="245"/>
      <c r="M32" s="245"/>
      <c r="N32" s="245"/>
      <c r="O32" s="245"/>
      <c r="P32" s="245"/>
      <c r="Q32" s="245"/>
      <c r="R32" s="245"/>
      <c r="S32" s="245"/>
      <c r="T32" s="245"/>
      <c r="U32" s="245"/>
      <c r="V32" s="245"/>
      <c r="W32" s="245"/>
      <c r="X32" s="245"/>
      <c r="Y32" s="245"/>
      <c r="Z32" s="245"/>
      <c r="AA32" s="245"/>
      <c r="AB32" s="245"/>
      <c r="AC32" s="245"/>
      <c r="AD32" s="245"/>
      <c r="AE32" s="245"/>
      <c r="AF32" s="245"/>
      <c r="AG32" s="245"/>
      <c r="AH32" s="245"/>
      <c r="AI32" s="251"/>
      <c r="BA32" s="640" t="s">
        <v>2175</v>
      </c>
      <c r="BB32" s="641" t="s">
        <v>2176</v>
      </c>
    </row>
    <row r="33" spans="1:54" ht="16" thickBot="1" x14ac:dyDescent="0.4">
      <c r="A33" s="244" t="str">
        <f t="shared" si="0"/>
        <v/>
      </c>
      <c r="B33" s="243" t="str">
        <f>IFERROR(INDEX(Chem!$1:$1, MATCH(A33, Chem!$1:$1, 0) - 2), "")</f>
        <v/>
      </c>
      <c r="C33" s="507" t="str">
        <f>IF(B33="", "", MATCH(B33, Chem!$1:$1, 0))</f>
        <v/>
      </c>
      <c r="K33" s="253"/>
      <c r="L33" s="254"/>
      <c r="M33" s="254"/>
      <c r="N33" s="254"/>
      <c r="O33" s="254"/>
      <c r="P33" s="254"/>
      <c r="Q33" s="254"/>
      <c r="R33" s="254"/>
      <c r="S33" s="254"/>
      <c r="T33" s="254"/>
      <c r="U33" s="254"/>
      <c r="V33" s="254"/>
      <c r="W33" s="254"/>
      <c r="X33" s="254"/>
      <c r="Y33" s="254"/>
      <c r="Z33" s="254"/>
      <c r="AA33" s="254"/>
      <c r="AB33" s="254"/>
      <c r="AC33" s="254"/>
      <c r="AD33" s="254"/>
      <c r="AE33" s="254"/>
      <c r="AF33" s="254"/>
      <c r="AG33" s="254"/>
      <c r="AH33" s="254"/>
      <c r="AI33" s="255"/>
      <c r="BA33" s="642">
        <v>0</v>
      </c>
      <c r="BB33" s="251">
        <v>1</v>
      </c>
    </row>
    <row r="34" spans="1:54" x14ac:dyDescent="0.35">
      <c r="A34" s="244" t="str">
        <f t="shared" si="0"/>
        <v/>
      </c>
      <c r="B34" s="243" t="str">
        <f>IFERROR(INDEX(Chem!$1:$1, MATCH(A34, Chem!$1:$1, 0) - 2), "")</f>
        <v/>
      </c>
      <c r="C34" s="507" t="str">
        <f>IF(B34="", "", MATCH(B34, Chem!$1:$1, 0))</f>
        <v/>
      </c>
      <c r="K34" s="250"/>
      <c r="L34" s="245"/>
      <c r="M34" s="245"/>
      <c r="N34" s="245"/>
      <c r="O34" s="245"/>
      <c r="P34" s="245"/>
      <c r="Q34" s="245"/>
      <c r="R34" s="245"/>
      <c r="S34" s="245"/>
      <c r="T34" s="245"/>
      <c r="U34" s="245"/>
      <c r="V34" s="245"/>
      <c r="W34" s="245"/>
      <c r="X34" s="245"/>
      <c r="Y34" s="245"/>
      <c r="Z34" s="245"/>
      <c r="AA34" s="245"/>
      <c r="AB34" s="245"/>
      <c r="AC34" s="245"/>
      <c r="AD34" s="245"/>
      <c r="AE34" s="245"/>
      <c r="AF34" s="245"/>
      <c r="AG34" s="245"/>
      <c r="AH34" s="245"/>
      <c r="AI34" s="251"/>
      <c r="BA34" s="642">
        <v>10</v>
      </c>
      <c r="BB34" s="251">
        <v>2</v>
      </c>
    </row>
    <row r="35" spans="1:54" x14ac:dyDescent="0.35">
      <c r="A35" s="244" t="str">
        <f t="shared" si="0"/>
        <v/>
      </c>
      <c r="B35" s="243" t="str">
        <f>IFERROR(INDEX(Chem!$1:$1, MATCH(A35, Chem!$1:$1, 0) - 2), "")</f>
        <v/>
      </c>
      <c r="C35" s="507" t="str">
        <f>IF(B35="", "", MATCH(B35, Chem!$1:$1, 0))</f>
        <v/>
      </c>
      <c r="K35" s="250"/>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5"/>
      <c r="AI35" s="251"/>
      <c r="BA35" s="642">
        <v>20</v>
      </c>
      <c r="BB35" s="251">
        <v>3</v>
      </c>
    </row>
    <row r="36" spans="1:54" x14ac:dyDescent="0.35">
      <c r="A36" s="244" t="str">
        <f t="shared" si="0"/>
        <v/>
      </c>
      <c r="B36" s="243" t="str">
        <f>IFERROR(INDEX(Chem!$1:$1, MATCH(A36, Chem!$1:$1, 0) - 2), "")</f>
        <v/>
      </c>
      <c r="C36" s="507" t="str">
        <f>IF(B36="", "", MATCH(B36, Chem!$1:$1, 0))</f>
        <v/>
      </c>
      <c r="K36" s="250"/>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5"/>
      <c r="AI36" s="251"/>
      <c r="BA36" s="642">
        <v>30</v>
      </c>
      <c r="BB36" s="251">
        <v>4</v>
      </c>
    </row>
    <row r="37" spans="1:54" ht="16" thickBot="1" x14ac:dyDescent="0.4">
      <c r="A37" s="244" t="str">
        <f t="shared" si="0"/>
        <v/>
      </c>
      <c r="B37" s="243" t="str">
        <f>IFERROR(INDEX(Chem!$1:$1, MATCH(A37, Chem!$1:$1, 0) - 2), "")</f>
        <v/>
      </c>
      <c r="C37" s="507" t="str">
        <f>IF(B37="", "", MATCH(B37, Chem!$1:$1, 0))</f>
        <v/>
      </c>
      <c r="K37" s="253"/>
      <c r="L37" s="254"/>
      <c r="M37" s="254"/>
      <c r="N37" s="254"/>
      <c r="O37" s="254"/>
      <c r="P37" s="254"/>
      <c r="Q37" s="254"/>
      <c r="R37" s="254"/>
      <c r="S37" s="254"/>
      <c r="T37" s="254"/>
      <c r="U37" s="254"/>
      <c r="V37" s="254"/>
      <c r="W37" s="254"/>
      <c r="X37" s="254"/>
      <c r="Y37" s="254"/>
      <c r="Z37" s="254"/>
      <c r="AA37" s="254"/>
      <c r="AB37" s="254"/>
      <c r="AC37" s="254"/>
      <c r="AD37" s="254"/>
      <c r="AE37" s="254"/>
      <c r="AF37" s="254"/>
      <c r="AG37" s="254"/>
      <c r="AH37" s="254"/>
      <c r="AI37" s="255"/>
      <c r="BA37" s="642">
        <v>40</v>
      </c>
      <c r="BB37" s="251">
        <v>5</v>
      </c>
    </row>
    <row r="38" spans="1:54" x14ac:dyDescent="0.35">
      <c r="A38" s="244" t="str">
        <f t="shared" si="0"/>
        <v/>
      </c>
      <c r="B38" s="243" t="str">
        <f>IFERROR(INDEX(Chem!$1:$1, MATCH(A38, Chem!$1:$1, 0) - 2), "")</f>
        <v/>
      </c>
      <c r="C38" s="507" t="str">
        <f>IF(B38="", "", MATCH(B38, Chem!$1:$1, 0))</f>
        <v/>
      </c>
      <c r="BA38" s="642">
        <v>50</v>
      </c>
      <c r="BB38" s="251">
        <v>6</v>
      </c>
    </row>
    <row r="39" spans="1:54" x14ac:dyDescent="0.35">
      <c r="A39" s="244" t="str">
        <f t="shared" ref="A39:A58" si="2">IF(OR(A38 = "", $B$4 = A38), "", A38 + 1)</f>
        <v/>
      </c>
      <c r="B39" s="243" t="str">
        <f>IFERROR(INDEX(Chem!$1:$1, MATCH(A39, Chem!$1:$1, 0) - 2), "")</f>
        <v/>
      </c>
      <c r="C39" s="507" t="str">
        <f>IF(B39="", "", MATCH(B39, Chem!$1:$1, 0))</f>
        <v/>
      </c>
      <c r="BA39" s="642">
        <v>60</v>
      </c>
      <c r="BB39" s="251">
        <v>7</v>
      </c>
    </row>
    <row r="40" spans="1:54" x14ac:dyDescent="0.35">
      <c r="A40" s="244" t="str">
        <f t="shared" si="2"/>
        <v/>
      </c>
      <c r="B40" s="243" t="str">
        <f>IFERROR(INDEX(Chem!$1:$1, MATCH(A40, Chem!$1:$1, 0) - 2), "")</f>
        <v/>
      </c>
      <c r="C40" s="507" t="str">
        <f>IF(B40="", "", MATCH(B40, Chem!$1:$1, 0))</f>
        <v/>
      </c>
      <c r="BA40" s="642">
        <v>70</v>
      </c>
      <c r="BB40" s="251">
        <v>8</v>
      </c>
    </row>
    <row r="41" spans="1:54" x14ac:dyDescent="0.35">
      <c r="A41" s="244" t="str">
        <f t="shared" si="2"/>
        <v/>
      </c>
      <c r="B41" s="243" t="str">
        <f>IFERROR(INDEX(Chem!$1:$1, MATCH(A41, Chem!$1:$1, 0) - 2), "")</f>
        <v/>
      </c>
      <c r="C41" s="507" t="str">
        <f>IF(B41="", "", MATCH(B41, Chem!$1:$1, 0))</f>
        <v/>
      </c>
      <c r="BA41" s="642">
        <v>80</v>
      </c>
      <c r="BB41" s="251">
        <v>9</v>
      </c>
    </row>
    <row r="42" spans="1:54" x14ac:dyDescent="0.35">
      <c r="A42" s="244" t="str">
        <f t="shared" si="2"/>
        <v/>
      </c>
      <c r="B42" s="243" t="str">
        <f>IFERROR(INDEX(Chem!$1:$1, MATCH(A42, Chem!$1:$1, 0) - 2), "")</f>
        <v/>
      </c>
      <c r="C42" s="507" t="str">
        <f>IF(B42="", "", MATCH(B42, Chem!$1:$1, 0))</f>
        <v/>
      </c>
      <c r="BA42" s="642">
        <v>90</v>
      </c>
      <c r="BB42" s="251">
        <v>10</v>
      </c>
    </row>
    <row r="43" spans="1:54" ht="16" thickBot="1" x14ac:dyDescent="0.4">
      <c r="A43" s="244" t="str">
        <f t="shared" si="2"/>
        <v/>
      </c>
      <c r="B43" s="243" t="str">
        <f>IFERROR(INDEX(Chem!$1:$1, MATCH(A43, Chem!$1:$1, 0) - 2), "")</f>
        <v/>
      </c>
      <c r="C43" s="507" t="str">
        <f>IF(B43="", "", MATCH(B43, Chem!$1:$1, 0))</f>
        <v/>
      </c>
      <c r="BA43" s="643">
        <v>100</v>
      </c>
      <c r="BB43" s="255">
        <v>11</v>
      </c>
    </row>
    <row r="44" spans="1:54" x14ac:dyDescent="0.35">
      <c r="A44" s="244" t="str">
        <f t="shared" si="2"/>
        <v/>
      </c>
      <c r="B44" s="243" t="str">
        <f>IFERROR(INDEX(Chem!$1:$1, MATCH(A44, Chem!$1:$1, 0) - 2), "")</f>
        <v/>
      </c>
      <c r="C44" s="507" t="str">
        <f>IF(B44="", "", MATCH(B44, Chem!$1:$1, 0))</f>
        <v/>
      </c>
    </row>
    <row r="45" spans="1:54" x14ac:dyDescent="0.35">
      <c r="A45" s="244" t="str">
        <f t="shared" si="2"/>
        <v/>
      </c>
      <c r="B45" s="243" t="str">
        <f>IFERROR(INDEX(Chem!$1:$1, MATCH(A45, Chem!$1:$1, 0) - 2), "")</f>
        <v/>
      </c>
      <c r="C45" s="507" t="str">
        <f>IF(B45="", "", MATCH(B45, Chem!$1:$1, 0))</f>
        <v/>
      </c>
    </row>
    <row r="46" spans="1:54" x14ac:dyDescent="0.35">
      <c r="A46" s="244" t="str">
        <f t="shared" si="2"/>
        <v/>
      </c>
      <c r="B46" s="243" t="str">
        <f>IFERROR(INDEX(Chem!$1:$1, MATCH(A46, Chem!$1:$1, 0) - 2), "")</f>
        <v/>
      </c>
      <c r="C46" s="507" t="str">
        <f>IF(B46="", "", MATCH(B46, Chem!$1:$1, 0))</f>
        <v/>
      </c>
    </row>
    <row r="47" spans="1:54" x14ac:dyDescent="0.35">
      <c r="A47" s="244" t="str">
        <f t="shared" si="2"/>
        <v/>
      </c>
      <c r="B47" s="243" t="str">
        <f>IFERROR(INDEX(Chem!$1:$1, MATCH(A47, Chem!$1:$1, 0) - 2), "")</f>
        <v/>
      </c>
      <c r="C47" s="507" t="str">
        <f>IF(B47="", "", MATCH(B47, Chem!$1:$1, 0))</f>
        <v/>
      </c>
    </row>
    <row r="48" spans="1:54" x14ac:dyDescent="0.35">
      <c r="A48" s="244" t="str">
        <f t="shared" si="2"/>
        <v/>
      </c>
      <c r="B48" s="243" t="str">
        <f>IFERROR(INDEX(Chem!$1:$1, MATCH(A48, Chem!$1:$1, 0) - 2), "")</f>
        <v/>
      </c>
      <c r="C48" s="507" t="str">
        <f>IF(B48="", "", MATCH(B48, Chem!$1:$1, 0))</f>
        <v/>
      </c>
    </row>
    <row r="49" spans="1:46" x14ac:dyDescent="0.35">
      <c r="A49" s="244" t="str">
        <f t="shared" si="2"/>
        <v/>
      </c>
      <c r="B49" s="243" t="str">
        <f>IFERROR(INDEX(Chem!$1:$1, MATCH(A49, Chem!$1:$1, 0) - 2), "")</f>
        <v/>
      </c>
      <c r="C49" s="507" t="str">
        <f>IF(B49="", "", MATCH(B49, Chem!$1:$1, 0))</f>
        <v/>
      </c>
    </row>
    <row r="50" spans="1:46" x14ac:dyDescent="0.35">
      <c r="A50" s="244" t="str">
        <f t="shared" si="2"/>
        <v/>
      </c>
      <c r="B50" s="243" t="str">
        <f>IFERROR(INDEX(Chem!$1:$1, MATCH(A50, Chem!$1:$1, 0) - 2), "")</f>
        <v/>
      </c>
      <c r="C50" s="507" t="str">
        <f>IF(B50="", "", MATCH(B50, Chem!$1:$1, 0))</f>
        <v/>
      </c>
    </row>
    <row r="51" spans="1:46" x14ac:dyDescent="0.35">
      <c r="A51" s="244" t="str">
        <f t="shared" si="2"/>
        <v/>
      </c>
      <c r="B51" s="243" t="str">
        <f>IFERROR(INDEX(Chem!$1:$1, MATCH(A51, Chem!$1:$1, 0) - 2), "")</f>
        <v/>
      </c>
      <c r="C51" s="507" t="str">
        <f>IF(B51="", "", MATCH(B51, Chem!$1:$1, 0))</f>
        <v/>
      </c>
    </row>
    <row r="52" spans="1:46" x14ac:dyDescent="0.35">
      <c r="A52" s="244" t="str">
        <f t="shared" si="2"/>
        <v/>
      </c>
      <c r="B52" s="243" t="str">
        <f>IFERROR(INDEX(Chem!$1:$1, MATCH(A52, Chem!$1:$1, 0) - 2), "")</f>
        <v/>
      </c>
      <c r="C52" s="507" t="str">
        <f>IF(B52="", "", MATCH(B52, Chem!$1:$1, 0))</f>
        <v/>
      </c>
    </row>
    <row r="53" spans="1:46" x14ac:dyDescent="0.35">
      <c r="A53" s="244" t="str">
        <f t="shared" si="2"/>
        <v/>
      </c>
      <c r="B53" s="243" t="str">
        <f>IFERROR(INDEX(Chem!$1:$1, MATCH(A53, Chem!$1:$1, 0) - 2), "")</f>
        <v/>
      </c>
      <c r="C53" s="507" t="str">
        <f>IF(B53="", "", MATCH(B53, Chem!$1:$1, 0))</f>
        <v/>
      </c>
    </row>
    <row r="54" spans="1:46" x14ac:dyDescent="0.35">
      <c r="A54" s="244" t="str">
        <f t="shared" si="2"/>
        <v/>
      </c>
      <c r="B54" s="243" t="str">
        <f>IFERROR(INDEX(Chem!$1:$1, MATCH(A54, Chem!$1:$1, 0) - 2), "")</f>
        <v/>
      </c>
      <c r="C54" s="507" t="str">
        <f>IF(B54="", "", MATCH(B54, Chem!$1:$1, 0))</f>
        <v/>
      </c>
    </row>
    <row r="55" spans="1:46" x14ac:dyDescent="0.35">
      <c r="A55" s="244" t="str">
        <f t="shared" si="2"/>
        <v/>
      </c>
      <c r="B55" s="243" t="str">
        <f>IFERROR(INDEX(Chem!$1:$1, MATCH(A55, Chem!$1:$1, 0) - 2), "")</f>
        <v/>
      </c>
      <c r="C55" s="507" t="str">
        <f>IF(B55="", "", MATCH(B55, Chem!$1:$1, 0))</f>
        <v/>
      </c>
    </row>
    <row r="56" spans="1:46" x14ac:dyDescent="0.35">
      <c r="A56" s="244" t="str">
        <f t="shared" si="2"/>
        <v/>
      </c>
      <c r="B56" s="243" t="str">
        <f>IFERROR(INDEX(Chem!$1:$1, MATCH(A56, Chem!$1:$1, 0) - 2), "")</f>
        <v/>
      </c>
      <c r="C56" s="507" t="str">
        <f>IF(B56="", "", MATCH(B56, Chem!$1:$1, 0))</f>
        <v/>
      </c>
    </row>
    <row r="57" spans="1:46" x14ac:dyDescent="0.35">
      <c r="A57" s="244" t="str">
        <f t="shared" si="2"/>
        <v/>
      </c>
      <c r="B57" s="243" t="str">
        <f>IFERROR(INDEX(Chem!$1:$1, MATCH(A57, Chem!$1:$1, 0) - 2), "")</f>
        <v/>
      </c>
      <c r="C57" s="507" t="str">
        <f>IF(B57="", "", MATCH(B57, Chem!$1:$1, 0))</f>
        <v/>
      </c>
    </row>
    <row r="58" spans="1:46" x14ac:dyDescent="0.35">
      <c r="A58" s="244" t="str">
        <f t="shared" si="2"/>
        <v/>
      </c>
      <c r="B58" s="243" t="str">
        <f>IFERROR(INDEX(Chem!$1:$1, MATCH(A58, Chem!$1:$1, 0) - 2), "")</f>
        <v/>
      </c>
      <c r="C58" s="507" t="str">
        <f>IF(B58="", "", MATCH(B58, Chem!$1:$1, 0))</f>
        <v/>
      </c>
    </row>
    <row r="60" spans="1:46" x14ac:dyDescent="0.35">
      <c r="P60" s="45"/>
    </row>
    <row r="61" spans="1:46" x14ac:dyDescent="0.35">
      <c r="P61" s="1379"/>
    </row>
    <row r="62" spans="1:46" ht="16" thickBot="1" x14ac:dyDescent="0.4"/>
    <row r="63" spans="1:46" ht="16" thickBot="1" x14ac:dyDescent="0.4">
      <c r="M63" s="702" t="s">
        <v>743</v>
      </c>
      <c r="N63" s="703"/>
      <c r="O63" s="690" t="s">
        <v>697</v>
      </c>
      <c r="P63" s="690" t="s">
        <v>698</v>
      </c>
      <c r="Q63" s="690" t="s">
        <v>699</v>
      </c>
      <c r="R63" s="690" t="s">
        <v>700</v>
      </c>
      <c r="S63" s="690" t="s">
        <v>701</v>
      </c>
      <c r="T63" s="690" t="s">
        <v>702</v>
      </c>
      <c r="U63" s="690" t="s">
        <v>703</v>
      </c>
      <c r="V63" s="690" t="s">
        <v>749</v>
      </c>
      <c r="W63" s="690" t="s">
        <v>279</v>
      </c>
      <c r="X63" s="576"/>
      <c r="Y63" s="576"/>
      <c r="Z63" s="576"/>
      <c r="AA63" s="576"/>
      <c r="AB63" s="576"/>
      <c r="AC63" s="576"/>
      <c r="AD63" s="576"/>
      <c r="AE63" s="576"/>
      <c r="AF63" s="576"/>
      <c r="AG63" s="577"/>
      <c r="AQ63" s="86"/>
    </row>
    <row r="64" spans="1:46" x14ac:dyDescent="0.35">
      <c r="M64" s="704" t="s">
        <v>2119</v>
      </c>
      <c r="N64" s="705"/>
      <c r="O64" s="706" t="s">
        <v>2132</v>
      </c>
      <c r="P64" s="706" t="s">
        <v>2140</v>
      </c>
      <c r="Q64" s="706" t="s">
        <v>2136</v>
      </c>
      <c r="R64" s="706" t="s">
        <v>2144</v>
      </c>
      <c r="S64" s="706" t="s">
        <v>2148</v>
      </c>
      <c r="T64" s="706" t="s">
        <v>2151</v>
      </c>
      <c r="U64" s="706" t="s">
        <v>2156</v>
      </c>
      <c r="V64" s="706" t="s">
        <v>2159</v>
      </c>
      <c r="W64" s="706" t="s">
        <v>2162</v>
      </c>
      <c r="X64" s="58"/>
      <c r="Y64" s="58"/>
      <c r="Z64" s="58"/>
      <c r="AA64" s="58"/>
      <c r="AB64" s="58"/>
      <c r="AC64" s="58"/>
      <c r="AD64" s="58"/>
      <c r="AE64" s="58"/>
      <c r="AF64" s="58"/>
      <c r="AG64" s="343"/>
      <c r="AT64" s="174"/>
    </row>
    <row r="65" spans="1:49" ht="16" thickBot="1" x14ac:dyDescent="0.4">
      <c r="M65" s="707" t="s">
        <v>2177</v>
      </c>
      <c r="N65" s="708"/>
      <c r="O65" s="644" t="s">
        <v>1913</v>
      </c>
      <c r="P65" s="644" t="s">
        <v>1913</v>
      </c>
      <c r="Q65" s="644" t="s">
        <v>1913</v>
      </c>
      <c r="R65" s="644" t="s">
        <v>1913</v>
      </c>
      <c r="S65" s="644" t="s">
        <v>1913</v>
      </c>
      <c r="T65" s="644" t="s">
        <v>1913</v>
      </c>
      <c r="U65" s="644" t="s">
        <v>1913</v>
      </c>
      <c r="V65" s="644" t="s">
        <v>1914</v>
      </c>
      <c r="W65" s="644" t="s">
        <v>1914</v>
      </c>
      <c r="X65" s="709"/>
      <c r="Y65" s="709"/>
      <c r="Z65" s="709"/>
      <c r="AA65" s="709"/>
      <c r="AB65" s="709"/>
      <c r="AC65" s="709"/>
      <c r="AD65" s="709"/>
      <c r="AE65" s="709"/>
      <c r="AF65" s="709"/>
      <c r="AG65" s="710"/>
      <c r="AQ65" s="59"/>
      <c r="AT65" s="40"/>
    </row>
    <row r="66" spans="1:49" x14ac:dyDescent="0.35">
      <c r="M66" s="695"/>
      <c r="N66" s="694"/>
      <c r="O66" s="5"/>
      <c r="P66" s="5"/>
      <c r="Q66" s="5"/>
      <c r="R66" s="5"/>
      <c r="S66" s="5"/>
      <c r="T66" s="5"/>
      <c r="U66" s="5"/>
      <c r="V66" s="5"/>
      <c r="W66" s="5"/>
      <c r="X66" s="5"/>
      <c r="Y66" s="5"/>
      <c r="Z66" s="5"/>
      <c r="AA66" s="5"/>
      <c r="AB66" s="5"/>
      <c r="AC66" s="5"/>
      <c r="AD66" s="5"/>
      <c r="AE66" s="5"/>
      <c r="AF66" s="5"/>
      <c r="AG66" s="331"/>
      <c r="AQ66" s="353"/>
      <c r="AT66" s="132"/>
    </row>
    <row r="67" spans="1:49" ht="16" thickBot="1" x14ac:dyDescent="0.4">
      <c r="M67" s="695"/>
      <c r="N67" s="694"/>
      <c r="O67" s="5"/>
      <c r="P67" s="5"/>
      <c r="Q67" s="5"/>
      <c r="R67" s="5"/>
      <c r="S67" s="5"/>
      <c r="T67" s="5"/>
      <c r="U67" s="5"/>
      <c r="V67" s="5"/>
      <c r="W67" s="5"/>
      <c r="X67" s="5"/>
      <c r="Y67" s="5"/>
      <c r="Z67" s="5"/>
      <c r="AA67" s="5"/>
      <c r="AB67" s="5"/>
      <c r="AC67" s="5"/>
      <c r="AD67" s="5"/>
      <c r="AE67" s="5"/>
      <c r="AF67" s="5"/>
      <c r="AG67" s="331"/>
      <c r="AQ67" s="353"/>
      <c r="AT67" s="132"/>
    </row>
    <row r="68" spans="1:49" x14ac:dyDescent="0.35">
      <c r="M68" s="692" t="s">
        <v>2116</v>
      </c>
      <c r="N68" s="693"/>
      <c r="O68" s="698" cm="1">
        <f t="array" ref="O68">SUM($N$117:$N$135*O117:O135)</f>
        <v>96.409140000000008</v>
      </c>
      <c r="P68" s="698" cm="1">
        <f t="array" ref="P68">SUM($N$117:$N$135*P117:P135)</f>
        <v>96.563000000000002</v>
      </c>
      <c r="Q68" s="698" cm="1">
        <f t="array" ref="Q68">SUM($N$117:$N$135*Q117:Q135)</f>
        <v>96.94</v>
      </c>
      <c r="R68" s="698" cm="1">
        <f t="array" ref="R68">SUM($N$117:$N$135*R117:R135)</f>
        <v>97.295000000000002</v>
      </c>
      <c r="S68" s="698" cm="1">
        <f t="array" ref="S68">SUM($N$117:$N$135*S117:S135)</f>
        <v>96.096500000000006</v>
      </c>
      <c r="T68" s="698" cm="1">
        <f t="array" ref="T68">SUM($N$117:$N$135*T117:T135)</f>
        <v>157.76</v>
      </c>
      <c r="U68" s="698" cm="1">
        <f t="array" ref="U68">SUM($N$117:$N$135*U117:U135)</f>
        <v>176.01999999999998</v>
      </c>
      <c r="V68" s="698" cm="1">
        <f t="array" ref="V68">SUM($N$117:$N$135*V117:V135)</f>
        <v>459.26</v>
      </c>
      <c r="W68" s="698" cm="1">
        <f t="array" ref="W68">SUM($N$117:$N$135*W117:W135)</f>
        <v>72</v>
      </c>
      <c r="X68" s="58"/>
      <c r="Y68" s="58"/>
      <c r="Z68" s="58"/>
      <c r="AA68" s="58"/>
      <c r="AB68" s="58"/>
      <c r="AC68" s="58"/>
      <c r="AD68" s="58"/>
      <c r="AE68" s="58"/>
      <c r="AF68" s="58"/>
      <c r="AG68" s="343"/>
      <c r="AQ68" s="353"/>
      <c r="AT68" s="132"/>
    </row>
    <row r="69" spans="1:49" ht="15" customHeight="1" x14ac:dyDescent="0.35">
      <c r="M69" s="688" t="s">
        <v>2117</v>
      </c>
      <c r="N69" s="689"/>
      <c r="O69" s="668">
        <v>155</v>
      </c>
      <c r="P69" s="668">
        <v>161</v>
      </c>
      <c r="Q69" s="668">
        <v>180</v>
      </c>
      <c r="R69" s="668">
        <v>212</v>
      </c>
      <c r="S69" s="668">
        <v>200</v>
      </c>
      <c r="T69" s="668">
        <v>150</v>
      </c>
      <c r="U69" s="668">
        <v>108</v>
      </c>
      <c r="V69" s="668">
        <v>170</v>
      </c>
      <c r="W69" s="668">
        <v>360</v>
      </c>
      <c r="X69" s="5"/>
      <c r="Y69" s="5"/>
      <c r="Z69" s="5"/>
      <c r="AA69" s="5"/>
      <c r="AB69" s="5"/>
      <c r="AC69" s="5"/>
      <c r="AD69" s="5"/>
      <c r="AE69" s="5"/>
      <c r="AF69" s="5"/>
      <c r="AG69" s="331"/>
      <c r="AQ69" s="353"/>
      <c r="AT69" s="132"/>
    </row>
    <row r="70" spans="1:49" ht="15" customHeight="1" thickBot="1" x14ac:dyDescent="0.4">
      <c r="M70" s="699" t="s">
        <v>2118</v>
      </c>
      <c r="N70" s="700"/>
      <c r="O70" s="701">
        <f t="shared" ref="O70:V70" si="3">O117/3600*1000*96485/O68</f>
        <v>277.99634857119241</v>
      </c>
      <c r="P70" s="701">
        <f t="shared" si="3"/>
        <v>277.55339922008318</v>
      </c>
      <c r="Q70" s="701">
        <f t="shared" si="3"/>
        <v>276.47399307704654</v>
      </c>
      <c r="R70" s="701">
        <f t="shared" si="3"/>
        <v>275.46522317579411</v>
      </c>
      <c r="S70" s="701">
        <f t="shared" si="3"/>
        <v>278.90078087015542</v>
      </c>
      <c r="T70" s="701">
        <f t="shared" si="3"/>
        <v>169.88709995492451</v>
      </c>
      <c r="U70" s="701">
        <f t="shared" si="3"/>
        <v>167.48964764105094</v>
      </c>
      <c r="V70" s="701">
        <f t="shared" si="3"/>
        <v>233.43107511116921</v>
      </c>
      <c r="W70" s="701">
        <f>1/3600*1000*96485/W68</f>
        <v>372.24151234567904</v>
      </c>
      <c r="X70" s="46"/>
      <c r="Y70" s="46"/>
      <c r="Z70" s="46"/>
      <c r="AA70" s="46"/>
      <c r="AB70" s="46"/>
      <c r="AC70" s="46"/>
      <c r="AD70" s="46"/>
      <c r="AE70" s="46"/>
      <c r="AF70" s="46"/>
      <c r="AG70" s="346"/>
      <c r="AQ70" s="353"/>
      <c r="AT70" s="132"/>
    </row>
    <row r="71" spans="1:49" x14ac:dyDescent="0.35">
      <c r="M71" s="330"/>
      <c r="N71" s="5"/>
      <c r="O71" s="5"/>
      <c r="P71" s="5"/>
      <c r="Q71" s="5"/>
      <c r="R71" s="5"/>
      <c r="S71" s="5"/>
      <c r="T71" s="5"/>
      <c r="U71" s="5"/>
      <c r="V71" s="5"/>
      <c r="W71" s="5"/>
      <c r="X71" s="5"/>
      <c r="Y71" s="5"/>
      <c r="Z71" s="5"/>
      <c r="AA71" s="5"/>
      <c r="AB71" s="5"/>
      <c r="AC71" s="5"/>
      <c r="AD71" s="5"/>
      <c r="AE71" s="5"/>
      <c r="AF71" s="5"/>
      <c r="AG71" s="331"/>
      <c r="AQ71" s="353"/>
      <c r="AT71" s="180"/>
    </row>
    <row r="72" spans="1:49" ht="16" thickBot="1" x14ac:dyDescent="0.4">
      <c r="M72" s="330"/>
      <c r="N72" s="5"/>
      <c r="O72" s="5"/>
      <c r="P72" s="5"/>
      <c r="Q72" s="5"/>
      <c r="R72" s="5"/>
      <c r="S72" s="5"/>
      <c r="T72" s="5"/>
      <c r="U72" s="5"/>
      <c r="V72" s="5"/>
      <c r="W72" s="5"/>
      <c r="X72" s="5"/>
      <c r="Y72" s="5"/>
      <c r="Z72" s="5"/>
      <c r="AA72" s="5"/>
      <c r="AB72" s="5"/>
      <c r="AC72" s="5"/>
      <c r="AD72" s="5"/>
      <c r="AE72" s="5"/>
      <c r="AF72" s="5"/>
      <c r="AG72" s="331"/>
      <c r="AS72" s="353"/>
      <c r="AT72" s="132"/>
      <c r="AU72" s="21"/>
    </row>
    <row r="73" spans="1:49" ht="16" thickBot="1" x14ac:dyDescent="0.4">
      <c r="M73" s="711" t="s">
        <v>2178</v>
      </c>
      <c r="N73" s="576"/>
      <c r="O73" s="1550" t="s">
        <v>2179</v>
      </c>
      <c r="P73" s="1550"/>
      <c r="Q73" s="1550"/>
      <c r="R73" s="1550"/>
      <c r="S73" s="1550"/>
      <c r="T73" s="1550"/>
      <c r="U73" s="1550"/>
      <c r="V73" s="1550"/>
      <c r="W73" s="1550"/>
      <c r="X73" s="1550"/>
      <c r="Y73" s="1550"/>
      <c r="Z73" s="1550"/>
      <c r="AA73" s="1550"/>
      <c r="AB73" s="1550"/>
      <c r="AC73" s="1550"/>
      <c r="AD73" s="1550"/>
      <c r="AE73" s="1550"/>
      <c r="AF73" s="1550"/>
      <c r="AG73" s="1551"/>
      <c r="AQ73" s="61"/>
      <c r="AR73" s="61"/>
      <c r="AS73" s="28"/>
      <c r="AT73" s="28"/>
      <c r="AU73" s="151"/>
    </row>
    <row r="74" spans="1:49" ht="24.75" customHeight="1" thickBot="1" x14ac:dyDescent="0.4">
      <c r="A74">
        <f>MAX(A78:A197)+2</f>
        <v>27</v>
      </c>
      <c r="B74" s="1535" t="s">
        <v>2180</v>
      </c>
      <c r="C74" s="1536"/>
      <c r="D74" s="1536"/>
      <c r="E74" s="1536"/>
      <c r="F74" s="1536"/>
      <c r="G74" s="1536"/>
      <c r="H74" s="1536"/>
      <c r="I74" s="1537"/>
      <c r="M74" s="330">
        <v>0.01</v>
      </c>
      <c r="N74" s="5"/>
      <c r="O74" s="696">
        <f t="shared" ref="O74:S79" si="4">O75*1.1</f>
        <v>9.1183536053424312</v>
      </c>
      <c r="P74" s="696">
        <f t="shared" si="4"/>
        <v>8.2583326908890733</v>
      </c>
      <c r="Q74" s="696">
        <f t="shared" si="4"/>
        <v>7.5664020209378755</v>
      </c>
      <c r="R74" s="696">
        <f t="shared" si="4"/>
        <v>7.4274887691325073</v>
      </c>
      <c r="S74" s="696">
        <f t="shared" si="4"/>
        <v>7.5157796670204471</v>
      </c>
      <c r="T74" s="697">
        <v>3.91179265260166</v>
      </c>
      <c r="U74" s="697">
        <v>119.08121958442</v>
      </c>
      <c r="V74" s="697">
        <v>1.8359289430894301</v>
      </c>
      <c r="W74" s="697">
        <v>0.62007145585586299</v>
      </c>
      <c r="X74" s="5"/>
      <c r="Y74" s="5"/>
      <c r="Z74" s="5"/>
      <c r="AA74" s="5"/>
      <c r="AB74" s="5"/>
      <c r="AC74" s="5"/>
      <c r="AD74" s="5"/>
      <c r="AE74" s="5"/>
      <c r="AF74" s="5"/>
      <c r="AG74" s="331"/>
      <c r="AQ74" s="9"/>
      <c r="AR74" s="9"/>
      <c r="AS74" s="28"/>
      <c r="AT74" s="190"/>
      <c r="AU74" s="151"/>
    </row>
    <row r="75" spans="1:49" ht="18.5" thickBot="1" x14ac:dyDescent="0.45">
      <c r="A75" s="324" t="s">
        <v>119</v>
      </c>
      <c r="B75" s="361" t="s">
        <v>268</v>
      </c>
      <c r="C75" s="362" t="s">
        <v>50</v>
      </c>
      <c r="D75" s="362" t="s">
        <v>51</v>
      </c>
      <c r="E75" s="362" t="s">
        <v>52</v>
      </c>
      <c r="F75" s="362" t="s">
        <v>2181</v>
      </c>
      <c r="G75" s="362" t="s">
        <v>54</v>
      </c>
      <c r="H75" s="362" t="s">
        <v>55</v>
      </c>
      <c r="I75" s="363" t="s">
        <v>56</v>
      </c>
      <c r="M75" s="330">
        <v>2.5000000000000001E-2</v>
      </c>
      <c r="N75" s="5"/>
      <c r="O75" s="696">
        <f t="shared" si="4"/>
        <v>8.2894123684931191</v>
      </c>
      <c r="P75" s="696">
        <f t="shared" si="4"/>
        <v>7.5075751735355212</v>
      </c>
      <c r="Q75" s="696">
        <f t="shared" si="4"/>
        <v>6.8785472917617048</v>
      </c>
      <c r="R75" s="696">
        <f t="shared" si="4"/>
        <v>6.7522625173931878</v>
      </c>
      <c r="S75" s="696">
        <f t="shared" si="4"/>
        <v>6.8325269700185878</v>
      </c>
      <c r="T75" s="697">
        <v>3.6591788288970402</v>
      </c>
      <c r="U75" s="697">
        <v>67.212927735609597</v>
      </c>
      <c r="V75" s="697">
        <v>1.7443459523809499</v>
      </c>
      <c r="W75" s="697">
        <v>0.45807635424855597</v>
      </c>
      <c r="X75" s="5"/>
      <c r="Y75" s="5"/>
      <c r="Z75" s="5"/>
      <c r="AA75" s="5"/>
      <c r="AB75" s="5"/>
      <c r="AC75" s="5"/>
      <c r="AD75" s="5"/>
      <c r="AE75" s="5"/>
      <c r="AF75" s="5"/>
      <c r="AG75" s="331"/>
      <c r="AQ75" s="564"/>
      <c r="AR75" s="9"/>
      <c r="AS75" s="28"/>
      <c r="AT75" s="190"/>
      <c r="AU75" s="151"/>
    </row>
    <row r="76" spans="1:49" ht="20" x14ac:dyDescent="0.4">
      <c r="A76" s="318"/>
      <c r="B76" s="1251" t="str">
        <f>Dashboard!C188</f>
        <v>Configuration Errors</v>
      </c>
      <c r="C76" s="356" t="str">
        <f ca="1">Dashboard!D188</f>
        <v>None</v>
      </c>
      <c r="D76" s="1249" t="str">
        <f ca="1">Dashboard!E188</f>
        <v>None</v>
      </c>
      <c r="E76" s="1249" t="str">
        <f ca="1">Dashboard!F188</f>
        <v>None</v>
      </c>
      <c r="F76" s="1249" t="str">
        <f ca="1">Dashboard!G188</f>
        <v>None</v>
      </c>
      <c r="G76" s="1249" t="str">
        <f ca="1">Dashboard!H188</f>
        <v>None</v>
      </c>
      <c r="H76" s="1249" t="str">
        <f ca="1">Dashboard!I188</f>
        <v>None</v>
      </c>
      <c r="I76" s="1254" t="str">
        <f ca="1">Dashboard!J188</f>
        <v>None</v>
      </c>
      <c r="M76" s="330">
        <v>0.05</v>
      </c>
      <c r="N76" s="5"/>
      <c r="O76" s="696">
        <f t="shared" si="4"/>
        <v>7.5358294259028344</v>
      </c>
      <c r="P76" s="696">
        <f t="shared" si="4"/>
        <v>6.8250683395777463</v>
      </c>
      <c r="Q76" s="696">
        <f t="shared" si="4"/>
        <v>6.2532248106924584</v>
      </c>
      <c r="R76" s="696">
        <f t="shared" si="4"/>
        <v>6.1384204703574428</v>
      </c>
      <c r="S76" s="696">
        <f t="shared" si="4"/>
        <v>6.2113881545623517</v>
      </c>
      <c r="T76" s="697">
        <v>3.4894646635387399</v>
      </c>
      <c r="U76" s="697">
        <v>27.331614745670301</v>
      </c>
      <c r="V76" s="697">
        <v>1.6212295697074</v>
      </c>
      <c r="W76" s="697">
        <v>0.31161184768674</v>
      </c>
      <c r="X76" s="5"/>
      <c r="Y76" s="5"/>
      <c r="Z76" s="5"/>
      <c r="AA76" s="5"/>
      <c r="AB76" s="5"/>
      <c r="AC76" s="5"/>
      <c r="AD76" s="5"/>
      <c r="AE76" s="5"/>
      <c r="AF76" s="5"/>
      <c r="AG76" s="331"/>
    </row>
    <row r="77" spans="1:49" ht="20" x14ac:dyDescent="0.4">
      <c r="A77" s="318"/>
      <c r="B77" s="1252" t="str">
        <f>Dashboard!C189</f>
        <v>Configuration Warnings</v>
      </c>
      <c r="C77" s="358" t="str">
        <f ca="1">Dashboard!D189</f>
        <v>None</v>
      </c>
      <c r="D77" s="1248" t="str">
        <f ca="1">Dashboard!E189</f>
        <v>None</v>
      </c>
      <c r="E77" s="1248" t="str">
        <f ca="1">Dashboard!F189</f>
        <v>None</v>
      </c>
      <c r="F77" s="1248" t="str">
        <f ca="1">Dashboard!G189</f>
        <v>None</v>
      </c>
      <c r="G77" s="1248" t="str">
        <f ca="1">Dashboard!H189</f>
        <v>None</v>
      </c>
      <c r="H77" s="1248" t="str">
        <f ca="1">Dashboard!I189</f>
        <v>12</v>
      </c>
      <c r="I77" s="1255" t="str">
        <f ca="1">Dashboard!J189</f>
        <v>12</v>
      </c>
      <c r="M77" s="330">
        <v>7.4999999999999997E-2</v>
      </c>
      <c r="N77" s="5"/>
      <c r="O77" s="696">
        <f t="shared" si="4"/>
        <v>6.8507540235480304</v>
      </c>
      <c r="P77" s="696">
        <f t="shared" si="4"/>
        <v>6.2046075814343142</v>
      </c>
      <c r="Q77" s="696">
        <f t="shared" si="4"/>
        <v>5.6847498279022348</v>
      </c>
      <c r="R77" s="696">
        <f t="shared" si="4"/>
        <v>5.5803822457794929</v>
      </c>
      <c r="S77" s="696">
        <f t="shared" si="4"/>
        <v>5.6467165041475917</v>
      </c>
      <c r="T77" s="697">
        <v>3.4463362865991698</v>
      </c>
      <c r="U77" s="697">
        <v>12.6598575969024</v>
      </c>
      <c r="V77" s="697">
        <v>1.5652000344827499</v>
      </c>
      <c r="W77" s="697">
        <v>0.22626314621784299</v>
      </c>
      <c r="X77" s="5"/>
      <c r="Y77" s="5"/>
      <c r="Z77" s="5"/>
      <c r="AA77" s="5"/>
      <c r="AB77" s="5"/>
      <c r="AC77" s="5"/>
      <c r="AD77" s="5"/>
      <c r="AE77" s="5"/>
      <c r="AF77" s="5"/>
      <c r="AG77" s="331"/>
    </row>
    <row r="78" spans="1:49" ht="20" x14ac:dyDescent="0.4">
      <c r="A78" s="318">
        <f>IF(ISERROR( Dashboard!C190), "", Dashboard!B190)</f>
        <v>1</v>
      </c>
      <c r="B78" s="1252" t="str">
        <f>IFERROR(INDEX('Summary of Results'!$B:$B, MATCH(A78, 'Summary of Results'!$A:$A, 0)), "")</f>
        <v>Battery system total energy, kWh</v>
      </c>
      <c r="C78" s="358">
        <f ca="1">IF(OR(ISERROR($B78), $B78 = ""), "", IFERROR(INDEX('Summary of Results'!G:G, MATCH($A78, 'Summary of Results'!$A:$A, 0)), NA()))</f>
        <v>99.999999999999972</v>
      </c>
      <c r="D78" s="359">
        <f ca="1">IF(OR(ISERROR($B78), $B78 = ""), "", IFERROR(INDEX('Summary of Results'!H:H, MATCH($A78, 'Summary of Results'!$A:$A, 0)), NA()))</f>
        <v>99.999999999999972</v>
      </c>
      <c r="E78" s="359">
        <f ca="1">IF(OR(ISERROR($B78), $B78 = ""), "", IFERROR(INDEX('Summary of Results'!I:I, MATCH($A78, 'Summary of Results'!$A:$A, 0)), NA()))</f>
        <v>99.999999999999957</v>
      </c>
      <c r="F78" s="359">
        <f ca="1">IF(OR(ISERROR($B78), $B78 = ""), "", IFERROR(INDEX('Summary of Results'!J:J, MATCH($A78, 'Summary of Results'!$A:$A, 0)), NA()))</f>
        <v>99.999999999999957</v>
      </c>
      <c r="G78" s="359">
        <f ca="1">IF(OR(ISERROR($B78), $B78 = ""), "", IFERROR(INDEX('Summary of Results'!K:K, MATCH($A78, 'Summary of Results'!$A:$A, 0)), NA()))</f>
        <v>99.999999999999957</v>
      </c>
      <c r="H78" s="359">
        <f ca="1">IF(OR(ISERROR($B78), $B78 = ""), "", IFERROR(INDEX('Summary of Results'!L:L, MATCH($A78, 'Summary of Results'!$A:$A, 0)), NA()))</f>
        <v>99.999999999999957</v>
      </c>
      <c r="I78" s="360">
        <f ca="1">IF(OR(ISERROR($B78), $B78 = ""), "", IFERROR(INDEX('Summary of Results'!M:M, MATCH($A78, 'Summary of Results'!$A:$A, 0)), NA()))</f>
        <v>100.00000000000048</v>
      </c>
      <c r="M78" s="330">
        <v>0.1</v>
      </c>
      <c r="N78" s="5"/>
      <c r="O78" s="696">
        <f t="shared" si="4"/>
        <v>6.2279582032254819</v>
      </c>
      <c r="P78" s="696">
        <f t="shared" si="4"/>
        <v>5.6405523467584668</v>
      </c>
      <c r="Q78" s="696">
        <f t="shared" si="4"/>
        <v>5.1679543890020314</v>
      </c>
      <c r="R78" s="696">
        <f t="shared" si="4"/>
        <v>5.0730747688904474</v>
      </c>
      <c r="S78" s="696">
        <f>S79*1.1</f>
        <v>5.1333786401341737</v>
      </c>
      <c r="T78" s="697">
        <v>3.4357370458856198</v>
      </c>
      <c r="U78" s="697">
        <v>7.26216762069794</v>
      </c>
      <c r="V78" s="697">
        <v>1.55426520335223</v>
      </c>
      <c r="W78" s="697">
        <v>0.199404838098723</v>
      </c>
      <c r="X78" s="5"/>
      <c r="Y78" s="5"/>
      <c r="Z78" s="5"/>
      <c r="AA78" s="5"/>
      <c r="AB78" s="5"/>
      <c r="AC78" s="5"/>
      <c r="AD78" s="5"/>
      <c r="AE78" s="5"/>
      <c r="AF78" s="5"/>
      <c r="AG78" s="331"/>
      <c r="AP78" s="6" t="s">
        <v>2182</v>
      </c>
    </row>
    <row r="79" spans="1:49" ht="20" x14ac:dyDescent="0.4">
      <c r="A79" s="318">
        <f>IF(ISERROR( Dashboard!C191), "", Dashboard!B191)</f>
        <v>2</v>
      </c>
      <c r="B79" s="1252" t="str">
        <f>IFERROR(INDEX('Summary of Results'!$B:$B, MATCH(A79, 'Summary of Results'!$A:$A, 0)), "")</f>
        <v>Battery system capacity, Ah</v>
      </c>
      <c r="C79" s="358">
        <f ca="1">IF(OR(ISERROR($B79), $B79 = ""), "", IFERROR(INDEX('Summary of Results'!G:G, MATCH($A79, 'Summary of Results'!$A:$A, 0)), NA()))</f>
        <v>272.71642985239049</v>
      </c>
      <c r="D79" s="359">
        <f ca="1">IF(OR(ISERROR($B79), $B79 = ""), "", IFERROR(INDEX('Summary of Results'!H:H, MATCH($A79, 'Summary of Results'!$A:$A, 0)), NA()))</f>
        <v>272.71642985239049</v>
      </c>
      <c r="E79" s="359">
        <f ca="1">IF(OR(ISERROR($B79), $B79 = ""), "", IFERROR(INDEX('Summary of Results'!I:I, MATCH($A79, 'Summary of Results'!$A:$A, 0)), NA()))</f>
        <v>272.39111939487981</v>
      </c>
      <c r="F79" s="359">
        <f ca="1">IF(OR(ISERROR($B79), $B79 = ""), "", IFERROR(INDEX('Summary of Results'!J:J, MATCH($A79, 'Summary of Results'!$A:$A, 0)), NA()))</f>
        <v>271.99082929772283</v>
      </c>
      <c r="G79" s="359">
        <f ca="1">IF(OR(ISERROR($B79), $B79 = ""), "", IFERROR(INDEX('Summary of Results'!K:K, MATCH($A79, 'Summary of Results'!$A:$A, 0)), NA()))</f>
        <v>271.52829153100703</v>
      </c>
      <c r="H79" s="359">
        <f ca="1">IF(OR(ISERROR($B79), $B79 = ""), "", IFERROR(INDEX('Summary of Results'!L:L, MATCH($A79, 'Summary of Results'!$A:$A, 0)), NA()))</f>
        <v>270.97448699448086</v>
      </c>
      <c r="I79" s="360">
        <f ca="1">IF(OR(ISERROR($B79), $B79 = ""), "", IFERROR(INDEX('Summary of Results'!M:M, MATCH($A79, 'Summary of Results'!$A:$A, 0)), NA()))</f>
        <v>270.24418706661311</v>
      </c>
      <c r="M79" s="330">
        <v>0.125</v>
      </c>
      <c r="N79" s="5"/>
      <c r="O79" s="696">
        <f t="shared" si="4"/>
        <v>5.6617801847504374</v>
      </c>
      <c r="P79" s="696">
        <f t="shared" si="4"/>
        <v>5.1277748606895148</v>
      </c>
      <c r="Q79" s="697">
        <v>4.6981403536382098</v>
      </c>
      <c r="R79" s="697">
        <v>4.6118861535367701</v>
      </c>
      <c r="S79" s="697">
        <v>4.6667078546674299</v>
      </c>
      <c r="T79" s="697">
        <v>3.43303974774626</v>
      </c>
      <c r="U79" s="697">
        <v>5.2762054070404201</v>
      </c>
      <c r="V79" s="697">
        <v>1.5533860644154101</v>
      </c>
      <c r="W79" s="697">
        <v>0.18974335423924699</v>
      </c>
      <c r="X79" s="5"/>
      <c r="Y79" s="5"/>
      <c r="Z79" s="5"/>
      <c r="AA79" s="5"/>
      <c r="AB79" s="5"/>
      <c r="AC79" s="5"/>
      <c r="AD79" s="5"/>
      <c r="AE79" s="5"/>
      <c r="AF79" s="5"/>
      <c r="AG79" s="331"/>
      <c r="AP79" s="6"/>
      <c r="AS79" s="349" t="s">
        <v>2183</v>
      </c>
      <c r="AT79" s="1380" t="s">
        <v>2184</v>
      </c>
      <c r="AU79" s="1380" t="s">
        <v>2185</v>
      </c>
      <c r="AV79" s="1380" t="s">
        <v>2186</v>
      </c>
      <c r="AW79" s="1380" t="s">
        <v>2187</v>
      </c>
    </row>
    <row r="80" spans="1:49" ht="20" x14ac:dyDescent="0.4">
      <c r="A80" s="318">
        <f>IF(ISERROR( Dashboard!C192), "", Dashboard!B192)</f>
        <v>3</v>
      </c>
      <c r="B80" s="1252" t="str">
        <f>IFERROR(INDEX('Summary of Results'!$B:$B, MATCH(A80, 'Summary of Results'!$A:$A, 0)), "")</f>
        <v>Battery system rated power, kW</v>
      </c>
      <c r="C80" s="358">
        <f ca="1">IF(OR(ISERROR($B80), $B80 = ""), "", IFERROR(INDEX('Summary of Results'!G:G, MATCH($A80, 'Summary of Results'!$A:$A, 0)), NA()))</f>
        <v>299.99999999999977</v>
      </c>
      <c r="D80" s="359">
        <f ca="1">IF(OR(ISERROR($B80), $B80 = ""), "", IFERROR(INDEX('Summary of Results'!H:H, MATCH($A80, 'Summary of Results'!$A:$A, 0)), NA()))</f>
        <v>299.99999999999977</v>
      </c>
      <c r="E80" s="359">
        <f ca="1">IF(OR(ISERROR($B80), $B80 = ""), "", IFERROR(INDEX('Summary of Results'!I:I, MATCH($A80, 'Summary of Results'!$A:$A, 0)), NA()))</f>
        <v>300.00000000000006</v>
      </c>
      <c r="F80" s="359">
        <f ca="1">IF(OR(ISERROR($B80), $B80 = ""), "", IFERROR(INDEX('Summary of Results'!J:J, MATCH($A80, 'Summary of Results'!$A:$A, 0)), NA()))</f>
        <v>300.00000000000017</v>
      </c>
      <c r="G80" s="359">
        <f ca="1">IF(OR(ISERROR($B80), $B80 = ""), "", IFERROR(INDEX('Summary of Results'!K:K, MATCH($A80, 'Summary of Results'!$A:$A, 0)), NA()))</f>
        <v>299.99999999999983</v>
      </c>
      <c r="H80" s="359">
        <f ca="1">IF(OR(ISERROR($B80), $B80 = ""), "", IFERROR(INDEX('Summary of Results'!L:L, MATCH($A80, 'Summary of Results'!$A:$A, 0)), NA()))</f>
        <v>300.00000000000006</v>
      </c>
      <c r="I80" s="360">
        <f ca="1">IF(OR(ISERROR($B80), $B80 = ""), "", IFERROR(INDEX('Summary of Results'!M:M, MATCH($A80, 'Summary of Results'!$A:$A, 0)), NA()))</f>
        <v>299.99999999999915</v>
      </c>
      <c r="M80" s="330">
        <v>0.15</v>
      </c>
      <c r="N80" s="5"/>
      <c r="O80" s="696">
        <f>O81*1.1</f>
        <v>5.1470728952276703</v>
      </c>
      <c r="P80" s="697">
        <v>4.66161350971774</v>
      </c>
      <c r="Q80" s="697">
        <v>4.6462152056678603</v>
      </c>
      <c r="R80" s="697">
        <v>4.5026604268674397</v>
      </c>
      <c r="S80" s="697">
        <v>4.6158126654090204</v>
      </c>
      <c r="T80" s="697">
        <v>3.4323113849987701</v>
      </c>
      <c r="U80" s="697">
        <v>4.5453359736570302</v>
      </c>
      <c r="V80" s="697">
        <v>1.5525069254785899</v>
      </c>
      <c r="W80" s="697">
        <v>0.17335656379930101</v>
      </c>
      <c r="X80" s="5"/>
      <c r="Y80" s="5"/>
      <c r="Z80" s="5"/>
      <c r="AA80" s="5"/>
      <c r="AB80" s="5"/>
      <c r="AC80" s="5"/>
      <c r="AD80" s="5"/>
      <c r="AE80" s="5"/>
      <c r="AF80" s="5"/>
      <c r="AG80" s="331"/>
      <c r="AP80" s="6"/>
      <c r="AT80" s="8">
        <v>8</v>
      </c>
      <c r="AU80" s="85">
        <v>1.85</v>
      </c>
      <c r="AV80" s="8">
        <v>0.75</v>
      </c>
      <c r="AW80" s="8">
        <v>2</v>
      </c>
    </row>
    <row r="81" spans="1:52" ht="20" x14ac:dyDescent="0.4">
      <c r="A81" s="318">
        <f>IF(ISERROR( Dashboard!C193), "", Dashboard!B193)</f>
        <v>4</v>
      </c>
      <c r="B81" s="1252" t="str">
        <f>IFERROR(INDEX('Summary of Results'!$B:$B, MATCH(A81, 'Summary of Results'!$A:$A, 0)), "")</f>
        <v>Battery system nominal operating voltage, V</v>
      </c>
      <c r="C81" s="358">
        <f ca="1">IF(OR(ISERROR($B81), $B81 = ""), "", IFERROR(INDEX('Summary of Results'!G:G, MATCH($A81, 'Summary of Results'!$A:$A, 0)), NA()))</f>
        <v>366.68124488915322</v>
      </c>
      <c r="D81" s="359">
        <f ca="1">IF(OR(ISERROR($B81), $B81 = ""), "", IFERROR(INDEX('Summary of Results'!H:H, MATCH($A81, 'Summary of Results'!$A:$A, 0)), NA()))</f>
        <v>366.68124488915322</v>
      </c>
      <c r="E81" s="359">
        <f ca="1">IF(OR(ISERROR($B81), $B81 = ""), "", IFERROR(INDEX('Summary of Results'!I:I, MATCH($A81, 'Summary of Results'!$A:$A, 0)), NA()))</f>
        <v>367.11916387785027</v>
      </c>
      <c r="F81" s="359">
        <f ca="1">IF(OR(ISERROR($B81), $B81 = ""), "", IFERROR(INDEX('Summary of Results'!J:J, MATCH($A81, 'Summary of Results'!$A:$A, 0)), NA()))</f>
        <v>367.65945476249624</v>
      </c>
      <c r="G81" s="359">
        <f ca="1">IF(OR(ISERROR($B81), $B81 = ""), "", IFERROR(INDEX('Summary of Results'!K:K, MATCH($A81, 'Summary of Results'!$A:$A, 0)), NA()))</f>
        <v>368.28574818539863</v>
      </c>
      <c r="H81" s="359">
        <f ca="1">IF(OR(ISERROR($B81), $B81 = ""), "", IFERROR(INDEX('Summary of Results'!L:L, MATCH($A81, 'Summary of Results'!$A:$A, 0)), NA()))</f>
        <v>369.03843276594796</v>
      </c>
      <c r="I81" s="360">
        <f ca="1">IF(OR(ISERROR($B81), $B81 = ""), "", IFERROR(INDEX('Summary of Results'!M:M, MATCH($A81, 'Summary of Results'!$A:$A, 0)), NA()))</f>
        <v>370.03571135223439</v>
      </c>
      <c r="M81" s="330">
        <v>0.17499999999999999</v>
      </c>
      <c r="N81" s="5"/>
      <c r="O81" s="697">
        <v>4.6791571774797003</v>
      </c>
      <c r="P81" s="697">
        <v>4.6137845109943196</v>
      </c>
      <c r="Q81" s="697">
        <v>4.5854716779047502</v>
      </c>
      <c r="R81" s="697">
        <v>4.40435810840592</v>
      </c>
      <c r="S81" s="697">
        <v>4.5377590905409697</v>
      </c>
      <c r="T81" s="697">
        <v>3.4321006537473302</v>
      </c>
      <c r="U81" s="697">
        <v>4.2761766915738404</v>
      </c>
      <c r="V81" s="697">
        <v>1.55162778654177</v>
      </c>
      <c r="W81" s="697">
        <v>0.15775982220592499</v>
      </c>
      <c r="X81" s="5"/>
      <c r="Y81" s="5"/>
      <c r="Z81" s="5"/>
      <c r="AA81" s="5"/>
      <c r="AB81" s="5"/>
      <c r="AC81" s="5"/>
      <c r="AD81" s="5"/>
      <c r="AE81" s="5"/>
      <c r="AF81" s="5"/>
      <c r="AG81" s="331"/>
      <c r="AS81" s="32"/>
      <c r="AT81" s="1380" t="s">
        <v>1032</v>
      </c>
      <c r="AU81" s="1380" t="s">
        <v>1033</v>
      </c>
      <c r="AV81" s="1495" t="s">
        <v>2188</v>
      </c>
      <c r="AW81" s="1495"/>
      <c r="AX81" s="1380" t="s">
        <v>1033</v>
      </c>
      <c r="AY81" s="32"/>
    </row>
    <row r="82" spans="1:52" ht="20" x14ac:dyDescent="0.4">
      <c r="A82" s="318">
        <f>IF(ISERROR( Dashboard!C194), "", Dashboard!B194)</f>
        <v>5</v>
      </c>
      <c r="B82" s="1252" t="str">
        <f>IFERROR(INDEX('Summary of Results'!$B:$B, MATCH(A82, 'Summary of Results'!$A:$A, 0)), "")</f>
        <v>Pack power to energy ratio (with respect to rated power)</v>
      </c>
      <c r="C82" s="358">
        <f ca="1">IF(OR(ISERROR($B82), $B82 = ""), "", IFERROR(INDEX('Summary of Results'!G:G, MATCH($A82, 'Summary of Results'!$A:$A, 0)), NA()))</f>
        <v>2.9999999999999987</v>
      </c>
      <c r="D82" s="359">
        <f ca="1">IF(OR(ISERROR($B82), $B82 = ""), "", IFERROR(INDEX('Summary of Results'!H:H, MATCH($A82, 'Summary of Results'!$A:$A, 0)), NA()))</f>
        <v>2.9999999999999987</v>
      </c>
      <c r="E82" s="359">
        <f ca="1">IF(OR(ISERROR($B82), $B82 = ""), "", IFERROR(INDEX('Summary of Results'!I:I, MATCH($A82, 'Summary of Results'!$A:$A, 0)), NA()))</f>
        <v>3.0000000000000018</v>
      </c>
      <c r="F82" s="359">
        <f ca="1">IF(OR(ISERROR($B82), $B82 = ""), "", IFERROR(INDEX('Summary of Results'!J:J, MATCH($A82, 'Summary of Results'!$A:$A, 0)), NA()))</f>
        <v>3.0000000000000031</v>
      </c>
      <c r="G82" s="359">
        <f ca="1">IF(OR(ISERROR($B82), $B82 = ""), "", IFERROR(INDEX('Summary of Results'!K:K, MATCH($A82, 'Summary of Results'!$A:$A, 0)), NA()))</f>
        <v>2.9999999999999996</v>
      </c>
      <c r="H82" s="359">
        <f ca="1">IF(OR(ISERROR($B82), $B82 = ""), "", IFERROR(INDEX('Summary of Results'!L:L, MATCH($A82, 'Summary of Results'!$A:$A, 0)), NA()))</f>
        <v>3.0000000000000018</v>
      </c>
      <c r="I82" s="360">
        <f ca="1">IF(OR(ISERROR($B82), $B82 = ""), "", IFERROR(INDEX('Summary of Results'!M:M, MATCH($A82, 'Summary of Results'!$A:$A, 0)), NA()))</f>
        <v>2.9999999999999769</v>
      </c>
      <c r="M82" s="330">
        <v>0.2</v>
      </c>
      <c r="N82" s="5"/>
      <c r="O82" s="697">
        <v>4.6358384677685303</v>
      </c>
      <c r="P82" s="697">
        <v>4.5635642210155201</v>
      </c>
      <c r="Q82" s="697">
        <v>4.5291832567477899</v>
      </c>
      <c r="R82" s="697">
        <v>4.3083796444922502</v>
      </c>
      <c r="S82" s="697">
        <v>4.4414017630860796</v>
      </c>
      <c r="T82" s="697">
        <v>3.4320351132067</v>
      </c>
      <c r="U82" s="697">
        <v>4.1768572753239299</v>
      </c>
      <c r="V82" s="697">
        <v>1.5507486476049599</v>
      </c>
      <c r="W82" s="697">
        <v>0.143342591766663</v>
      </c>
      <c r="X82" s="5"/>
      <c r="Y82" s="5"/>
      <c r="Z82" s="5"/>
      <c r="AA82" s="5"/>
      <c r="AB82" s="5"/>
      <c r="AC82" s="5"/>
      <c r="AD82" s="5"/>
      <c r="AE82" s="5"/>
      <c r="AF82" s="5"/>
      <c r="AG82" s="331"/>
      <c r="AP82" s="130" t="s">
        <v>250</v>
      </c>
      <c r="AS82" s="1380"/>
      <c r="AT82" s="1380" t="s">
        <v>1034</v>
      </c>
      <c r="AU82" s="1380" t="s">
        <v>1048</v>
      </c>
      <c r="AV82" s="1380" t="s">
        <v>2189</v>
      </c>
      <c r="AW82" s="1380" t="s">
        <v>2190</v>
      </c>
      <c r="AX82" s="1380" t="s">
        <v>2191</v>
      </c>
      <c r="AY82" s="1384"/>
      <c r="AZ82" s="174" t="s">
        <v>2192</v>
      </c>
    </row>
    <row r="83" spans="1:52" ht="20" x14ac:dyDescent="0.4">
      <c r="A83" s="318">
        <f>IF(ISERROR( Dashboard!C195), "", Dashboard!B195)</f>
        <v>6</v>
      </c>
      <c r="B83" s="1252" t="str">
        <f>IFERROR(INDEX('Summary of Results'!$B:$B, MATCH(A83, 'Summary of Results'!$A:$A, 0)), "")</f>
        <v>Pack energy density, Wh/L</v>
      </c>
      <c r="C83" s="358">
        <f ca="1">IF(OR(ISERROR($B83), $B83 = ""), "", IFERROR(INDEX('Summary of Results'!G:G, MATCH($A83, 'Summary of Results'!$A:$A, 0)), NA()))</f>
        <v>339.91462942034417</v>
      </c>
      <c r="D83" s="359">
        <f ca="1">IF(OR(ISERROR($B83), $B83 = ""), "", IFERROR(INDEX('Summary of Results'!H:H, MATCH($A83, 'Summary of Results'!$A:$A, 0)), NA()))</f>
        <v>339.91462942034417</v>
      </c>
      <c r="E83" s="359">
        <f ca="1">IF(OR(ISERROR($B83), $B83 = ""), "", IFERROR(INDEX('Summary of Results'!I:I, MATCH($A83, 'Summary of Results'!$A:$A, 0)), NA()))</f>
        <v>338.58177032674911</v>
      </c>
      <c r="F83" s="359">
        <f ca="1">IF(OR(ISERROR($B83), $B83 = ""), "", IFERROR(INDEX('Summary of Results'!J:J, MATCH($A83, 'Summary of Results'!$A:$A, 0)), NA()))</f>
        <v>334.7970678746326</v>
      </c>
      <c r="G83" s="359">
        <f ca="1">IF(OR(ISERROR($B83), $B83 = ""), "", IFERROR(INDEX('Summary of Results'!K:K, MATCH($A83, 'Summary of Results'!$A:$A, 0)), NA()))</f>
        <v>331.61262350343435</v>
      </c>
      <c r="H83" s="359">
        <f ca="1">IF(OR(ISERROR($B83), $B83 = ""), "", IFERROR(INDEX('Summary of Results'!L:L, MATCH($A83, 'Summary of Results'!$A:$A, 0)), NA()))</f>
        <v>321.70903028628567</v>
      </c>
      <c r="I83" s="360">
        <f ca="1">IF(OR(ISERROR($B83), $B83 = ""), "", IFERROR(INDEX('Summary of Results'!M:M, MATCH($A83, 'Summary of Results'!$A:$A, 0)), NA()))</f>
        <v>294.53402236377542</v>
      </c>
      <c r="M83" s="330">
        <v>0.22500000000000001</v>
      </c>
      <c r="N83" s="5"/>
      <c r="O83" s="697">
        <v>4.58742786659319</v>
      </c>
      <c r="P83" s="697">
        <v>4.5055912777351796</v>
      </c>
      <c r="Q83" s="697">
        <v>4.4672352916678504</v>
      </c>
      <c r="R83" s="697">
        <v>4.2593893545193504</v>
      </c>
      <c r="S83" s="697">
        <v>4.3435762828042304</v>
      </c>
      <c r="T83" s="697">
        <v>3.4320131971422501</v>
      </c>
      <c r="U83" s="697">
        <v>4.1400032571995702</v>
      </c>
      <c r="V83" s="697">
        <v>1.5500232001086001</v>
      </c>
      <c r="W83" s="697">
        <v>0.131481697129119</v>
      </c>
      <c r="X83" s="5"/>
      <c r="Y83" s="5"/>
      <c r="Z83" s="5"/>
      <c r="AA83" s="5"/>
      <c r="AB83" s="5"/>
      <c r="AC83" s="5"/>
      <c r="AD83" s="5"/>
      <c r="AE83" s="5"/>
      <c r="AF83" s="5"/>
      <c r="AG83" s="331"/>
      <c r="AP83" s="90" t="s">
        <v>2193</v>
      </c>
      <c r="AR83" s="45"/>
      <c r="AS83" s="44"/>
      <c r="AT83" s="42">
        <f>AV83*AW83</f>
        <v>2.4050000000000002</v>
      </c>
      <c r="AU83" s="42">
        <f>AX83</f>
        <v>0.08</v>
      </c>
      <c r="AV83" s="42">
        <f>AU80</f>
        <v>1.85</v>
      </c>
      <c r="AW83" s="42">
        <v>1.3</v>
      </c>
      <c r="AX83" s="42">
        <v>0.08</v>
      </c>
      <c r="AZ83" s="39">
        <f ca="1">AT83*'Battery Design'!G68/1000+AU83</f>
        <v>9.3827594984197668E-2</v>
      </c>
    </row>
    <row r="84" spans="1:52" ht="20" x14ac:dyDescent="0.4">
      <c r="A84" s="318">
        <f>IF(ISERROR( Dashboard!C196), "", Dashboard!B196)</f>
        <v>7</v>
      </c>
      <c r="B84" s="1252" t="str">
        <f>IFERROR(INDEX('Summary of Results'!$B:$B, MATCH(A84, 'Summary of Results'!$A:$A, 0)), "")</f>
        <v>Pack specific energy, Wh/kg</v>
      </c>
      <c r="C84" s="358">
        <f ca="1">IF(OR(ISERROR($B84), $B84 = ""), "", IFERROR(INDEX('Summary of Results'!G:G, MATCH($A84, 'Summary of Results'!$A:$A, 0)), NA()))</f>
        <v>204.61347098052843</v>
      </c>
      <c r="D84" s="359">
        <f ca="1">IF(OR(ISERROR($B84), $B84 = ""), "", IFERROR(INDEX('Summary of Results'!H:H, MATCH($A84, 'Summary of Results'!$A:$A, 0)), NA()))</f>
        <v>204.61347098052843</v>
      </c>
      <c r="E84" s="359">
        <f ca="1">IF(OR(ISERROR($B84), $B84 = ""), "", IFERROR(INDEX('Summary of Results'!I:I, MATCH($A84, 'Summary of Results'!$A:$A, 0)), NA()))</f>
        <v>203.22740404943275</v>
      </c>
      <c r="F84" s="359">
        <f ca="1">IF(OR(ISERROR($B84), $B84 = ""), "", IFERROR(INDEX('Summary of Results'!J:J, MATCH($A84, 'Summary of Results'!$A:$A, 0)), NA()))</f>
        <v>200.57941986185665</v>
      </c>
      <c r="G84" s="359">
        <f ca="1">IF(OR(ISERROR($B84), $B84 = ""), "", IFERROR(INDEX('Summary of Results'!K:K, MATCH($A84, 'Summary of Results'!$A:$A, 0)), NA()))</f>
        <v>197.13725335146768</v>
      </c>
      <c r="H84" s="359">
        <f ca="1">IF(OR(ISERROR($B84), $B84 = ""), "", IFERROR(INDEX('Summary of Results'!L:L, MATCH($A84, 'Summary of Results'!$A:$A, 0)), NA()))</f>
        <v>189.57969948932683</v>
      </c>
      <c r="I84" s="360">
        <f ca="1">IF(OR(ISERROR($B84), $B84 = ""), "", IFERROR(INDEX('Summary of Results'!M:M, MATCH($A84, 'Summary of Results'!$A:$A, 0)), NA()))</f>
        <v>168.38712179595259</v>
      </c>
      <c r="M84" s="330">
        <v>0.25</v>
      </c>
      <c r="N84" s="5"/>
      <c r="O84" s="697">
        <v>4.5463537554432101</v>
      </c>
      <c r="P84" s="697">
        <v>4.4399523493019002</v>
      </c>
      <c r="Q84" s="697">
        <v>4.3975833527624797</v>
      </c>
      <c r="R84" s="697">
        <v>4.2239771660332197</v>
      </c>
      <c r="S84" s="697">
        <v>4.2365990735494599</v>
      </c>
      <c r="T84" s="697">
        <v>3.4320053299307598</v>
      </c>
      <c r="U84" s="697">
        <v>4.1261119451348502</v>
      </c>
      <c r="V84" s="697">
        <v>1.5494991707846799</v>
      </c>
      <c r="W84" s="697">
        <v>0.12300850697175</v>
      </c>
      <c r="X84" s="5"/>
      <c r="Y84" s="5"/>
      <c r="Z84" s="5"/>
      <c r="AA84" s="5"/>
      <c r="AB84" s="5"/>
      <c r="AC84" s="5"/>
      <c r="AD84" s="5"/>
      <c r="AE84" s="5"/>
      <c r="AF84" s="5"/>
      <c r="AG84" s="331"/>
      <c r="AP84" s="90" t="s">
        <v>2194</v>
      </c>
      <c r="AR84" s="45"/>
      <c r="AS84" s="44"/>
      <c r="AT84" s="42">
        <f>AV84*AW84</f>
        <v>8.64</v>
      </c>
      <c r="AU84" s="42">
        <f>AX84</f>
        <v>0.08</v>
      </c>
      <c r="AV84" s="42">
        <f>AT80</f>
        <v>8</v>
      </c>
      <c r="AW84" s="42">
        <v>1.08</v>
      </c>
      <c r="AX84" s="42">
        <v>0.08</v>
      </c>
      <c r="AZ84" s="39">
        <f ca="1">AT84*'Battery Design'!G69/1000+AU84</f>
        <v>0.18990015339900645</v>
      </c>
    </row>
    <row r="85" spans="1:52" ht="20" x14ac:dyDescent="0.4">
      <c r="A85" s="318">
        <f>IF(ISERROR( Dashboard!C197), "", Dashboard!B197)</f>
        <v>8</v>
      </c>
      <c r="B85" s="1252" t="str">
        <f>IFERROR(INDEX('Summary of Results'!$B:$B, MATCH(A85, 'Summary of Results'!$A:$A, 0)), "")</f>
        <v>Number of modules per pack</v>
      </c>
      <c r="C85" s="358">
        <f>IF(OR(ISERROR($B85), $B85 = ""), "", IFERROR(INDEX('Summary of Results'!G:G, MATCH($A85, 'Summary of Results'!$A:$A, 0)), NA()))</f>
        <v>20</v>
      </c>
      <c r="D85" s="359">
        <f>IF(OR(ISERROR($B85), $B85 = ""), "", IFERROR(INDEX('Summary of Results'!H:H, MATCH($A85, 'Summary of Results'!$A:$A, 0)), NA()))</f>
        <v>20</v>
      </c>
      <c r="E85" s="359">
        <f>IF(OR(ISERROR($B85), $B85 = ""), "", IFERROR(INDEX('Summary of Results'!I:I, MATCH($A85, 'Summary of Results'!$A:$A, 0)), NA()))</f>
        <v>20</v>
      </c>
      <c r="F85" s="359">
        <f>IF(OR(ISERROR($B85), $B85 = ""), "", IFERROR(INDEX('Summary of Results'!J:J, MATCH($A85, 'Summary of Results'!$A:$A, 0)), NA()))</f>
        <v>20</v>
      </c>
      <c r="G85" s="359">
        <f>IF(OR(ISERROR($B85), $B85 = ""), "", IFERROR(INDEX('Summary of Results'!K:K, MATCH($A85, 'Summary of Results'!$A:$A, 0)), NA()))</f>
        <v>20</v>
      </c>
      <c r="H85" s="359">
        <f>IF(OR(ISERROR($B85), $B85 = ""), "", IFERROR(INDEX('Summary of Results'!L:L, MATCH($A85, 'Summary of Results'!$A:$A, 0)), NA()))</f>
        <v>20</v>
      </c>
      <c r="I85" s="360">
        <f>IF(OR(ISERROR($B85), $B85 = ""), "", IFERROR(INDEX('Summary of Results'!M:M, MATCH($A85, 'Summary of Results'!$A:$A, 0)), NA()))</f>
        <v>20</v>
      </c>
      <c r="M85" s="330">
        <v>0.27500000000000002</v>
      </c>
      <c r="N85" s="5"/>
      <c r="O85" s="697">
        <v>4.5022183616178397</v>
      </c>
      <c r="P85" s="697">
        <v>4.3816038605305003</v>
      </c>
      <c r="Q85" s="697">
        <v>4.3467171315930297</v>
      </c>
      <c r="R85" s="697">
        <v>4.2029714854618803</v>
      </c>
      <c r="S85" s="697">
        <v>4.2094357844247998</v>
      </c>
      <c r="T85" s="697">
        <v>3.43200230580302</v>
      </c>
      <c r="U85" s="697">
        <v>4.1206484764836899</v>
      </c>
      <c r="V85" s="697">
        <v>1.54897514146076</v>
      </c>
      <c r="W85" s="697">
        <v>0.11756017908953401</v>
      </c>
      <c r="X85" s="5"/>
      <c r="Y85" s="5"/>
      <c r="Z85" s="5"/>
      <c r="AA85" s="5"/>
      <c r="AB85" s="5"/>
      <c r="AC85" s="5"/>
      <c r="AD85" s="5"/>
      <c r="AE85" s="5"/>
      <c r="AF85" s="5"/>
      <c r="AG85" s="331"/>
      <c r="AP85" s="90" t="s">
        <v>2195</v>
      </c>
      <c r="AR85" s="45"/>
      <c r="AS85" s="44"/>
      <c r="AT85" s="42">
        <f>AV85*AW85</f>
        <v>3</v>
      </c>
      <c r="AU85" s="42">
        <f>AX85</f>
        <v>0.2</v>
      </c>
      <c r="AV85" s="42">
        <v>3</v>
      </c>
      <c r="AW85" s="42">
        <v>1</v>
      </c>
      <c r="AX85" s="42">
        <v>0.2</v>
      </c>
      <c r="AZ85" s="39">
        <f ca="1">AT85*'Battery Design'!G76/1000+AU85</f>
        <v>0.2491896960155317</v>
      </c>
    </row>
    <row r="86" spans="1:52" ht="20" x14ac:dyDescent="0.4">
      <c r="A86" s="318">
        <f>IF(ISERROR( Dashboard!C198), "", Dashboard!B198)</f>
        <v>9</v>
      </c>
      <c r="B86" s="1252" t="str">
        <f>IFERROR(INDEX('Summary of Results'!$B:$B, MATCH(A86, 'Summary of Results'!$A:$A, 0)), "")</f>
        <v>Number of cells per pack</v>
      </c>
      <c r="C86" s="358">
        <f>IF(OR(ISERROR($B86), $B86 = ""), "", IFERROR(INDEX('Summary of Results'!G:G, MATCH($A86, 'Summary of Results'!$A:$A, 0)), NA()))</f>
        <v>400</v>
      </c>
      <c r="D86" s="359">
        <f>IF(OR(ISERROR($B86), $B86 = ""), "", IFERROR(INDEX('Summary of Results'!H:H, MATCH($A86, 'Summary of Results'!$A:$A, 0)), NA()))</f>
        <v>400</v>
      </c>
      <c r="E86" s="359">
        <f>IF(OR(ISERROR($B86), $B86 = ""), "", IFERROR(INDEX('Summary of Results'!I:I, MATCH($A86, 'Summary of Results'!$A:$A, 0)), NA()))</f>
        <v>400</v>
      </c>
      <c r="F86" s="359">
        <f>IF(OR(ISERROR($B86), $B86 = ""), "", IFERROR(INDEX('Summary of Results'!J:J, MATCH($A86, 'Summary of Results'!$A:$A, 0)), NA()))</f>
        <v>400</v>
      </c>
      <c r="G86" s="359">
        <f>IF(OR(ISERROR($B86), $B86 = ""), "", IFERROR(INDEX('Summary of Results'!K:K, MATCH($A86, 'Summary of Results'!$A:$A, 0)), NA()))</f>
        <v>400</v>
      </c>
      <c r="H86" s="359">
        <f>IF(OR(ISERROR($B86), $B86 = ""), "", IFERROR(INDEX('Summary of Results'!L:L, MATCH($A86, 'Summary of Results'!$A:$A, 0)), NA()))</f>
        <v>400</v>
      </c>
      <c r="I86" s="360">
        <f>IF(OR(ISERROR($B86), $B86 = ""), "", IFERROR(INDEX('Summary of Results'!M:M, MATCH($A86, 'Summary of Results'!$A:$A, 0)), NA()))</f>
        <v>400</v>
      </c>
      <c r="M86" s="330">
        <v>0.3</v>
      </c>
      <c r="N86" s="5"/>
      <c r="O86" s="697">
        <v>4.4537091477776496</v>
      </c>
      <c r="P86" s="697">
        <v>4.3280313791911498</v>
      </c>
      <c r="Q86" s="697">
        <v>4.29036805909963</v>
      </c>
      <c r="R86" s="697">
        <v>4.1829968642194801</v>
      </c>
      <c r="S86" s="697">
        <v>4.1673243456035598</v>
      </c>
      <c r="T86" s="697">
        <v>3.4320010647982802</v>
      </c>
      <c r="U86" s="697">
        <v>4.1182616111875898</v>
      </c>
      <c r="V86" s="697">
        <v>1.5484511121368401</v>
      </c>
      <c r="W86" s="697">
        <v>0.11424554563460899</v>
      </c>
      <c r="X86" s="5"/>
      <c r="Y86" s="5"/>
      <c r="Z86" s="5"/>
      <c r="AA86" s="5"/>
      <c r="AB86" s="5"/>
      <c r="AC86" s="5"/>
      <c r="AD86" s="5"/>
      <c r="AE86" s="5"/>
      <c r="AF86" s="5"/>
      <c r="AG86" s="331"/>
      <c r="AP86" s="90" t="s">
        <v>2196</v>
      </c>
      <c r="AR86" s="45"/>
      <c r="AS86" s="44"/>
      <c r="AT86" s="42">
        <f>AV86*AW86</f>
        <v>2.4050000000000002</v>
      </c>
      <c r="AU86" s="42">
        <f>AX86</f>
        <v>0.15</v>
      </c>
      <c r="AV86" s="42">
        <f>AU80</f>
        <v>1.85</v>
      </c>
      <c r="AW86" s="42">
        <v>1.3</v>
      </c>
      <c r="AX86" s="42">
        <v>0.15</v>
      </c>
      <c r="AZ86" s="39">
        <f ca="1">AT86*'Battery Design'!G335/1000/'Battery Design'!G25+AU86</f>
        <v>0.21115281266799019</v>
      </c>
    </row>
    <row r="87" spans="1:52" ht="20" x14ac:dyDescent="0.4">
      <c r="A87" s="318">
        <f>IF(ISERROR( Dashboard!C199), "", Dashboard!B199)</f>
        <v>10</v>
      </c>
      <c r="B87" s="1252" t="str">
        <f>IFERROR(INDEX('Summary of Results'!$B:$B, MATCH(A87, 'Summary of Results'!$A:$A, 0)), "")</f>
        <v>Pack volume, L</v>
      </c>
      <c r="C87" s="358">
        <f ca="1">IF(OR(ISERROR($B87), $B87 = ""), "", IFERROR(INDEX('Summary of Results'!G:G, MATCH($A87, 'Summary of Results'!$A:$A, 0)), NA()))</f>
        <v>294.19151558886949</v>
      </c>
      <c r="D87" s="359">
        <f ca="1">IF(OR(ISERROR($B87), $B87 = ""), "", IFERROR(INDEX('Summary of Results'!H:H, MATCH($A87, 'Summary of Results'!$A:$A, 0)), NA()))</f>
        <v>294.19151558886949</v>
      </c>
      <c r="E87" s="359">
        <f ca="1">IF(OR(ISERROR($B87), $B87 = ""), "", IFERROR(INDEX('Summary of Results'!I:I, MATCH($A87, 'Summary of Results'!$A:$A, 0)), NA()))</f>
        <v>295.34962825522098</v>
      </c>
      <c r="F87" s="359">
        <f ca="1">IF(OR(ISERROR($B87), $B87 = ""), "", IFERROR(INDEX('Summary of Results'!J:J, MATCH($A87, 'Summary of Results'!$A:$A, 0)), NA()))</f>
        <v>298.68839842243108</v>
      </c>
      <c r="G87" s="359">
        <f ca="1">IF(OR(ISERROR($B87), $B87 = ""), "", IFERROR(INDEX('Summary of Results'!K:K, MATCH($A87, 'Summary of Results'!$A:$A, 0)), NA()))</f>
        <v>301.55667460278181</v>
      </c>
      <c r="H87" s="359">
        <f ca="1">IF(OR(ISERROR($B87), $B87 = ""), "", IFERROR(INDEX('Summary of Results'!L:L, MATCH($A87, 'Summary of Results'!$A:$A, 0)), NA()))</f>
        <v>310.83989128626871</v>
      </c>
      <c r="I87" s="360">
        <f ca="1">IF(OR(ISERROR($B87), $B87 = ""), "", IFERROR(INDEX('Summary of Results'!M:M, MATCH($A87, 'Summary of Results'!$A:$A, 0)), NA()))</f>
        <v>339.51935059132722</v>
      </c>
      <c r="M87" s="330">
        <v>0.32500000000000001</v>
      </c>
      <c r="N87" s="5"/>
      <c r="O87" s="697">
        <v>4.4079748305717903</v>
      </c>
      <c r="P87" s="697">
        <v>4.2761939185689899</v>
      </c>
      <c r="Q87" s="697">
        <v>4.2414154513826103</v>
      </c>
      <c r="R87" s="697">
        <v>4.1518569621781802</v>
      </c>
      <c r="S87" s="697">
        <v>4.1274039208640998</v>
      </c>
      <c r="T87" s="697">
        <v>3.4320005229515802</v>
      </c>
      <c r="U87" s="697">
        <v>4.1169755611760204</v>
      </c>
      <c r="V87" s="697">
        <v>1.5479270828129199</v>
      </c>
      <c r="W87" s="697">
        <v>0.112243225014154</v>
      </c>
      <c r="X87" s="5"/>
      <c r="Y87" s="5"/>
      <c r="Z87" s="5"/>
      <c r="AA87" s="5"/>
      <c r="AB87" s="5"/>
      <c r="AC87" s="5"/>
      <c r="AD87" s="5"/>
      <c r="AE87" s="5"/>
      <c r="AF87" s="5"/>
      <c r="AG87" s="331"/>
      <c r="AP87" s="90" t="s">
        <v>2197</v>
      </c>
      <c r="AR87" s="45"/>
      <c r="AS87" s="44"/>
      <c r="AT87" s="44"/>
      <c r="AU87" s="150">
        <v>0.85</v>
      </c>
      <c r="AV87" s="44"/>
      <c r="AW87" s="44"/>
      <c r="AX87" s="44"/>
      <c r="AZ87" s="39"/>
    </row>
    <row r="88" spans="1:52" ht="20" x14ac:dyDescent="0.4">
      <c r="A88" s="318">
        <f>IF(ISERROR( Dashboard!C200), "", Dashboard!B200)</f>
        <v>11</v>
      </c>
      <c r="B88" s="1252" t="str">
        <f>IFERROR(INDEX('Summary of Results'!$B:$B, MATCH(A88, 'Summary of Results'!$A:$A, 0)), "")</f>
        <v>Pack total mass, kg</v>
      </c>
      <c r="C88" s="358">
        <f ca="1">IF(OR(ISERROR($B88), $B88 = ""), "", IFERROR(INDEX('Summary of Results'!G:G, MATCH($A88, 'Summary of Results'!$A:$A, 0)), NA()))</f>
        <v>488.72637525178504</v>
      </c>
      <c r="D88" s="359">
        <f ca="1">IF(OR(ISERROR($B88), $B88 = ""), "", IFERROR(INDEX('Summary of Results'!H:H, MATCH($A88, 'Summary of Results'!$A:$A, 0)), NA()))</f>
        <v>488.72637525178504</v>
      </c>
      <c r="E88" s="359">
        <f ca="1">IF(OR(ISERROR($B88), $B88 = ""), "", IFERROR(INDEX('Summary of Results'!I:I, MATCH($A88, 'Summary of Results'!$A:$A, 0)), NA()))</f>
        <v>492.05962388653103</v>
      </c>
      <c r="F88" s="359">
        <f ca="1">IF(OR(ISERROR($B88), $B88 = ""), "", IFERROR(INDEX('Summary of Results'!J:J, MATCH($A88, 'Summary of Results'!$A:$A, 0)), NA()))</f>
        <v>498.55563481473871</v>
      </c>
      <c r="G88" s="359">
        <f ca="1">IF(OR(ISERROR($B88), $B88 = ""), "", IFERROR(INDEX('Summary of Results'!K:K, MATCH($A88, 'Summary of Results'!$A:$A, 0)), NA()))</f>
        <v>507.26079571431472</v>
      </c>
      <c r="H88" s="359">
        <f ca="1">IF(OR(ISERROR($B88), $B88 = ""), "", IFERROR(INDEX('Summary of Results'!L:L, MATCH($A88, 'Summary of Results'!$A:$A, 0)), NA()))</f>
        <v>527.48263801119629</v>
      </c>
      <c r="I88" s="360">
        <f ca="1">IF(OR(ISERROR($B88), $B88 = ""), "", IFERROR(INDEX('Summary of Results'!M:M, MATCH($A88, 'Summary of Results'!$A:$A, 0)), NA()))</f>
        <v>593.86964355372754</v>
      </c>
      <c r="M88" s="330">
        <v>0.35</v>
      </c>
      <c r="N88" s="5"/>
      <c r="O88" s="697">
        <v>4.3548768871242398</v>
      </c>
      <c r="P88" s="697">
        <v>4.23015266258379</v>
      </c>
      <c r="Q88" s="697">
        <v>4.2007075979161401</v>
      </c>
      <c r="R88" s="697">
        <v>4.1105831504944597</v>
      </c>
      <c r="S88" s="697">
        <v>4.0961924443763698</v>
      </c>
      <c r="T88" s="697">
        <v>3.4320002721246698</v>
      </c>
      <c r="U88" s="697">
        <v>4.11605023947926</v>
      </c>
      <c r="V88" s="697">
        <v>1.547403053489</v>
      </c>
      <c r="W88" s="697">
        <v>0.11098219892474</v>
      </c>
      <c r="X88" s="5"/>
      <c r="Y88" s="5"/>
      <c r="Z88" s="5"/>
      <c r="AA88" s="5"/>
      <c r="AB88" s="5"/>
      <c r="AC88" s="5"/>
      <c r="AD88" s="5"/>
      <c r="AE88" s="5"/>
      <c r="AF88" s="5"/>
      <c r="AG88" s="331"/>
      <c r="AT88" s="1380" t="s">
        <v>1032</v>
      </c>
      <c r="AU88" s="1380" t="s">
        <v>1044</v>
      </c>
      <c r="AW88" s="1380" t="s">
        <v>1032</v>
      </c>
      <c r="AX88" s="1380" t="s">
        <v>1044</v>
      </c>
      <c r="AZ88" s="39"/>
    </row>
    <row r="89" spans="1:52" ht="20" x14ac:dyDescent="0.4">
      <c r="A89" s="318">
        <f>IF(ISERROR( Dashboard!C201), "", Dashboard!B201)</f>
        <v>12</v>
      </c>
      <c r="B89" s="1252" t="str">
        <f>IFERROR(INDEX('Summary of Results'!$B:$B, MATCH(A89, 'Summary of Results'!$A:$A, 0)), "")</f>
        <v>Cell capacity, Ah</v>
      </c>
      <c r="C89" s="358">
        <f ca="1">IF(OR(ISERROR($B89), $B89 = ""), "", IFERROR(INDEX('Summary of Results'!G:G, MATCH($A89, 'Summary of Results'!$A:$A, 0)), NA()))</f>
        <v>68.179107463097623</v>
      </c>
      <c r="D89" s="359">
        <f ca="1">IF(OR(ISERROR($B89), $B89 = ""), "", IFERROR(INDEX('Summary of Results'!H:H, MATCH($A89, 'Summary of Results'!$A:$A, 0)), NA()))</f>
        <v>68.179107463097623</v>
      </c>
      <c r="E89" s="359">
        <f ca="1">IF(OR(ISERROR($B89), $B89 = ""), "", IFERROR(INDEX('Summary of Results'!I:I, MATCH($A89, 'Summary of Results'!$A:$A, 0)), NA()))</f>
        <v>68.097779848719952</v>
      </c>
      <c r="F89" s="359">
        <f ca="1">IF(OR(ISERROR($B89), $B89 = ""), "", IFERROR(INDEX('Summary of Results'!J:J, MATCH($A89, 'Summary of Results'!$A:$A, 0)), NA()))</f>
        <v>67.997707324430706</v>
      </c>
      <c r="G89" s="359">
        <f ca="1">IF(OR(ISERROR($B89), $B89 = ""), "", IFERROR(INDEX('Summary of Results'!K:K, MATCH($A89, 'Summary of Results'!$A:$A, 0)), NA()))</f>
        <v>67.882072882751757</v>
      </c>
      <c r="H89" s="359">
        <f ca="1">IF(OR(ISERROR($B89), $B89 = ""), "", IFERROR(INDEX('Summary of Results'!L:L, MATCH($A89, 'Summary of Results'!$A:$A, 0)), NA()))</f>
        <v>67.743621748620214</v>
      </c>
      <c r="I89" s="360">
        <f ca="1">IF(OR(ISERROR($B89), $B89 = ""), "", IFERROR(INDEX('Summary of Results'!M:M, MATCH($A89, 'Summary of Results'!$A:$A, 0)), NA()))</f>
        <v>67.561046766653277</v>
      </c>
      <c r="M89" s="330">
        <v>0.375</v>
      </c>
      <c r="N89" s="5"/>
      <c r="O89" s="697">
        <v>4.2956164800346999</v>
      </c>
      <c r="P89" s="697">
        <v>4.1989247597553403</v>
      </c>
      <c r="Q89" s="697">
        <v>4.15478420653554</v>
      </c>
      <c r="R89" s="697">
        <v>4.0783730116771801</v>
      </c>
      <c r="S89" s="697">
        <v>4.0552894547656599</v>
      </c>
      <c r="T89" s="697">
        <v>3.43200014946397</v>
      </c>
      <c r="U89" s="697">
        <v>4.11518785744898</v>
      </c>
      <c r="V89" s="697">
        <v>1.5468790241650801</v>
      </c>
      <c r="W89" s="697">
        <v>0.110104797936914</v>
      </c>
      <c r="X89" s="5"/>
      <c r="Y89" s="5"/>
      <c r="Z89" s="5"/>
      <c r="AA89" s="5"/>
      <c r="AB89" s="5"/>
      <c r="AC89" s="5"/>
      <c r="AD89" s="5"/>
      <c r="AE89" s="5"/>
      <c r="AF89" s="5"/>
      <c r="AG89" s="331"/>
      <c r="AP89" s="527" t="s">
        <v>245</v>
      </c>
      <c r="AT89" s="1380" t="s">
        <v>1045</v>
      </c>
      <c r="AU89" s="1380" t="s">
        <v>1046</v>
      </c>
      <c r="AW89" s="1380" t="s">
        <v>1045</v>
      </c>
      <c r="AX89" s="1380" t="s">
        <v>1046</v>
      </c>
      <c r="AZ89" s="39"/>
    </row>
    <row r="90" spans="1:52" ht="20" x14ac:dyDescent="0.4">
      <c r="A90" s="318">
        <f>IF(ISERROR( Dashboard!C202), "", Dashboard!B202)</f>
        <v>13</v>
      </c>
      <c r="B90" s="1252" t="str">
        <f>IFERROR(INDEX('Summary of Results'!$B:$B, MATCH(A90, 'Summary of Results'!$A:$A, 0)), "")</f>
        <v>Cell nominal operating voltage, V</v>
      </c>
      <c r="C90" s="358">
        <f ca="1">IF(OR(ISERROR($B90), $B90 = ""), "", IFERROR(INDEX('Summary of Results'!G:G, MATCH($A90, 'Summary of Results'!$A:$A, 0)), NA()))</f>
        <v>3.6668124488915326</v>
      </c>
      <c r="D90" s="359">
        <f ca="1">IF(OR(ISERROR($B90), $B90 = ""), "", IFERROR(INDEX('Summary of Results'!H:H, MATCH($A90, 'Summary of Results'!$A:$A, 0)), NA()))</f>
        <v>3.6668124488915326</v>
      </c>
      <c r="E90" s="359">
        <f ca="1">IF(OR(ISERROR($B90), $B90 = ""), "", IFERROR(INDEX('Summary of Results'!I:I, MATCH($A90, 'Summary of Results'!$A:$A, 0)), NA()))</f>
        <v>3.6711916387785024</v>
      </c>
      <c r="F90" s="359">
        <f ca="1">IF(OR(ISERROR($B90), $B90 = ""), "", IFERROR(INDEX('Summary of Results'!J:J, MATCH($A90, 'Summary of Results'!$A:$A, 0)), NA()))</f>
        <v>3.6765945476249628</v>
      </c>
      <c r="G90" s="359">
        <f ca="1">IF(OR(ISERROR($B90), $B90 = ""), "", IFERROR(INDEX('Summary of Results'!K:K, MATCH($A90, 'Summary of Results'!$A:$A, 0)), NA()))</f>
        <v>3.6828574818539863</v>
      </c>
      <c r="H90" s="359">
        <f ca="1">IF(OR(ISERROR($B90), $B90 = ""), "", IFERROR(INDEX('Summary of Results'!L:L, MATCH($A90, 'Summary of Results'!$A:$A, 0)), NA()))</f>
        <v>3.6903843276594799</v>
      </c>
      <c r="I90" s="360">
        <f ca="1">IF(OR(ISERROR($B90), $B90 = ""), "", IFERROR(INDEX('Summary of Results'!M:M, MATCH($A90, 'Summary of Results'!$A:$A, 0)), NA()))</f>
        <v>3.7003571135223439</v>
      </c>
      <c r="M90" s="330">
        <v>0.4</v>
      </c>
      <c r="N90" s="5"/>
      <c r="O90" s="697">
        <v>4.2477094663728296</v>
      </c>
      <c r="P90" s="697">
        <v>4.14918667181374</v>
      </c>
      <c r="Q90" s="697">
        <v>4.1133754787396999</v>
      </c>
      <c r="R90" s="697">
        <v>4.0444912887908604</v>
      </c>
      <c r="S90" s="697">
        <v>4.0198854690302497</v>
      </c>
      <c r="T90" s="697">
        <v>3.4320000863225402</v>
      </c>
      <c r="U90" s="697">
        <v>4.1142283733087703</v>
      </c>
      <c r="V90" s="697">
        <v>1.5463335202686801</v>
      </c>
      <c r="W90" s="697">
        <v>0.109380597657498</v>
      </c>
      <c r="X90" s="5"/>
      <c r="Y90" s="5"/>
      <c r="Z90" s="5"/>
      <c r="AA90" s="5"/>
      <c r="AB90" s="5"/>
      <c r="AC90" s="5"/>
      <c r="AD90" s="5"/>
      <c r="AE90" s="5"/>
      <c r="AF90" s="5"/>
      <c r="AG90" s="331"/>
      <c r="AP90" s="90" t="s">
        <v>2198</v>
      </c>
      <c r="AT90" s="150">
        <f>AW90</f>
        <v>2</v>
      </c>
      <c r="AU90" s="95">
        <f>AX90</f>
        <v>0.03</v>
      </c>
      <c r="AW90" s="150">
        <v>2</v>
      </c>
      <c r="AX90" s="95">
        <v>0.03</v>
      </c>
      <c r="AZ90" s="39"/>
    </row>
    <row r="91" spans="1:52" ht="20" x14ac:dyDescent="0.4">
      <c r="A91" s="318">
        <f>IF(ISERROR( Dashboard!C203), "", Dashboard!B203)</f>
        <v>14</v>
      </c>
      <c r="B91" s="1252" t="str">
        <f>IFERROR(INDEX('Summary of Results'!$B:$B, MATCH(A91, 'Summary of Results'!$A:$A, 0)), "")</f>
        <v>Positive electrode thickness, µm</v>
      </c>
      <c r="C91" s="358">
        <f ca="1">IF(OR(ISERROR($B91), $B91 = ""), "", IFERROR(INDEX('Summary of Results'!G:G, MATCH($A91, 'Summary of Results'!$A:$A, 0)), NA()))</f>
        <v>120</v>
      </c>
      <c r="D91" s="359">
        <f ca="1">IF(OR(ISERROR($B91), $B91 = ""), "", IFERROR(INDEX('Summary of Results'!H:H, MATCH($A91, 'Summary of Results'!$A:$A, 0)), NA()))</f>
        <v>120</v>
      </c>
      <c r="E91" s="359">
        <f ca="1">IF(OR(ISERROR($B91), $B91 = ""), "", IFERROR(INDEX('Summary of Results'!I:I, MATCH($A91, 'Summary of Results'!$A:$A, 0)), NA()))</f>
        <v>108.28682636679949</v>
      </c>
      <c r="F91" s="359">
        <f ca="1">IF(OR(ISERROR($B91), $B91 = ""), "", IFERROR(INDEX('Summary of Results'!J:J, MATCH($A91, 'Summary of Results'!$A:$A, 0)), NA()))</f>
        <v>93.859128158890144</v>
      </c>
      <c r="G91" s="359">
        <f ca="1">IF(OR(ISERROR($B91), $B91 = ""), "", IFERROR(INDEX('Summary of Results'!K:K, MATCH($A91, 'Summary of Results'!$A:$A, 0)), NA()))</f>
        <v>77.09682591912636</v>
      </c>
      <c r="H91" s="359">
        <f ca="1">IF(OR(ISERROR($B91), $B91 = ""), "", IFERROR(INDEX('Summary of Results'!L:L, MATCH($A91, 'Summary of Results'!$A:$A, 0)), NA()))</f>
        <v>56.979291521262034</v>
      </c>
      <c r="I91" s="360">
        <f ca="1">IF(OR(ISERROR($B91), $B91 = ""), "", IFERROR(INDEX('Summary of Results'!M:M, MATCH($A91, 'Summary of Results'!$A:$A, 0)), NA()))</f>
        <v>30.309835647059309</v>
      </c>
      <c r="M91" s="330">
        <v>0.42499999999999999</v>
      </c>
      <c r="N91" s="5"/>
      <c r="O91" s="697">
        <v>4.1920362906072102</v>
      </c>
      <c r="P91" s="697">
        <v>4.1029359169428101</v>
      </c>
      <c r="Q91" s="697">
        <v>4.0687658195957397</v>
      </c>
      <c r="R91" s="697">
        <v>4.0015400094417597</v>
      </c>
      <c r="S91" s="697">
        <v>4.0007526741551303</v>
      </c>
      <c r="T91" s="697">
        <v>3.4320000522289398</v>
      </c>
      <c r="U91" s="697">
        <v>4.1130120958389202</v>
      </c>
      <c r="V91" s="697">
        <v>1.5454880153089099</v>
      </c>
      <c r="W91" s="697">
        <v>0.108626824829785</v>
      </c>
      <c r="X91" s="5"/>
      <c r="Y91" s="5"/>
      <c r="Z91" s="5"/>
      <c r="AA91" s="5"/>
      <c r="AB91" s="5"/>
      <c r="AC91" s="5"/>
      <c r="AD91" s="5"/>
      <c r="AE91" s="5"/>
      <c r="AF91" s="5"/>
      <c r="AG91" s="331"/>
      <c r="AP91" s="527"/>
      <c r="AS91" s="32"/>
      <c r="AT91" s="1380" t="s">
        <v>1032</v>
      </c>
      <c r="AU91" s="1380" t="s">
        <v>1033</v>
      </c>
      <c r="AV91" s="1495" t="s">
        <v>2188</v>
      </c>
      <c r="AW91" s="1495"/>
      <c r="AX91" s="1495" t="s">
        <v>2199</v>
      </c>
      <c r="AY91" s="1495"/>
      <c r="AZ91" s="39"/>
    </row>
    <row r="92" spans="1:52" ht="20" x14ac:dyDescent="0.4">
      <c r="A92" s="318">
        <f>IF(ISERROR( Dashboard!C204), "", Dashboard!B204)</f>
        <v>15</v>
      </c>
      <c r="B92" s="1252" t="str">
        <f>IFERROR(INDEX('Summary of Results'!$B:$B, MATCH(A92, 'Summary of Results'!$A:$A, 0)), "")</f>
        <v>Positive electode areal capacity, mAh/cm²</v>
      </c>
      <c r="C92" s="358">
        <f ca="1">IF(OR(ISERROR($B92), $B92 = ""), "", IFERROR(INDEX('Summary of Results'!G:G, MATCH($A92, 'Summary of Results'!$A:$A, 0)), NA()))</f>
        <v>8.0691897467962015</v>
      </c>
      <c r="D92" s="359">
        <f ca="1">IF(OR(ISERROR($B92), $B92 = ""), "", IFERROR(INDEX('Summary of Results'!H:H, MATCH($A92, 'Summary of Results'!$A:$A, 0)), NA()))</f>
        <v>8.0691897467962015</v>
      </c>
      <c r="E92" s="359">
        <f ca="1">IF(OR(ISERROR($B92), $B92 = ""), "", IFERROR(INDEX('Summary of Results'!I:I, MATCH($A92, 'Summary of Results'!$A:$A, 0)), NA()))</f>
        <v>7.281557908600659</v>
      </c>
      <c r="F92" s="359">
        <f ca="1">IF(OR(ISERROR($B92), $B92 = ""), "", IFERROR(INDEX('Summary of Results'!J:J, MATCH($A92, 'Summary of Results'!$A:$A, 0)), NA()))</f>
        <v>6.3113926215245577</v>
      </c>
      <c r="G92" s="359">
        <f ca="1">IF(OR(ISERROR($B92), $B92 = ""), "", IFERROR(INDEX('Summary of Results'!K:K, MATCH($A92, 'Summary of Results'!$A:$A, 0)), NA()))</f>
        <v>5.1842409768095497</v>
      </c>
      <c r="H92" s="359">
        <f ca="1">IF(OR(ISERROR($B92), $B92 = ""), "", IFERROR(INDEX('Summary of Results'!L:L, MATCH($A92, 'Summary of Results'!$A:$A, 0)), NA()))</f>
        <v>3.8314726243589945</v>
      </c>
      <c r="I92" s="360">
        <f ca="1">IF(OR(ISERROR($B92), $B92 = ""), "", IFERROR(INDEX('Summary of Results'!M:M, MATCH($A92, 'Summary of Results'!$A:$A, 0)), NA()))</f>
        <v>2.0381317919194082</v>
      </c>
      <c r="M92" s="330">
        <v>0.45</v>
      </c>
      <c r="N92" s="5"/>
      <c r="O92" s="697">
        <v>4.1454974585891797</v>
      </c>
      <c r="P92" s="697">
        <v>4.0622267970320802</v>
      </c>
      <c r="Q92" s="697">
        <v>4.0287015211249599</v>
      </c>
      <c r="R92" s="697">
        <v>3.9799000564773199</v>
      </c>
      <c r="S92" s="697">
        <v>3.9691483809681301</v>
      </c>
      <c r="T92" s="697">
        <v>3.4320000329848699</v>
      </c>
      <c r="U92" s="697">
        <v>4.1112802275590896</v>
      </c>
      <c r="V92" s="697">
        <v>1.5446425103491299</v>
      </c>
      <c r="W92" s="697">
        <v>0.107637878541992</v>
      </c>
      <c r="X92" s="5"/>
      <c r="Y92" s="5"/>
      <c r="Z92" s="5"/>
      <c r="AA92" s="5"/>
      <c r="AB92" s="5"/>
      <c r="AC92" s="5"/>
      <c r="AD92" s="5"/>
      <c r="AE92" s="5"/>
      <c r="AF92" s="5"/>
      <c r="AG92" s="331"/>
      <c r="AP92" s="527"/>
      <c r="AS92" s="1384"/>
      <c r="AT92" s="1380" t="s">
        <v>1034</v>
      </c>
      <c r="AU92" s="1380" t="s">
        <v>2191</v>
      </c>
      <c r="AV92" s="1380" t="s">
        <v>2189</v>
      </c>
      <c r="AW92" s="1380" t="s">
        <v>2190</v>
      </c>
      <c r="AX92" s="1380" t="s">
        <v>2200</v>
      </c>
      <c r="AY92" s="1380" t="s">
        <v>2201</v>
      </c>
      <c r="AZ92" s="93" t="s">
        <v>2192</v>
      </c>
    </row>
    <row r="93" spans="1:52" ht="20" x14ac:dyDescent="0.4">
      <c r="A93" s="318">
        <f>IF(ISERROR( Dashboard!C205), "", Dashboard!B205)</f>
        <v>16</v>
      </c>
      <c r="B93" s="1252" t="str">
        <f>IFERROR(INDEX('Summary of Results'!$B:$B, MATCH(A93, 'Summary of Results'!$A:$A, 0)), "")</f>
        <v>Negative electrode thickness, µm</v>
      </c>
      <c r="C93" s="358">
        <f ca="1">IF(OR(ISERROR($B93), $B93 = ""), "", IFERROR(INDEX('Summary of Results'!G:G, MATCH($A93, 'Summary of Results'!$A:$A, 0)), NA()))</f>
        <v>152.69056152957771</v>
      </c>
      <c r="D93" s="359">
        <f ca="1">IF(OR(ISERROR($B93), $B93 = ""), "", IFERROR(INDEX('Summary of Results'!H:H, MATCH($A93, 'Summary of Results'!$A:$A, 0)), NA()))</f>
        <v>152.69056152957771</v>
      </c>
      <c r="E93" s="359">
        <f ca="1">IF(OR(ISERROR($B93), $B93 = ""), "", IFERROR(INDEX('Summary of Results'!I:I, MATCH($A93, 'Summary of Results'!$A:$A, 0)), NA()))</f>
        <v>137.78646936835412</v>
      </c>
      <c r="F93" s="359">
        <f ca="1">IF(OR(ISERROR($B93), $B93 = ""), "", IFERROR(INDEX('Summary of Results'!J:J, MATCH($A93, 'Summary of Results'!$A:$A, 0)), NA()))</f>
        <v>119.42835819381278</v>
      </c>
      <c r="G93" s="359">
        <f ca="1">IF(OR(ISERROR($B93), $B93 = ""), "", IFERROR(INDEX('Summary of Results'!K:K, MATCH($A93, 'Summary of Results'!$A:$A, 0)), NA()))</f>
        <v>98.099647014495872</v>
      </c>
      <c r="H93" s="359">
        <f ca="1">IF(OR(ISERROR($B93), $B93 = ""), "", IFERROR(INDEX('Summary of Results'!L:L, MATCH($A93, 'Summary of Results'!$A:$A, 0)), NA()))</f>
        <v>72.501666816158377</v>
      </c>
      <c r="I93" s="360">
        <f ca="1">IF(OR(ISERROR($B93), $B93 = ""), "", IFERROR(INDEX('Summary of Results'!M:M, MATCH($A93, 'Summary of Results'!$A:$A, 0)), NA()))</f>
        <v>38.566881873489137</v>
      </c>
      <c r="M93" s="330">
        <v>0.47499999999999998</v>
      </c>
      <c r="N93" s="5"/>
      <c r="O93" s="697">
        <v>4.0982159780029397</v>
      </c>
      <c r="P93" s="697">
        <v>4.0152396885002597</v>
      </c>
      <c r="Q93" s="697">
        <v>3.9931095664228899</v>
      </c>
      <c r="R93" s="697">
        <v>3.9491721066978802</v>
      </c>
      <c r="S93" s="697">
        <v>3.9420924748188702</v>
      </c>
      <c r="T93" s="697">
        <v>3.4320000216671702</v>
      </c>
      <c r="U93" s="697">
        <v>4.1085514439774604</v>
      </c>
      <c r="V93" s="697">
        <v>1.5437970053893599</v>
      </c>
      <c r="W93" s="697">
        <v>0.10611916520771</v>
      </c>
      <c r="X93" s="5"/>
      <c r="Y93" s="5"/>
      <c r="Z93" s="5"/>
      <c r="AA93" s="5"/>
      <c r="AB93" s="5"/>
      <c r="AC93" s="5"/>
      <c r="AD93" s="5"/>
      <c r="AE93" s="5"/>
      <c r="AF93" s="5"/>
      <c r="AG93" s="331"/>
      <c r="AP93" s="90" t="s">
        <v>2202</v>
      </c>
      <c r="AR93" s="45"/>
      <c r="AS93" s="44"/>
      <c r="AT93" s="42">
        <f>AV93*AW93</f>
        <v>8.64</v>
      </c>
      <c r="AU93" s="42">
        <f>AX93</f>
        <v>0.08</v>
      </c>
      <c r="AV93" s="42">
        <f>AT80</f>
        <v>8</v>
      </c>
      <c r="AW93" s="42">
        <v>1.08</v>
      </c>
      <c r="AX93" s="42">
        <v>0.08</v>
      </c>
      <c r="AY93" s="513">
        <v>0.04</v>
      </c>
      <c r="AZ93" s="455" t="s">
        <v>610</v>
      </c>
    </row>
    <row r="94" spans="1:52" ht="20" x14ac:dyDescent="0.4">
      <c r="A94" s="318">
        <f>IF(ISERROR( Dashboard!C206), "", Dashboard!B206)</f>
        <v>17</v>
      </c>
      <c r="B94" s="1252" t="str">
        <f>IFERROR(INDEX('Summary of Results'!$B:$B, MATCH(A94, 'Summary of Results'!$A:$A, 0)), "")</f>
        <v>Negative electrode areal capacity, mAh/cm²</v>
      </c>
      <c r="C94" s="358">
        <f ca="1">IF(OR(ISERROR($B94), $B94 = ""), "", IFERROR(INDEX('Summary of Results'!G:G, MATCH($A94, 'Summary of Results'!$A:$A, 0)), NA()))</f>
        <v>8.8761087214758234</v>
      </c>
      <c r="D94" s="359">
        <f ca="1">IF(OR(ISERROR($B94), $B94 = ""), "", IFERROR(INDEX('Summary of Results'!H:H, MATCH($A94, 'Summary of Results'!$A:$A, 0)), NA()))</f>
        <v>8.8761087214758234</v>
      </c>
      <c r="E94" s="359">
        <f ca="1">IF(OR(ISERROR($B94), $B94 = ""), "", IFERROR(INDEX('Summary of Results'!I:I, MATCH($A94, 'Summary of Results'!$A:$A, 0)), NA()))</f>
        <v>8.0097136994607254</v>
      </c>
      <c r="F94" s="359">
        <f ca="1">IF(OR(ISERROR($B94), $B94 = ""), "", IFERROR(INDEX('Summary of Results'!J:J, MATCH($A94, 'Summary of Results'!$A:$A, 0)), NA()))</f>
        <v>6.942531883677014</v>
      </c>
      <c r="G94" s="359">
        <f ca="1">IF(OR(ISERROR($B94), $B94 = ""), "", IFERROR(INDEX('Summary of Results'!K:K, MATCH($A94, 'Summary of Results'!$A:$A, 0)), NA()))</f>
        <v>5.7026650744905059</v>
      </c>
      <c r="H94" s="359">
        <f ca="1">IF(OR(ISERROR($B94), $B94 = ""), "", IFERROR(INDEX('Summary of Results'!L:L, MATCH($A94, 'Summary of Results'!$A:$A, 0)), NA()))</f>
        <v>4.2146198867948934</v>
      </c>
      <c r="I94" s="360">
        <f ca="1">IF(OR(ISERROR($B94), $B94 = ""), "", IFERROR(INDEX('Summary of Results'!M:M, MATCH($A94, 'Summary of Results'!$A:$A, 0)), NA()))</f>
        <v>2.2419449711113488</v>
      </c>
      <c r="M94" s="330">
        <v>0.5</v>
      </c>
      <c r="N94" s="5"/>
      <c r="O94" s="697">
        <v>4.04492413453469</v>
      </c>
      <c r="P94" s="697">
        <v>3.9790312585478498</v>
      </c>
      <c r="Q94" s="697">
        <v>3.9523649734600599</v>
      </c>
      <c r="R94" s="697">
        <v>3.9186539152456201</v>
      </c>
      <c r="S94" s="697">
        <v>3.9136253756917299</v>
      </c>
      <c r="T94" s="697">
        <v>3.4320000147537999</v>
      </c>
      <c r="U94" s="697">
        <v>4.1039516566661201</v>
      </c>
      <c r="V94" s="697">
        <v>1.54295150042958</v>
      </c>
      <c r="W94" s="697">
        <v>0.103651510932195</v>
      </c>
      <c r="X94" s="5"/>
      <c r="Y94" s="5"/>
      <c r="Z94" s="5"/>
      <c r="AA94" s="5"/>
      <c r="AB94" s="5"/>
      <c r="AC94" s="5"/>
      <c r="AD94" s="5"/>
      <c r="AE94" s="5"/>
      <c r="AF94" s="5"/>
      <c r="AG94" s="331"/>
      <c r="AP94" s="1051" t="s">
        <v>2203</v>
      </c>
      <c r="AS94" s="44"/>
      <c r="AT94" s="42">
        <f>AV94*AW94+AX94</f>
        <v>2.2999999999999998</v>
      </c>
      <c r="AU94" s="42">
        <f>AY94</f>
        <v>0.2</v>
      </c>
      <c r="AV94" s="150">
        <v>2</v>
      </c>
      <c r="AW94" s="513">
        <v>1</v>
      </c>
      <c r="AX94" s="150">
        <v>0.3</v>
      </c>
      <c r="AY94" s="513">
        <v>0.2</v>
      </c>
      <c r="AZ94" s="39">
        <f ca="1">'Battery Design'!G322/2/1000*AT94+AU94</f>
        <v>0.44473769747055869</v>
      </c>
    </row>
    <row r="95" spans="1:52" ht="20" x14ac:dyDescent="0.4">
      <c r="A95" s="318">
        <f>IF(ISERROR( Dashboard!C207), "", Dashboard!B207)</f>
        <v>18</v>
      </c>
      <c r="B95" s="1252" t="str">
        <f>IFERROR(INDEX('Summary of Results'!$B:$B, MATCH(A95, 'Summary of Results'!$A:$A, 0)), "")</f>
        <v>Cell energy density, Wh/L</v>
      </c>
      <c r="C95" s="358">
        <f ca="1">IF(OR(ISERROR($B95), $B95 = ""), "", IFERROR(INDEX('Summary of Results'!G:G, MATCH($A95, 'Summary of Results'!$A:$A, 0)), NA()))</f>
        <v>646.56698675064843</v>
      </c>
      <c r="D95" s="359">
        <f ca="1">IF(OR(ISERROR($B95), $B95 = ""), "", IFERROR(INDEX('Summary of Results'!H:H, MATCH($A95, 'Summary of Results'!$A:$A, 0)), NA()))</f>
        <v>646.56698675064843</v>
      </c>
      <c r="E95" s="359">
        <f ca="1">IF(OR(ISERROR($B95), $B95 = ""), "", IFERROR(INDEX('Summary of Results'!I:I, MATCH($A95, 'Summary of Results'!$A:$A, 0)), NA()))</f>
        <v>642.56739692825863</v>
      </c>
      <c r="F95" s="359">
        <f ca="1">IF(OR(ISERROR($B95), $B95 = ""), "", IFERROR(INDEX('Summary of Results'!J:J, MATCH($A95, 'Summary of Results'!$A:$A, 0)), NA()))</f>
        <v>633.94572463411885</v>
      </c>
      <c r="G95" s="359">
        <f ca="1">IF(OR(ISERROR($B95), $B95 = ""), "", IFERROR(INDEX('Summary of Results'!K:K, MATCH($A95, 'Summary of Results'!$A:$A, 0)), NA()))</f>
        <v>624.03475884484931</v>
      </c>
      <c r="H95" s="359">
        <f ca="1">IF(OR(ISERROR($B95), $B95 = ""), "", IFERROR(INDEX('Summary of Results'!L:L, MATCH($A95, 'Summary of Results'!$A:$A, 0)), NA()))</f>
        <v>600.02825910864919</v>
      </c>
      <c r="I95" s="360">
        <f ca="1">IF(OR(ISERROR($B95), $B95 = ""), "", IFERROR(INDEX('Summary of Results'!M:M, MATCH($A95, 'Summary of Results'!$A:$A, 0)), NA()))</f>
        <v>533.29626990271379</v>
      </c>
      <c r="M95" s="330">
        <v>0.52500000000000002</v>
      </c>
      <c r="N95" s="5"/>
      <c r="O95" s="697">
        <v>3.99844216761768</v>
      </c>
      <c r="P95" s="697">
        <v>3.9372335999269801</v>
      </c>
      <c r="Q95" s="697">
        <v>3.91395831438455</v>
      </c>
      <c r="R95" s="697">
        <v>3.8901725012953499</v>
      </c>
      <c r="S95" s="697">
        <v>3.8791575674904699</v>
      </c>
      <c r="T95" s="697">
        <v>3.43200001038071</v>
      </c>
      <c r="U95" s="697">
        <v>4.0960776386035</v>
      </c>
      <c r="V95" s="697">
        <v>1.54210599546981</v>
      </c>
      <c r="W95" s="697">
        <v>9.9794374200657301E-2</v>
      </c>
      <c r="X95" s="5"/>
      <c r="Y95" s="5"/>
      <c r="Z95" s="5"/>
      <c r="AA95" s="5"/>
      <c r="AB95" s="5"/>
      <c r="AC95" s="5"/>
      <c r="AD95" s="5"/>
      <c r="AE95" s="5"/>
      <c r="AF95" s="5"/>
      <c r="AG95" s="331"/>
      <c r="AP95" s="1051" t="s">
        <v>2204</v>
      </c>
      <c r="AS95" s="44"/>
      <c r="AT95" s="42">
        <f>AV95*AW95+AX95</f>
        <v>8.64</v>
      </c>
      <c r="AU95" s="42">
        <f>AY95</f>
        <v>0.18</v>
      </c>
      <c r="AV95" s="150">
        <f>AT80</f>
        <v>8</v>
      </c>
      <c r="AW95" s="42">
        <v>1.08</v>
      </c>
      <c r="AX95" s="150"/>
      <c r="AY95" s="513">
        <v>0.18</v>
      </c>
      <c r="AZ95" s="39">
        <f ca="1">'Battery Design'!G330/2*Lists!AT95/1000+Lists!AU95</f>
        <v>0.39374244761088895</v>
      </c>
    </row>
    <row r="96" spans="1:52" ht="20" x14ac:dyDescent="0.4">
      <c r="A96" s="318">
        <f>IF(ISERROR( Dashboard!C208), "", Dashboard!B208)</f>
        <v>19</v>
      </c>
      <c r="B96" s="1252" t="str">
        <f>IFERROR(INDEX('Summary of Results'!$B:$B, MATCH(A96, 'Summary of Results'!$A:$A, 0)), "")</f>
        <v>Cell specific energy, Wh/kg</v>
      </c>
      <c r="C96" s="358">
        <f ca="1">IF(OR(ISERROR($B96), $B96 = ""), "", IFERROR(INDEX('Summary of Results'!G:G, MATCH($A96, 'Summary of Results'!$A:$A, 0)), NA()))</f>
        <v>335.9654916262873</v>
      </c>
      <c r="D96" s="359">
        <f ca="1">IF(OR(ISERROR($B96), $B96 = ""), "", IFERROR(INDEX('Summary of Results'!H:H, MATCH($A96, 'Summary of Results'!$A:$A, 0)), NA()))</f>
        <v>335.9654916262873</v>
      </c>
      <c r="E96" s="359">
        <f ca="1">IF(OR(ISERROR($B96), $B96 = ""), "", IFERROR(INDEX('Summary of Results'!I:I, MATCH($A96, 'Summary of Results'!$A:$A, 0)), NA()))</f>
        <v>332.56385845215283</v>
      </c>
      <c r="F96" s="359">
        <f ca="1">IF(OR(ISERROR($B96), $B96 = ""), "", IFERROR(INDEX('Summary of Results'!J:J, MATCH($A96, 'Summary of Results'!$A:$A, 0)), NA()))</f>
        <v>327.15259015727594</v>
      </c>
      <c r="G96" s="359">
        <f ca="1">IF(OR(ISERROR($B96), $B96 = ""), "", IFERROR(INDEX('Summary of Results'!K:K, MATCH($A96, 'Summary of Results'!$A:$A, 0)), NA()))</f>
        <v>318.68969473138986</v>
      </c>
      <c r="H96" s="359">
        <f ca="1">IF(OR(ISERROR($B96), $B96 = ""), "", IFERROR(INDEX('Summary of Results'!L:L, MATCH($A96, 'Summary of Results'!$A:$A, 0)), NA()))</f>
        <v>302.72590338677946</v>
      </c>
      <c r="I96" s="360">
        <f ca="1">IF(OR(ISERROR($B96), $B96 = ""), "", IFERROR(INDEX('Summary of Results'!M:M, MATCH($A96, 'Summary of Results'!$A:$A, 0)), NA()))</f>
        <v>258.73564658155294</v>
      </c>
      <c r="M96" s="330">
        <v>0.55000000000000004</v>
      </c>
      <c r="N96" s="5"/>
      <c r="O96" s="697">
        <v>3.9571365942710099</v>
      </c>
      <c r="P96" s="697">
        <v>3.9011298773294398</v>
      </c>
      <c r="Q96" s="697">
        <v>3.884386069734</v>
      </c>
      <c r="R96" s="697">
        <v>3.8527662631956399</v>
      </c>
      <c r="S96" s="697">
        <v>3.85563735779141</v>
      </c>
      <c r="T96" s="697">
        <v>3.4320000075241799</v>
      </c>
      <c r="U96" s="697">
        <v>4.0832661743525902</v>
      </c>
      <c r="V96" s="697">
        <v>1.5415483819993101</v>
      </c>
      <c r="W96" s="697">
        <v>9.4475088002876295E-2</v>
      </c>
      <c r="X96" s="5"/>
      <c r="Y96" s="5"/>
      <c r="Z96" s="5"/>
      <c r="AA96" s="5"/>
      <c r="AB96" s="5"/>
      <c r="AC96" s="5"/>
      <c r="AD96" s="5"/>
      <c r="AE96" s="5"/>
      <c r="AF96" s="5"/>
      <c r="AG96" s="331"/>
      <c r="AP96" s="1051" t="s">
        <v>2205</v>
      </c>
      <c r="AS96" s="44"/>
      <c r="AT96" s="42">
        <f>AV96*AW96+AX96</f>
        <v>2.4</v>
      </c>
      <c r="AU96" s="42"/>
      <c r="AV96" s="150">
        <f>AW80</f>
        <v>2</v>
      </c>
      <c r="AW96" s="513">
        <v>1.2</v>
      </c>
      <c r="AX96" s="150"/>
      <c r="AY96" s="513">
        <v>1.5</v>
      </c>
      <c r="AZ96" s="39">
        <f ca="1">'Battery Design'!G341/1000*Lists!AT96+Lists!AU96</f>
        <v>1.855792496257217</v>
      </c>
    </row>
    <row r="97" spans="1:53" ht="20" x14ac:dyDescent="0.4">
      <c r="A97" s="318">
        <f>IF(ISERROR( Dashboard!C209), "", Dashboard!B209)</f>
        <v>20</v>
      </c>
      <c r="B97" s="1252" t="str">
        <f>IFERROR(INDEX('Summary of Results'!$B:$B, MATCH(A97, 'Summary of Results'!$A:$A, 0)), "")</f>
        <v>Pack cost, $/pack</v>
      </c>
      <c r="C97" s="358">
        <f ca="1">IF(OR(ISERROR($B97), $B97 = ""), "", IFERROR(INDEX('Summary of Results'!G:G, MATCH($A97, 'Summary of Results'!$A:$A, 0)), NA()))</f>
        <v>11009.0575007933</v>
      </c>
      <c r="D97" s="359">
        <f ca="1">IF(OR(ISERROR($B97), $B97 = ""), "", IFERROR(INDEX('Summary of Results'!H:H, MATCH($A97, 'Summary of Results'!$A:$A, 0)), NA()))</f>
        <v>11009.0575007933</v>
      </c>
      <c r="E97" s="359">
        <f ca="1">IF(OR(ISERROR($B97), $B97 = ""), "", IFERROR(INDEX('Summary of Results'!I:I, MATCH($A97, 'Summary of Results'!$A:$A, 0)), NA()))</f>
        <v>11098.998998697507</v>
      </c>
      <c r="F97" s="359">
        <f ca="1">IF(OR(ISERROR($B97), $B97 = ""), "", IFERROR(INDEX('Summary of Results'!J:J, MATCH($A97, 'Summary of Results'!$A:$A, 0)), NA()))</f>
        <v>11246.009696136083</v>
      </c>
      <c r="G97" s="359">
        <f ca="1">IF(OR(ISERROR($B97), $B97 = ""), "", IFERROR(INDEX('Summary of Results'!K:K, MATCH($A97, 'Summary of Results'!$A:$A, 0)), NA()))</f>
        <v>11481.926159031185</v>
      </c>
      <c r="H97" s="359">
        <f ca="1">IF(OR(ISERROR($B97), $B97 = ""), "", IFERROR(INDEX('Summary of Results'!L:L, MATCH($A97, 'Summary of Results'!$A:$A, 0)), NA()))</f>
        <v>11973.429473784283</v>
      </c>
      <c r="I97" s="360">
        <f ca="1">IF(OR(ISERROR($B97), $B97 = ""), "", IFERROR(INDEX('Summary of Results'!M:M, MATCH($A97, 'Summary of Results'!$A:$A, 0)), NA()))</f>
        <v>13631.350772872518</v>
      </c>
      <c r="M97" s="330">
        <v>0.57499999999999996</v>
      </c>
      <c r="N97" s="5"/>
      <c r="O97" s="697">
        <v>3.9234818138337202</v>
      </c>
      <c r="P97" s="697">
        <v>3.8611937890988699</v>
      </c>
      <c r="Q97" s="697">
        <v>3.8586755659696599</v>
      </c>
      <c r="R97" s="697">
        <v>3.8355360132182601</v>
      </c>
      <c r="S97" s="697">
        <v>3.83052988437296</v>
      </c>
      <c r="T97" s="697">
        <v>3.43200000560102</v>
      </c>
      <c r="U97" s="697">
        <v>4.0649151872343801</v>
      </c>
      <c r="V97" s="697">
        <v>1.5410073308141501</v>
      </c>
      <c r="W97" s="697">
        <v>8.8442203894409294E-2</v>
      </c>
      <c r="X97" s="5"/>
      <c r="Y97" s="5"/>
      <c r="Z97" s="5"/>
      <c r="AA97" s="5"/>
      <c r="AB97" s="5"/>
      <c r="AC97" s="5"/>
      <c r="AD97" s="5"/>
      <c r="AE97" s="5"/>
      <c r="AF97" s="5"/>
      <c r="AG97" s="331"/>
      <c r="AP97" s="1051" t="s">
        <v>2206</v>
      </c>
      <c r="AS97" s="44"/>
      <c r="AT97" s="42">
        <f>AV97*AW97+AX97</f>
        <v>0</v>
      </c>
      <c r="AU97" s="42">
        <f>AY97</f>
        <v>0.5</v>
      </c>
      <c r="AV97" s="150"/>
      <c r="AW97" s="513"/>
      <c r="AX97" s="150"/>
      <c r="AY97" s="513">
        <v>0.5</v>
      </c>
      <c r="AZ97" s="39">
        <f>AU97</f>
        <v>0.5</v>
      </c>
    </row>
    <row r="98" spans="1:53" ht="20" x14ac:dyDescent="0.4">
      <c r="A98" s="318">
        <f>IF(ISERROR( Dashboard!C210), "", Dashboard!B210)</f>
        <v>21</v>
      </c>
      <c r="B98" s="1252" t="str">
        <f>IFERROR(INDEX('Summary of Results'!$B:$B, MATCH(A98, 'Summary of Results'!$A:$A, 0)), "")</f>
        <v>Pack cost, $/kWh</v>
      </c>
      <c r="C98" s="358">
        <f ca="1">IF(OR(ISERROR($B98), $B98 = ""), "", IFERROR(INDEX('Summary of Results'!G:G, MATCH($A98, 'Summary of Results'!$A:$A, 0)), NA()))</f>
        <v>110.09057500793304</v>
      </c>
      <c r="D98" s="359">
        <f ca="1">IF(OR(ISERROR($B98), $B98 = ""), "", IFERROR(INDEX('Summary of Results'!H:H, MATCH($A98, 'Summary of Results'!$A:$A, 0)), NA()))</f>
        <v>110.09057500793304</v>
      </c>
      <c r="E98" s="359">
        <f ca="1">IF(OR(ISERROR($B98), $B98 = ""), "", IFERROR(INDEX('Summary of Results'!I:I, MATCH($A98, 'Summary of Results'!$A:$A, 0)), NA()))</f>
        <v>110.98998998697512</v>
      </c>
      <c r="F98" s="359">
        <f ca="1">IF(OR(ISERROR($B98), $B98 = ""), "", IFERROR(INDEX('Summary of Results'!J:J, MATCH($A98, 'Summary of Results'!$A:$A, 0)), NA()))</f>
        <v>112.46009696136088</v>
      </c>
      <c r="G98" s="359">
        <f ca="1">IF(OR(ISERROR($B98), $B98 = ""), "", IFERROR(INDEX('Summary of Results'!K:K, MATCH($A98, 'Summary of Results'!$A:$A, 0)), NA()))</f>
        <v>114.8192615903119</v>
      </c>
      <c r="H98" s="359">
        <f ca="1">IF(OR(ISERROR($B98), $B98 = ""), "", IFERROR(INDEX('Summary of Results'!L:L, MATCH($A98, 'Summary of Results'!$A:$A, 0)), NA()))</f>
        <v>119.73429473784287</v>
      </c>
      <c r="I98" s="360">
        <f ca="1">IF(OR(ISERROR($B98), $B98 = ""), "", IFERROR(INDEX('Summary of Results'!M:M, MATCH($A98, 'Summary of Results'!$A:$A, 0)), NA()))</f>
        <v>136.31350772872452</v>
      </c>
      <c r="M98" s="330">
        <v>0.6</v>
      </c>
      <c r="N98" s="5"/>
      <c r="O98" s="697">
        <v>3.88563222959954</v>
      </c>
      <c r="P98" s="697">
        <v>3.83993929575121</v>
      </c>
      <c r="Q98" s="697">
        <v>3.8410758420518998</v>
      </c>
      <c r="R98" s="697">
        <v>3.81121098027059</v>
      </c>
      <c r="S98" s="697">
        <v>3.8127304437720499</v>
      </c>
      <c r="T98" s="697">
        <v>3.4320000042579402</v>
      </c>
      <c r="U98" s="697">
        <v>4.0433807729456301</v>
      </c>
      <c r="V98" s="697">
        <v>1.54039475741239</v>
      </c>
      <c r="W98" s="697">
        <v>8.29840701969769E-2</v>
      </c>
      <c r="X98" s="5"/>
      <c r="Y98" s="5"/>
      <c r="Z98" s="5"/>
      <c r="AA98" s="5"/>
      <c r="AB98" s="5"/>
      <c r="AC98" s="5"/>
      <c r="AD98" s="5"/>
      <c r="AE98" s="5"/>
      <c r="AF98" s="5"/>
      <c r="AG98" s="331"/>
      <c r="AP98" s="528" t="s">
        <v>241</v>
      </c>
      <c r="AS98" s="45"/>
      <c r="AT98" s="44"/>
      <c r="AU98" s="93"/>
      <c r="AW98" s="8"/>
      <c r="AX98" s="93"/>
      <c r="AZ98" s="39"/>
    </row>
    <row r="99" spans="1:53" ht="20" x14ac:dyDescent="0.4">
      <c r="A99" s="318">
        <f>IF(ISERROR( Dashboard!C211), "", Dashboard!B211)</f>
        <v>22</v>
      </c>
      <c r="B99" s="1252" t="str">
        <f>IFERROR(INDEX('Summary of Results'!$B:$B, MATCH(A99, 'Summary of Results'!$A:$A, 0)), "")</f>
        <v>Pack cost, $/kWh(Useable)</v>
      </c>
      <c r="C99" s="358">
        <f ca="1">IF(OR(ISERROR($B99), $B99 = ""), "", IFERROR(INDEX('Summary of Results'!G:G, MATCH($A99, 'Summary of Results'!$A:$A, 0)), NA()))</f>
        <v>129.51832353874477</v>
      </c>
      <c r="D99" s="359">
        <f ca="1">IF(OR(ISERROR($B99), $B99 = ""), "", IFERROR(INDEX('Summary of Results'!H:H, MATCH($A99, 'Summary of Results'!$A:$A, 0)), NA()))</f>
        <v>129.51832353874477</v>
      </c>
      <c r="E99" s="359">
        <f ca="1">IF(OR(ISERROR($B99), $B99 = ""), "", IFERROR(INDEX('Summary of Results'!I:I, MATCH($A99, 'Summary of Results'!$A:$A, 0)), NA()))</f>
        <v>130.57645880820604</v>
      </c>
      <c r="F99" s="359">
        <f ca="1">IF(OR(ISERROR($B99), $B99 = ""), "", IFERROR(INDEX('Summary of Results'!J:J, MATCH($A99, 'Summary of Results'!$A:$A, 0)), NA()))</f>
        <v>132.30599642513045</v>
      </c>
      <c r="G99" s="359">
        <f ca="1">IF(OR(ISERROR($B99), $B99 = ""), "", IFERROR(INDEX('Summary of Results'!K:K, MATCH($A99, 'Summary of Results'!$A:$A, 0)), NA()))</f>
        <v>135.08148422389635</v>
      </c>
      <c r="H99" s="359">
        <f ca="1">IF(OR(ISERROR($B99), $B99 = ""), "", IFERROR(INDEX('Summary of Results'!L:L, MATCH($A99, 'Summary of Results'!$A:$A, 0)), NA()))</f>
        <v>140.86387616216811</v>
      </c>
      <c r="I99" s="360">
        <f ca="1">IF(OR(ISERROR($B99), $B99 = ""), "", IFERROR(INDEX('Summary of Results'!M:M, MATCH($A99, 'Summary of Results'!$A:$A, 0)), NA()))</f>
        <v>160.36883262202883</v>
      </c>
      <c r="M99" s="330">
        <v>0.625</v>
      </c>
      <c r="N99" s="5"/>
      <c r="O99" s="697">
        <v>3.8576898925446699</v>
      </c>
      <c r="P99" s="697">
        <v>3.82352138202537</v>
      </c>
      <c r="Q99" s="697">
        <v>3.8210480884896199</v>
      </c>
      <c r="R99" s="697">
        <v>3.7954825168644799</v>
      </c>
      <c r="S99" s="697">
        <v>3.7891690252951702</v>
      </c>
      <c r="T99" s="697">
        <v>3.43200000320358</v>
      </c>
      <c r="U99" s="697">
        <v>4.0233976879073197</v>
      </c>
      <c r="V99" s="697">
        <v>1.5397377493261399</v>
      </c>
      <c r="W99" s="697">
        <v>7.8945361099266503E-2</v>
      </c>
      <c r="X99" s="5"/>
      <c r="Y99" s="5"/>
      <c r="Z99" s="5"/>
      <c r="AA99" s="5"/>
      <c r="AB99" s="5"/>
      <c r="AC99" s="5"/>
      <c r="AD99" s="5"/>
      <c r="AE99" s="5"/>
      <c r="AF99" s="5"/>
      <c r="AG99" s="331"/>
      <c r="AP99" s="1051" t="s">
        <v>2207</v>
      </c>
      <c r="AS99" s="44"/>
      <c r="AT99" s="42">
        <f t="shared" ref="AT99:AT107" si="5">AV99*AW99+AX99</f>
        <v>1.325</v>
      </c>
      <c r="AU99" s="42">
        <f t="shared" ref="AU99:AU107" si="6">AY99</f>
        <v>1</v>
      </c>
      <c r="AV99" s="150">
        <f>AV80</f>
        <v>0.75</v>
      </c>
      <c r="AW99" s="513">
        <v>1.5</v>
      </c>
      <c r="AX99" s="150">
        <v>0.2</v>
      </c>
      <c r="AY99" s="513">
        <v>1</v>
      </c>
      <c r="AZ99" s="39">
        <f ca="1">AT99*'Battery Design'!G386+Lists!AU99</f>
        <v>15.815693625688741</v>
      </c>
      <c r="BA99" s="353" t="s">
        <v>2208</v>
      </c>
    </row>
    <row r="100" spans="1:53" ht="20" x14ac:dyDescent="0.4">
      <c r="A100" s="318">
        <f>IF(ISERROR( Dashboard!C212), "", Dashboard!B212)</f>
        <v>23</v>
      </c>
      <c r="B100" s="1252" t="str">
        <f>IFERROR(INDEX('Summary of Results'!$B:$B, MATCH(A100, 'Summary of Results'!$A:$A, 0)), "")</f>
        <v>Cell cost, $/kWh</v>
      </c>
      <c r="C100" s="358">
        <f ca="1">IF(OR(ISERROR($B100), $B100 = ""), "", IFERROR(INDEX('Summary of Results'!G:G, MATCH($A100, 'Summary of Results'!$A:$A, 0)), NA()))</f>
        <v>79.019206028106339</v>
      </c>
      <c r="D100" s="359">
        <f ca="1">IF(OR(ISERROR($B100), $B100 = ""), "", IFERROR(INDEX('Summary of Results'!H:H, MATCH($A100, 'Summary of Results'!$A:$A, 0)), NA()))</f>
        <v>79.019206028106339</v>
      </c>
      <c r="E100" s="359">
        <f ca="1">IF(OR(ISERROR($B100), $B100 = ""), "", IFERROR(INDEX('Summary of Results'!I:I, MATCH($A100, 'Summary of Results'!$A:$A, 0)), NA()))</f>
        <v>79.84681680321539</v>
      </c>
      <c r="F100" s="359">
        <f ca="1">IF(OR(ISERROR($B100), $B100 = ""), "", IFERROR(INDEX('Summary of Results'!J:J, MATCH($A100, 'Summary of Results'!$A:$A, 0)), NA()))</f>
        <v>81.178555098647692</v>
      </c>
      <c r="G100" s="359">
        <f ca="1">IF(OR(ISERROR($B100), $B100 = ""), "", IFERROR(INDEX('Summary of Results'!K:K, MATCH($A100, 'Summary of Results'!$A:$A, 0)), NA()))</f>
        <v>83.3513627330384</v>
      </c>
      <c r="H100" s="359">
        <f ca="1">IF(OR(ISERROR($B100), $B100 = ""), "", IFERROR(INDEX('Summary of Results'!L:L, MATCH($A100, 'Summary of Results'!$A:$A, 0)), NA()))</f>
        <v>87.840108728018407</v>
      </c>
      <c r="I100" s="360">
        <f ca="1">IF(OR(ISERROR($B100), $B100 = ""), "", IFERROR(INDEX('Summary of Results'!M:M, MATCH($A100, 'Summary of Results'!$A:$A, 0)), NA()))</f>
        <v>102.92481124890611</v>
      </c>
      <c r="M100" s="330">
        <v>0.65</v>
      </c>
      <c r="N100" s="5"/>
      <c r="O100" s="697">
        <v>3.8348348451823</v>
      </c>
      <c r="P100" s="697">
        <v>3.8086727384787098</v>
      </c>
      <c r="Q100" s="697">
        <v>3.8018147173531598</v>
      </c>
      <c r="R100" s="697">
        <v>3.7824122579208801</v>
      </c>
      <c r="S100" s="697">
        <v>3.7710881287746698</v>
      </c>
      <c r="T100" s="697">
        <v>3.43200000174259</v>
      </c>
      <c r="U100" s="697">
        <v>4.0083530993984597</v>
      </c>
      <c r="V100" s="697">
        <v>1.5390807412398899</v>
      </c>
      <c r="W100" s="697">
        <v>7.6332054373787997E-2</v>
      </c>
      <c r="X100" s="5"/>
      <c r="Y100" s="5"/>
      <c r="Z100" s="5"/>
      <c r="AA100" s="5"/>
      <c r="AB100" s="5"/>
      <c r="AC100" s="5"/>
      <c r="AD100" s="5"/>
      <c r="AE100" s="5"/>
      <c r="AF100" s="5"/>
      <c r="AG100" s="331"/>
      <c r="AP100" s="90" t="s">
        <v>2209</v>
      </c>
      <c r="AS100" s="44"/>
      <c r="AT100" s="42">
        <f t="shared" si="5"/>
        <v>1.5</v>
      </c>
      <c r="AU100" s="42">
        <f t="shared" si="6"/>
        <v>0.2</v>
      </c>
      <c r="AV100" s="150">
        <v>1</v>
      </c>
      <c r="AW100" s="529">
        <v>1.5</v>
      </c>
      <c r="AX100" s="150"/>
      <c r="AY100" s="529">
        <v>0.2</v>
      </c>
      <c r="AZ100" s="39">
        <f>AU100</f>
        <v>0.2</v>
      </c>
    </row>
    <row r="101" spans="1:53" ht="20" x14ac:dyDescent="0.4">
      <c r="A101" s="318">
        <f>IF(ISERROR( Dashboard!C213), "", Dashboard!B213)</f>
        <v>24</v>
      </c>
      <c r="B101" s="1252" t="str">
        <f>IFERROR(INDEX('Summary of Results'!$B:$B, MATCH(A101, 'Summary of Results'!$A:$A, 0)), "")</f>
        <v>Plant Size, GWh</v>
      </c>
      <c r="C101" s="358">
        <f ca="1">IF(OR(ISERROR($B101), $B101 = ""), "", IFERROR(INDEX('Summary of Results'!G:G, MATCH($A101, 'Summary of Results'!$A:$A, 0)), NA()))</f>
        <v>49.999999999999986</v>
      </c>
      <c r="D101" s="359">
        <f ca="1">IF(OR(ISERROR($B101), $B101 = ""), "", IFERROR(INDEX('Summary of Results'!H:H, MATCH($A101, 'Summary of Results'!$A:$A, 0)), NA()))</f>
        <v>49.999999999999986</v>
      </c>
      <c r="E101" s="359">
        <f ca="1">IF(OR(ISERROR($B101), $B101 = ""), "", IFERROR(INDEX('Summary of Results'!I:I, MATCH($A101, 'Summary of Results'!$A:$A, 0)), NA()))</f>
        <v>49.999999999999979</v>
      </c>
      <c r="F101" s="359">
        <f ca="1">IF(OR(ISERROR($B101), $B101 = ""), "", IFERROR(INDEX('Summary of Results'!J:J, MATCH($A101, 'Summary of Results'!$A:$A, 0)), NA()))</f>
        <v>49.999999999999979</v>
      </c>
      <c r="G101" s="359">
        <f ca="1">IF(OR(ISERROR($B101), $B101 = ""), "", IFERROR(INDEX('Summary of Results'!K:K, MATCH($A101, 'Summary of Results'!$A:$A, 0)), NA()))</f>
        <v>49.999999999999979</v>
      </c>
      <c r="H101" s="359">
        <f ca="1">IF(OR(ISERROR($B101), $B101 = ""), "", IFERROR(INDEX('Summary of Results'!L:L, MATCH($A101, 'Summary of Results'!$A:$A, 0)), NA()))</f>
        <v>49.999999999999979</v>
      </c>
      <c r="I101" s="360">
        <f ca="1">IF(OR(ISERROR($B101), $B101 = ""), "", IFERROR(INDEX('Summary of Results'!M:M, MATCH($A101, 'Summary of Results'!$A:$A, 0)), NA()))</f>
        <v>50.000000000000242</v>
      </c>
      <c r="M101" s="330">
        <v>0.67500000000000004</v>
      </c>
      <c r="N101" s="5"/>
      <c r="O101" s="697">
        <v>3.8212602384505101</v>
      </c>
      <c r="P101" s="697">
        <v>3.7982512487933899</v>
      </c>
      <c r="Q101" s="697">
        <v>3.7842505904789401</v>
      </c>
      <c r="R101" s="697">
        <v>3.7638760727048899</v>
      </c>
      <c r="S101" s="697">
        <v>3.7574336925229601</v>
      </c>
      <c r="T101" s="697">
        <v>3.4319999961938499</v>
      </c>
      <c r="U101" s="697">
        <v>3.9984190320842798</v>
      </c>
      <c r="V101" s="697">
        <v>1.53840001272264</v>
      </c>
      <c r="W101" s="697">
        <v>7.4726783524727003E-2</v>
      </c>
      <c r="X101" s="5"/>
      <c r="Y101" s="5"/>
      <c r="Z101" s="5"/>
      <c r="AA101" s="5"/>
      <c r="AB101" s="5"/>
      <c r="AC101" s="5"/>
      <c r="AD101" s="5"/>
      <c r="AE101" s="5"/>
      <c r="AF101" s="5"/>
      <c r="AG101" s="331"/>
      <c r="AP101" s="353" t="s">
        <v>2210</v>
      </c>
      <c r="AS101" s="44"/>
      <c r="AT101" s="42">
        <f t="shared" si="5"/>
        <v>8.84</v>
      </c>
      <c r="AU101" s="42">
        <f t="shared" si="6"/>
        <v>0.4</v>
      </c>
      <c r="AV101" s="150">
        <f>AT80</f>
        <v>8</v>
      </c>
      <c r="AW101" s="529">
        <v>1.08</v>
      </c>
      <c r="AX101" s="150">
        <v>0.2</v>
      </c>
      <c r="AY101" s="529">
        <v>0.4</v>
      </c>
      <c r="AZ101" s="39">
        <f ca="1">AT101*'Battery Design'!G439/1000+Lists!AU101</f>
        <v>0.80613892327121961</v>
      </c>
    </row>
    <row r="102" spans="1:53" ht="20" x14ac:dyDescent="0.4">
      <c r="A102" s="318">
        <f>IF(ISERROR( Dashboard!C214), "", Dashboard!B214)</f>
        <v>25</v>
      </c>
      <c r="B102" s="1252" t="str">
        <f>IFERROR(INDEX('Summary of Results'!$B:$B, MATCH(A102, 'Summary of Results'!$A:$A, 0)), "")</f>
        <v>Packs manufactured per year (packs/year)</v>
      </c>
      <c r="C102" s="358">
        <f>IF(OR(ISERROR($B102), $B102 = ""), "", IFERROR(INDEX('Summary of Results'!G:G, MATCH($A102, 'Summary of Results'!$A:$A, 0)), NA()))</f>
        <v>500000</v>
      </c>
      <c r="D102" s="359">
        <f>IF(OR(ISERROR($B102), $B102 = ""), "", IFERROR(INDEX('Summary of Results'!H:H, MATCH($A102, 'Summary of Results'!$A:$A, 0)), NA()))</f>
        <v>500000</v>
      </c>
      <c r="E102" s="359">
        <f>IF(OR(ISERROR($B102), $B102 = ""), "", IFERROR(INDEX('Summary of Results'!I:I, MATCH($A102, 'Summary of Results'!$A:$A, 0)), NA()))</f>
        <v>500000</v>
      </c>
      <c r="F102" s="359">
        <f>IF(OR(ISERROR($B102), $B102 = ""), "", IFERROR(INDEX('Summary of Results'!J:J, MATCH($A102, 'Summary of Results'!$A:$A, 0)), NA()))</f>
        <v>500000</v>
      </c>
      <c r="G102" s="359">
        <f>IF(OR(ISERROR($B102), $B102 = ""), "", IFERROR(INDEX('Summary of Results'!K:K, MATCH($A102, 'Summary of Results'!$A:$A, 0)), NA()))</f>
        <v>500000</v>
      </c>
      <c r="H102" s="359">
        <f>IF(OR(ISERROR($B102), $B102 = ""), "", IFERROR(INDEX('Summary of Results'!L:L, MATCH($A102, 'Summary of Results'!$A:$A, 0)), NA()))</f>
        <v>500000</v>
      </c>
      <c r="I102" s="360">
        <f>IF(OR(ISERROR($B102), $B102 = ""), "", IFERROR(INDEX('Summary of Results'!M:M, MATCH($A102, 'Summary of Results'!$A:$A, 0)), NA()))</f>
        <v>500000</v>
      </c>
      <c r="M102" s="330">
        <v>0.7</v>
      </c>
      <c r="N102" s="5"/>
      <c r="O102" s="697">
        <v>3.80597056698653</v>
      </c>
      <c r="P102" s="697">
        <v>3.7888725712843301</v>
      </c>
      <c r="Q102" s="697">
        <v>3.7750481925405501</v>
      </c>
      <c r="R102" s="697">
        <v>3.7568968974125898</v>
      </c>
      <c r="S102" s="697">
        <v>3.7445167691344601</v>
      </c>
      <c r="T102" s="697">
        <v>3.4319999647480599</v>
      </c>
      <c r="U102" s="697">
        <v>3.9920461160067799</v>
      </c>
      <c r="V102" s="697">
        <v>1.5373132866836301</v>
      </c>
      <c r="W102" s="697">
        <v>7.3712328818084594E-2</v>
      </c>
      <c r="X102" s="5"/>
      <c r="Y102" s="5"/>
      <c r="Z102" s="5"/>
      <c r="AA102" s="5"/>
      <c r="AB102" s="5"/>
      <c r="AC102" s="5"/>
      <c r="AD102" s="5"/>
      <c r="AE102" s="5"/>
      <c r="AF102" s="5"/>
      <c r="AG102" s="331"/>
      <c r="AP102" s="1051" t="s">
        <v>2211</v>
      </c>
      <c r="AS102" s="44"/>
      <c r="AT102" s="42">
        <f t="shared" si="5"/>
        <v>8.68</v>
      </c>
      <c r="AU102" s="42">
        <f t="shared" si="6"/>
        <v>0.6</v>
      </c>
      <c r="AV102" s="150">
        <f>AT80</f>
        <v>8</v>
      </c>
      <c r="AW102" s="529">
        <v>1.06</v>
      </c>
      <c r="AX102" s="150">
        <v>0.2</v>
      </c>
      <c r="AY102" s="529">
        <v>0.6</v>
      </c>
      <c r="AZ102" s="39">
        <f ca="1">AT102*'Battery Design'!G440/1000+Lists!AU102</f>
        <v>14.035507150777415</v>
      </c>
    </row>
    <row r="103" spans="1:53" ht="20" x14ac:dyDescent="0.4">
      <c r="A103" s="318" t="str">
        <f>IF(ISERROR( Dashboard!C215), "", Dashboard!B215)</f>
        <v/>
      </c>
      <c r="B103" s="1252" t="str">
        <f>IFERROR(INDEX('Summary of Results'!$B:$B, MATCH(A103, 'Summary of Results'!$A:$A, 0)), "")</f>
        <v/>
      </c>
      <c r="C103" s="358" t="str">
        <f>IF(OR(ISERROR($B103), $B103 = ""), "", IFERROR(INDEX('Summary of Results'!G:G, MATCH($A103, 'Summary of Results'!$A:$A, 0)), NA()))</f>
        <v/>
      </c>
      <c r="D103" s="359" t="str">
        <f>IF(OR(ISERROR($B103), $B103 = ""), "", IFERROR(INDEX('Summary of Results'!H:H, MATCH($A103, 'Summary of Results'!$A:$A, 0)), NA()))</f>
        <v/>
      </c>
      <c r="E103" s="359" t="str">
        <f>IF(OR(ISERROR($B103), $B103 = ""), "", IFERROR(INDEX('Summary of Results'!I:I, MATCH($A103, 'Summary of Results'!$A:$A, 0)), NA()))</f>
        <v/>
      </c>
      <c r="F103" s="359" t="str">
        <f>IF(OR(ISERROR($B103), $B103 = ""), "", IFERROR(INDEX('Summary of Results'!J:J, MATCH($A103, 'Summary of Results'!$A:$A, 0)), NA()))</f>
        <v/>
      </c>
      <c r="G103" s="359" t="str">
        <f>IF(OR(ISERROR($B103), $B103 = ""), "", IFERROR(INDEX('Summary of Results'!K:K, MATCH($A103, 'Summary of Results'!$A:$A, 0)), NA()))</f>
        <v/>
      </c>
      <c r="H103" s="359" t="str">
        <f>IF(OR(ISERROR($B103), $B103 = ""), "", IFERROR(INDEX('Summary of Results'!L:L, MATCH($A103, 'Summary of Results'!$A:$A, 0)), NA()))</f>
        <v/>
      </c>
      <c r="I103" s="360" t="str">
        <f>IF(OR(ISERROR($B103), $B103 = ""), "", IFERROR(INDEX('Summary of Results'!M:M, MATCH($A103, 'Summary of Results'!$A:$A, 0)), NA()))</f>
        <v/>
      </c>
      <c r="M103" s="330">
        <v>0.72499999999999998</v>
      </c>
      <c r="N103" s="5"/>
      <c r="O103" s="697">
        <v>3.79325540512529</v>
      </c>
      <c r="P103" s="697">
        <v>3.77799604508406</v>
      </c>
      <c r="Q103" s="697">
        <v>3.7718235746154001</v>
      </c>
      <c r="R103" s="697">
        <v>3.7458381551884798</v>
      </c>
      <c r="S103" s="697">
        <v>3.7328361045588898</v>
      </c>
      <c r="T103" s="697">
        <v>3.4319997824505002</v>
      </c>
      <c r="U103" s="697">
        <v>3.9876468334786201</v>
      </c>
      <c r="V103" s="697">
        <v>1.5362102717900601</v>
      </c>
      <c r="W103" s="697">
        <v>7.3007007016228198E-2</v>
      </c>
      <c r="X103" s="5"/>
      <c r="Y103" s="5"/>
      <c r="Z103" s="5"/>
      <c r="AA103" s="5"/>
      <c r="AB103" s="5"/>
      <c r="AC103" s="5"/>
      <c r="AD103" s="5"/>
      <c r="AE103" s="5"/>
      <c r="AF103" s="5"/>
      <c r="AG103" s="331"/>
      <c r="AP103" s="1050" t="s">
        <v>2212</v>
      </c>
      <c r="AS103" s="44"/>
      <c r="AT103" s="42">
        <f t="shared" si="5"/>
        <v>2.8000000000000003</v>
      </c>
      <c r="AU103" s="42">
        <f t="shared" si="6"/>
        <v>0.5</v>
      </c>
      <c r="AV103" s="150">
        <f>AW80</f>
        <v>2</v>
      </c>
      <c r="AW103" s="150">
        <v>1.3</v>
      </c>
      <c r="AX103" s="150">
        <v>0.2</v>
      </c>
      <c r="AY103" s="150">
        <v>0.5</v>
      </c>
      <c r="AZ103" s="39">
        <f ca="1">(AT103*'Battery Design'!G394+Lists!AU103)/'Battery Design'!G28/2</f>
        <v>5.9161651860125017</v>
      </c>
    </row>
    <row r="104" spans="1:53" ht="20" x14ac:dyDescent="0.4">
      <c r="A104" s="318" t="str">
        <f>IF(ISERROR( Dashboard!C216), "", Dashboard!B216)</f>
        <v/>
      </c>
      <c r="B104" s="1252" t="str">
        <f>IFERROR(INDEX('Summary of Results'!$B:$B, MATCH(A104, 'Summary of Results'!$A:$A, 0)), "")</f>
        <v/>
      </c>
      <c r="C104" s="358" t="str">
        <f>IF(OR(ISERROR($B104), $B104 = ""), "", IFERROR(INDEX('Summary of Results'!G:G, MATCH($A104, 'Summary of Results'!$A:$A, 0)), NA()))</f>
        <v/>
      </c>
      <c r="D104" s="359" t="str">
        <f>IF(OR(ISERROR($B104), $B104 = ""), "", IFERROR(INDEX('Summary of Results'!H:H, MATCH($A104, 'Summary of Results'!$A:$A, 0)), NA()))</f>
        <v/>
      </c>
      <c r="E104" s="359" t="str">
        <f>IF(OR(ISERROR($B104), $B104 = ""), "", IFERROR(INDEX('Summary of Results'!I:I, MATCH($A104, 'Summary of Results'!$A:$A, 0)), NA()))</f>
        <v/>
      </c>
      <c r="F104" s="359" t="str">
        <f>IF(OR(ISERROR($B104), $B104 = ""), "", IFERROR(INDEX('Summary of Results'!J:J, MATCH($A104, 'Summary of Results'!$A:$A, 0)), NA()))</f>
        <v/>
      </c>
      <c r="G104" s="359" t="str">
        <f>IF(OR(ISERROR($B104), $B104 = ""), "", IFERROR(INDEX('Summary of Results'!K:K, MATCH($A104, 'Summary of Results'!$A:$A, 0)), NA()))</f>
        <v/>
      </c>
      <c r="H104" s="359" t="str">
        <f>IF(OR(ISERROR($B104), $B104 = ""), "", IFERROR(INDEX('Summary of Results'!L:L, MATCH($A104, 'Summary of Results'!$A:$A, 0)), NA()))</f>
        <v/>
      </c>
      <c r="I104" s="360" t="str">
        <f>IF(OR(ISERROR($B104), $B104 = ""), "", IFERROR(INDEX('Summary of Results'!M:M, MATCH($A104, 'Summary of Results'!$A:$A, 0)), NA()))</f>
        <v/>
      </c>
      <c r="M104" s="330">
        <v>0.75</v>
      </c>
      <c r="N104" s="5"/>
      <c r="O104" s="697">
        <v>3.7883950037518601</v>
      </c>
      <c r="P104" s="697">
        <v>3.7762373485142202</v>
      </c>
      <c r="Q104" s="697">
        <v>3.7638125928277901</v>
      </c>
      <c r="R104" s="697">
        <v>3.7336076050160401</v>
      </c>
      <c r="S104" s="697">
        <v>3.7188045982753901</v>
      </c>
      <c r="T104" s="697">
        <v>3.43199877030683</v>
      </c>
      <c r="U104" s="697">
        <v>3.9841349369938399</v>
      </c>
      <c r="V104" s="697">
        <v>1.5350270477975601</v>
      </c>
      <c r="W104" s="697">
        <v>7.2448483947712805E-2</v>
      </c>
      <c r="X104" s="5"/>
      <c r="Y104" s="5"/>
      <c r="Z104" s="5"/>
      <c r="AA104" s="5"/>
      <c r="AB104" s="5"/>
      <c r="AC104" s="5"/>
      <c r="AD104" s="5"/>
      <c r="AE104" s="5"/>
      <c r="AF104" s="5"/>
      <c r="AG104" s="331"/>
      <c r="AP104" s="1050" t="s">
        <v>2213</v>
      </c>
      <c r="AS104" s="44"/>
      <c r="AT104" s="42">
        <f t="shared" si="5"/>
        <v>8</v>
      </c>
      <c r="AU104" s="42">
        <f t="shared" si="6"/>
        <v>1</v>
      </c>
      <c r="AV104" s="150">
        <f>AW80</f>
        <v>2</v>
      </c>
      <c r="AW104" s="150">
        <v>3</v>
      </c>
      <c r="AX104" s="150">
        <v>2</v>
      </c>
      <c r="AY104" s="150">
        <v>1</v>
      </c>
      <c r="AZ104" s="39">
        <f ca="1">AT104*'Battery Design'!G401+Lists!AU104</f>
        <v>8.6096433907787713</v>
      </c>
    </row>
    <row r="105" spans="1:53" ht="20" x14ac:dyDescent="0.4">
      <c r="A105" s="318" t="str">
        <f>IF(ISERROR( Dashboard!C217), "", Dashboard!B217)</f>
        <v/>
      </c>
      <c r="B105" s="1252" t="str">
        <f>IFERROR(INDEX('Summary of Results'!$B:$B, MATCH(A105, 'Summary of Results'!$A:$A, 0)), "")</f>
        <v/>
      </c>
      <c r="C105" s="358" t="str">
        <f>IF(OR(ISERROR($B105), $B105 = ""), "", IFERROR(INDEX('Summary of Results'!G:G, MATCH($A105, 'Summary of Results'!$A:$A, 0)), NA()))</f>
        <v/>
      </c>
      <c r="D105" s="359" t="str">
        <f>IF(OR(ISERROR($B105), $B105 = ""), "", IFERROR(INDEX('Summary of Results'!H:H, MATCH($A105, 'Summary of Results'!$A:$A, 0)), NA()))</f>
        <v/>
      </c>
      <c r="E105" s="359" t="str">
        <f>IF(OR(ISERROR($B105), $B105 = ""), "", IFERROR(INDEX('Summary of Results'!I:I, MATCH($A105, 'Summary of Results'!$A:$A, 0)), NA()))</f>
        <v/>
      </c>
      <c r="F105" s="359" t="str">
        <f>IF(OR(ISERROR($B105), $B105 = ""), "", IFERROR(INDEX('Summary of Results'!J:J, MATCH($A105, 'Summary of Results'!$A:$A, 0)), NA()))</f>
        <v/>
      </c>
      <c r="G105" s="359" t="str">
        <f>IF(OR(ISERROR($B105), $B105 = ""), "", IFERROR(INDEX('Summary of Results'!K:K, MATCH($A105, 'Summary of Results'!$A:$A, 0)), NA()))</f>
        <v/>
      </c>
      <c r="H105" s="359" t="str">
        <f>IF(OR(ISERROR($B105), $B105 = ""), "", IFERROR(INDEX('Summary of Results'!L:L, MATCH($A105, 'Summary of Results'!$A:$A, 0)), NA()))</f>
        <v/>
      </c>
      <c r="I105" s="360" t="str">
        <f>IF(OR(ISERROR($B105), $B105 = ""), "", IFERROR(INDEX('Summary of Results'!M:M, MATCH($A105, 'Summary of Results'!$A:$A, 0)), NA()))</f>
        <v/>
      </c>
      <c r="M105" s="330">
        <v>0.77500000000000002</v>
      </c>
      <c r="N105" s="5"/>
      <c r="O105" s="697">
        <v>3.7793908440711701</v>
      </c>
      <c r="P105" s="697">
        <v>3.76725249102955</v>
      </c>
      <c r="Q105" s="697">
        <v>3.7568058868799201</v>
      </c>
      <c r="R105" s="697">
        <v>3.7180208813979299</v>
      </c>
      <c r="S105" s="697">
        <v>3.7052574473509599</v>
      </c>
      <c r="T105" s="697">
        <v>3.4319934500791698</v>
      </c>
      <c r="U105" s="697">
        <v>3.9808528019783802</v>
      </c>
      <c r="V105" s="697">
        <v>1.5330310424710401</v>
      </c>
      <c r="W105" s="697">
        <v>7.1949201778767805E-2</v>
      </c>
      <c r="X105" s="5"/>
      <c r="Y105" s="5"/>
      <c r="Z105" s="5"/>
      <c r="AA105" s="5"/>
      <c r="AB105" s="5"/>
      <c r="AC105" s="5"/>
      <c r="AD105" s="5"/>
      <c r="AE105" s="5"/>
      <c r="AF105" s="5"/>
      <c r="AG105" s="331"/>
      <c r="AP105" s="1050" t="s">
        <v>2214</v>
      </c>
      <c r="AS105" s="44"/>
      <c r="AT105" s="42">
        <f t="shared" si="5"/>
        <v>8.8800000000000008</v>
      </c>
      <c r="AU105" s="42">
        <f t="shared" si="6"/>
        <v>0.75</v>
      </c>
      <c r="AV105" s="150">
        <f>AT80</f>
        <v>8</v>
      </c>
      <c r="AW105" s="150">
        <v>1.06</v>
      </c>
      <c r="AX105" s="150">
        <v>0.4</v>
      </c>
      <c r="AY105" s="513">
        <v>0.75</v>
      </c>
      <c r="AZ105" s="39">
        <f ca="1">AT105*'Battery Design'!G441/1000/2+Lists!AU105</f>
        <v>4.3886579781481476</v>
      </c>
    </row>
    <row r="106" spans="1:53" ht="20" x14ac:dyDescent="0.4">
      <c r="A106" s="318" t="str">
        <f>IF(ISERROR( Dashboard!C218), "", Dashboard!B218)</f>
        <v/>
      </c>
      <c r="B106" s="1252" t="str">
        <f>IFERROR(INDEX('Summary of Results'!$B:$B, MATCH(A106, 'Summary of Results'!$A:$A, 0)), "")</f>
        <v/>
      </c>
      <c r="C106" s="358" t="str">
        <f>IF(OR(ISERROR($B106), $B106 = ""), "", IFERROR(INDEX('Summary of Results'!G:G, MATCH($A106, 'Summary of Results'!$A:$A, 0)), NA()))</f>
        <v/>
      </c>
      <c r="D106" s="359" t="str">
        <f>IF(OR(ISERROR($B106), $B106 = ""), "", IFERROR(INDEX('Summary of Results'!H:H, MATCH($A106, 'Summary of Results'!$A:$A, 0)), NA()))</f>
        <v/>
      </c>
      <c r="E106" s="359" t="str">
        <f>IF(OR(ISERROR($B106), $B106 = ""), "", IFERROR(INDEX('Summary of Results'!I:I, MATCH($A106, 'Summary of Results'!$A:$A, 0)), NA()))</f>
        <v/>
      </c>
      <c r="F106" s="359" t="str">
        <f>IF(OR(ISERROR($B106), $B106 = ""), "", IFERROR(INDEX('Summary of Results'!J:J, MATCH($A106, 'Summary of Results'!$A:$A, 0)), NA()))</f>
        <v/>
      </c>
      <c r="G106" s="359" t="str">
        <f>IF(OR(ISERROR($B106), $B106 = ""), "", IFERROR(INDEX('Summary of Results'!K:K, MATCH($A106, 'Summary of Results'!$A:$A, 0)), NA()))</f>
        <v/>
      </c>
      <c r="H106" s="359" t="str">
        <f>IF(OR(ISERROR($B106), $B106 = ""), "", IFERROR(INDEX('Summary of Results'!L:L, MATCH($A106, 'Summary of Results'!$A:$A, 0)), NA()))</f>
        <v/>
      </c>
      <c r="I106" s="360" t="str">
        <f>IF(OR(ISERROR($B106), $B106 = ""), "", IFERROR(INDEX('Summary of Results'!M:M, MATCH($A106, 'Summary of Results'!$A:$A, 0)), NA()))</f>
        <v/>
      </c>
      <c r="M106" s="330">
        <v>0.8</v>
      </c>
      <c r="N106" s="5"/>
      <c r="O106" s="697">
        <v>3.7694292121577302</v>
      </c>
      <c r="P106" s="697">
        <v>3.7642932631431298</v>
      </c>
      <c r="Q106" s="697">
        <v>3.7484293871235201</v>
      </c>
      <c r="R106" s="697">
        <v>3.7133828092971002</v>
      </c>
      <c r="S106" s="697">
        <v>3.69626813880509</v>
      </c>
      <c r="T106" s="697">
        <v>3.4319671176180599</v>
      </c>
      <c r="U106" s="697">
        <v>3.9773849492068698</v>
      </c>
      <c r="V106" s="697">
        <v>1.53019303664921</v>
      </c>
      <c r="W106" s="697">
        <v>7.1462531085526096E-2</v>
      </c>
      <c r="X106" s="5"/>
      <c r="Y106" s="5"/>
      <c r="Z106" s="5"/>
      <c r="AA106" s="5"/>
      <c r="AB106" s="5"/>
      <c r="AC106" s="5"/>
      <c r="AD106" s="5"/>
      <c r="AE106" s="5"/>
      <c r="AF106" s="5"/>
      <c r="AG106" s="331"/>
      <c r="AP106" s="353" t="s">
        <v>2215</v>
      </c>
      <c r="AS106" s="44"/>
      <c r="AT106" s="42">
        <f t="shared" si="5"/>
        <v>1.4000000000000001</v>
      </c>
      <c r="AU106" s="42">
        <f t="shared" si="6"/>
        <v>3</v>
      </c>
      <c r="AV106" s="150">
        <f>AV80</f>
        <v>0.75</v>
      </c>
      <c r="AW106" s="150">
        <v>1.6</v>
      </c>
      <c r="AX106" s="532">
        <v>0.2</v>
      </c>
      <c r="AY106" s="150">
        <v>3</v>
      </c>
      <c r="AZ106" s="39">
        <f ca="1">AT106*'Battery Design'!G422+Lists!AU106</f>
        <v>25.295756497967581</v>
      </c>
    </row>
    <row r="107" spans="1:53" ht="20" x14ac:dyDescent="0.4">
      <c r="A107" s="318" t="str">
        <f>IF(ISERROR( Dashboard!C219), "", Dashboard!B219)</f>
        <v/>
      </c>
      <c r="B107" s="1252" t="str">
        <f>IFERROR(INDEX('Summary of Results'!$B:$B, MATCH(A107, 'Summary of Results'!$A:$A, 0)), "")</f>
        <v/>
      </c>
      <c r="C107" s="358" t="str">
        <f>IF(OR(ISERROR($B107), $B107 = ""), "", IFERROR(INDEX('Summary of Results'!G:G, MATCH($A107, 'Summary of Results'!$A:$A, 0)), NA()))</f>
        <v/>
      </c>
      <c r="D107" s="359" t="str">
        <f>IF(OR(ISERROR($B107), $B107 = ""), "", IFERROR(INDEX('Summary of Results'!H:H, MATCH($A107, 'Summary of Results'!$A:$A, 0)), NA()))</f>
        <v/>
      </c>
      <c r="E107" s="359" t="str">
        <f>IF(OR(ISERROR($B107), $B107 = ""), "", IFERROR(INDEX('Summary of Results'!I:I, MATCH($A107, 'Summary of Results'!$A:$A, 0)), NA()))</f>
        <v/>
      </c>
      <c r="F107" s="359" t="str">
        <f>IF(OR(ISERROR($B107), $B107 = ""), "", IFERROR(INDEX('Summary of Results'!J:J, MATCH($A107, 'Summary of Results'!$A:$A, 0)), NA()))</f>
        <v/>
      </c>
      <c r="G107" s="359" t="str">
        <f>IF(OR(ISERROR($B107), $B107 = ""), "", IFERROR(INDEX('Summary of Results'!K:K, MATCH($A107, 'Summary of Results'!$A:$A, 0)), NA()))</f>
        <v/>
      </c>
      <c r="H107" s="359" t="str">
        <f>IF(OR(ISERROR($B107), $B107 = ""), "", IFERROR(INDEX('Summary of Results'!L:L, MATCH($A107, 'Summary of Results'!$A:$A, 0)), NA()))</f>
        <v/>
      </c>
      <c r="I107" s="360" t="str">
        <f>IF(OR(ISERROR($B107), $B107 = ""), "", IFERROR(INDEX('Summary of Results'!M:M, MATCH($A107, 'Summary of Results'!$A:$A, 0)), NA()))</f>
        <v/>
      </c>
      <c r="M107" s="330">
        <v>0.82499999999999996</v>
      </c>
      <c r="N107" s="5"/>
      <c r="O107" s="697">
        <v>3.76009047613366</v>
      </c>
      <c r="P107" s="697">
        <v>3.7564511310527902</v>
      </c>
      <c r="Q107" s="697">
        <v>3.7437726768836099</v>
      </c>
      <c r="R107" s="697">
        <v>3.7071671264117501</v>
      </c>
      <c r="S107" s="697">
        <v>3.6867077002217501</v>
      </c>
      <c r="T107" s="697">
        <v>3.43184507444828</v>
      </c>
      <c r="U107" s="697">
        <v>3.9734067340488801</v>
      </c>
      <c r="V107" s="697">
        <v>1.5276051143552301</v>
      </c>
      <c r="W107" s="697">
        <v>7.0962562102994398E-2</v>
      </c>
      <c r="X107" s="5"/>
      <c r="Y107" s="5"/>
      <c r="Z107" s="5"/>
      <c r="AA107" s="5"/>
      <c r="AB107" s="5"/>
      <c r="AC107" s="5"/>
      <c r="AD107" s="5"/>
      <c r="AE107" s="5"/>
      <c r="AF107" s="5"/>
      <c r="AG107" s="331"/>
      <c r="AP107" s="353" t="s">
        <v>2216</v>
      </c>
      <c r="AS107" s="44"/>
      <c r="AT107" s="42">
        <f t="shared" si="5"/>
        <v>2.8050000000000002</v>
      </c>
      <c r="AU107" s="42">
        <f t="shared" si="6"/>
        <v>3</v>
      </c>
      <c r="AV107" s="150">
        <f>AU80</f>
        <v>1.85</v>
      </c>
      <c r="AW107" s="150">
        <v>1.3</v>
      </c>
      <c r="AX107" s="532">
        <v>0.4</v>
      </c>
      <c r="AY107" s="150">
        <v>3</v>
      </c>
      <c r="AZ107" s="39">
        <f ca="1">AT107*('Battery Design'!G424+'Battery Design'!G431)+Lists!AU107</f>
        <v>96.620209665806328</v>
      </c>
    </row>
    <row r="108" spans="1:53" ht="20" x14ac:dyDescent="0.4">
      <c r="A108" s="318" t="str">
        <f>IF(ISERROR( Dashboard!C220), "", Dashboard!B220)</f>
        <v/>
      </c>
      <c r="B108" s="1252" t="str">
        <f>IFERROR(INDEX('Summary of Results'!$B:$B, MATCH(A108, 'Summary of Results'!$A:$A, 0)), "")</f>
        <v/>
      </c>
      <c r="C108" s="358" t="str">
        <f>IF(OR(ISERROR($B108), $B108 = ""), "", IFERROR(INDEX('Summary of Results'!G:G, MATCH($A108, 'Summary of Results'!$A:$A, 0)), NA()))</f>
        <v/>
      </c>
      <c r="D108" s="359" t="str">
        <f>IF(OR(ISERROR($B108), $B108 = ""), "", IFERROR(INDEX('Summary of Results'!H:H, MATCH($A108, 'Summary of Results'!$A:$A, 0)), NA()))</f>
        <v/>
      </c>
      <c r="E108" s="359" t="str">
        <f>IF(OR(ISERROR($B108), $B108 = ""), "", IFERROR(INDEX('Summary of Results'!I:I, MATCH($A108, 'Summary of Results'!$A:$A, 0)), NA()))</f>
        <v/>
      </c>
      <c r="F108" s="359" t="str">
        <f>IF(OR(ISERROR($B108), $B108 = ""), "", IFERROR(INDEX('Summary of Results'!J:J, MATCH($A108, 'Summary of Results'!$A:$A, 0)), NA()))</f>
        <v/>
      </c>
      <c r="G108" s="359" t="str">
        <f>IF(OR(ISERROR($B108), $B108 = ""), "", IFERROR(INDEX('Summary of Results'!K:K, MATCH($A108, 'Summary of Results'!$A:$A, 0)), NA()))</f>
        <v/>
      </c>
      <c r="H108" s="359" t="str">
        <f>IF(OR(ISERROR($B108), $B108 = ""), "", IFERROR(INDEX('Summary of Results'!L:L, MATCH($A108, 'Summary of Results'!$A:$A, 0)), NA()))</f>
        <v/>
      </c>
      <c r="I108" s="360" t="str">
        <f>IF(OR(ISERROR($B108), $B108 = ""), "", IFERROR(INDEX('Summary of Results'!M:M, MATCH($A108, 'Summary of Results'!$A:$A, 0)), NA()))</f>
        <v/>
      </c>
      <c r="M108" s="330">
        <v>0.85</v>
      </c>
      <c r="N108" s="5"/>
      <c r="O108" s="697">
        <v>3.7508235546009399</v>
      </c>
      <c r="P108" s="697">
        <v>3.7532949561457301</v>
      </c>
      <c r="Q108" s="697">
        <v>3.7393224913771599</v>
      </c>
      <c r="R108" s="697">
        <v>3.6933251424317599</v>
      </c>
      <c r="S108" s="697">
        <v>3.6742862207947602</v>
      </c>
      <c r="T108" s="697">
        <v>3.4313190299170602</v>
      </c>
      <c r="U108" s="697">
        <v>3.9685664137179599</v>
      </c>
      <c r="V108" s="697">
        <v>1.5191903344481601</v>
      </c>
      <c r="W108" s="697">
        <v>7.0432511605524495E-2</v>
      </c>
      <c r="X108" s="5"/>
      <c r="Y108" s="5"/>
      <c r="Z108" s="5"/>
      <c r="AA108" s="5"/>
      <c r="AB108" s="5"/>
      <c r="AC108" s="5"/>
      <c r="AD108" s="5"/>
      <c r="AE108" s="5"/>
      <c r="AF108" s="5"/>
      <c r="AG108" s="331"/>
      <c r="AP108" s="353" t="s">
        <v>2217</v>
      </c>
      <c r="AS108" s="150">
        <v>3</v>
      </c>
      <c r="AT108" s="44"/>
      <c r="AU108" s="446"/>
      <c r="AV108" s="45"/>
      <c r="AW108" s="44"/>
      <c r="AX108" s="44"/>
      <c r="AZ108" s="533">
        <f ca="1">AS108*('Battery Design'!G425+'Battery Design'!G432)</f>
        <v>17.053058434976315</v>
      </c>
    </row>
    <row r="109" spans="1:53" ht="26.9" customHeight="1" x14ac:dyDescent="0.4">
      <c r="A109" s="318" t="str">
        <f>IF(ISERROR( Dashboard!C221), "", Dashboard!B221)</f>
        <v/>
      </c>
      <c r="B109" s="1252" t="str">
        <f>IFERROR(INDEX('Summary of Results'!$B:$B, MATCH(A109, 'Summary of Results'!$A:$A, 0)), "")</f>
        <v/>
      </c>
      <c r="C109" s="358" t="str">
        <f>IF(OR(ISERROR($B109), $B109 = ""), "", IFERROR(INDEX('Summary of Results'!G:G, MATCH($A109, 'Summary of Results'!$A:$A, 0)), NA()))</f>
        <v/>
      </c>
      <c r="D109" s="359" t="str">
        <f>IF(OR(ISERROR($B109), $B109 = ""), "", IFERROR(INDEX('Summary of Results'!H:H, MATCH($A109, 'Summary of Results'!$A:$A, 0)), NA()))</f>
        <v/>
      </c>
      <c r="E109" s="359" t="str">
        <f>IF(OR(ISERROR($B109), $B109 = ""), "", IFERROR(INDEX('Summary of Results'!I:I, MATCH($A109, 'Summary of Results'!$A:$A, 0)), NA()))</f>
        <v/>
      </c>
      <c r="F109" s="359" t="str">
        <f>IF(OR(ISERROR($B109), $B109 = ""), "", IFERROR(INDEX('Summary of Results'!J:J, MATCH($A109, 'Summary of Results'!$A:$A, 0)), NA()))</f>
        <v/>
      </c>
      <c r="G109" s="359" t="str">
        <f>IF(OR(ISERROR($B109), $B109 = ""), "", IFERROR(INDEX('Summary of Results'!K:K, MATCH($A109, 'Summary of Results'!$A:$A, 0)), NA()))</f>
        <v/>
      </c>
      <c r="H109" s="359" t="str">
        <f>IF(OR(ISERROR($B109), $B109 = ""), "", IFERROR(INDEX('Summary of Results'!L:L, MATCH($A109, 'Summary of Results'!$A:$A, 0)), NA()))</f>
        <v/>
      </c>
      <c r="I109" s="360" t="str">
        <f>IF(OR(ISERROR($B109), $B109 = ""), "", IFERROR(INDEX('Summary of Results'!M:M, MATCH($A109, 'Summary of Results'!$A:$A, 0)), NA()))</f>
        <v/>
      </c>
      <c r="M109" s="330">
        <v>0.875</v>
      </c>
      <c r="N109" s="5"/>
      <c r="O109" s="697">
        <v>3.7444789800370999</v>
      </c>
      <c r="P109" s="697">
        <v>3.7487082935177698</v>
      </c>
      <c r="Q109" s="697">
        <v>3.7350748495257902</v>
      </c>
      <c r="R109" s="697">
        <v>3.69025751827655</v>
      </c>
      <c r="S109" s="697">
        <v>3.6630798721539302</v>
      </c>
      <c r="T109" s="697">
        <v>3.4292290476201601</v>
      </c>
      <c r="U109" s="697">
        <v>3.9623550487366002</v>
      </c>
      <c r="V109" s="697">
        <v>1.4839338002296201</v>
      </c>
      <c r="W109" s="697">
        <v>6.9854202861120096E-2</v>
      </c>
      <c r="X109" s="5"/>
      <c r="Y109" s="5"/>
      <c r="Z109" s="5"/>
      <c r="AA109" s="5"/>
      <c r="AB109" s="5"/>
      <c r="AC109" s="5"/>
      <c r="AD109" s="5"/>
      <c r="AE109" s="5"/>
      <c r="AF109" s="5"/>
      <c r="AG109" s="331"/>
      <c r="AP109" s="90" t="s">
        <v>2197</v>
      </c>
      <c r="AR109" s="45"/>
      <c r="AS109" s="44"/>
      <c r="AT109" s="44"/>
      <c r="AU109" s="150">
        <v>0.85</v>
      </c>
      <c r="AV109" s="44"/>
      <c r="AW109" s="44"/>
      <c r="AX109" s="531"/>
      <c r="AZ109" s="39">
        <f ca="1">AZ106+AZ107+AZ108</f>
        <v>138.96902459875022</v>
      </c>
    </row>
    <row r="110" spans="1:53" ht="20" x14ac:dyDescent="0.4">
      <c r="A110" s="318" t="str">
        <f>IF(ISERROR( Dashboard!C222), "", Dashboard!B222)</f>
        <v/>
      </c>
      <c r="B110" s="1252" t="str">
        <f>IFERROR(INDEX('Summary of Results'!$B:$B, MATCH(A110, 'Summary of Results'!$A:$A, 0)), "")</f>
        <v/>
      </c>
      <c r="C110" s="358" t="str">
        <f>IF(OR(ISERROR($B110), $B110 = ""), "", IFERROR(INDEX('Summary of Results'!G:G, MATCH($A110, 'Summary of Results'!$A:$A, 0)), NA()))</f>
        <v/>
      </c>
      <c r="D110" s="359" t="str">
        <f>IF(OR(ISERROR($B110), $B110 = ""), "", IFERROR(INDEX('Summary of Results'!H:H, MATCH($A110, 'Summary of Results'!$A:$A, 0)), NA()))</f>
        <v/>
      </c>
      <c r="E110" s="359" t="str">
        <f>IF(OR(ISERROR($B110), $B110 = ""), "", IFERROR(INDEX('Summary of Results'!I:I, MATCH($A110, 'Summary of Results'!$A:$A, 0)), NA()))</f>
        <v/>
      </c>
      <c r="F110" s="359" t="str">
        <f>IF(OR(ISERROR($B110), $B110 = ""), "", IFERROR(INDEX('Summary of Results'!J:J, MATCH($A110, 'Summary of Results'!$A:$A, 0)), NA()))</f>
        <v/>
      </c>
      <c r="G110" s="359" t="str">
        <f>IF(OR(ISERROR($B110), $B110 = ""), "", IFERROR(INDEX('Summary of Results'!K:K, MATCH($A110, 'Summary of Results'!$A:$A, 0)), NA()))</f>
        <v/>
      </c>
      <c r="H110" s="359" t="str">
        <f>IF(OR(ISERROR($B110), $B110 = ""), "", IFERROR(INDEX('Summary of Results'!L:L, MATCH($A110, 'Summary of Results'!$A:$A, 0)), NA()))</f>
        <v/>
      </c>
      <c r="I110" s="360" t="str">
        <f>IF(OR(ISERROR($B110), $B110 = ""), "", IFERROR(INDEX('Summary of Results'!M:M, MATCH($A110, 'Summary of Results'!$A:$A, 0)), NA()))</f>
        <v/>
      </c>
      <c r="M110" s="330">
        <v>0.9</v>
      </c>
      <c r="N110" s="5"/>
      <c r="O110" s="697">
        <v>3.73291114426697</v>
      </c>
      <c r="P110" s="697">
        <v>3.7387681426065398</v>
      </c>
      <c r="Q110" s="697">
        <v>3.73153467505748</v>
      </c>
      <c r="R110" s="697">
        <v>3.6815377641939802</v>
      </c>
      <c r="S110" s="697">
        <v>3.6554021276109601</v>
      </c>
      <c r="T110" s="697">
        <v>3.4216686037205499</v>
      </c>
      <c r="U110" s="697">
        <v>3.9538742205180699</v>
      </c>
      <c r="V110" s="697">
        <v>1.4304538766519801</v>
      </c>
      <c r="W110" s="697">
        <v>6.9164291859371299E-2</v>
      </c>
      <c r="X110" s="5"/>
      <c r="Y110" s="5"/>
      <c r="Z110" s="5"/>
      <c r="AA110" s="5"/>
      <c r="AB110" s="5"/>
      <c r="AC110" s="5"/>
      <c r="AD110" s="5"/>
      <c r="AE110" s="5"/>
      <c r="AF110" s="5"/>
      <c r="AG110" s="331"/>
      <c r="AP110" s="353"/>
      <c r="AS110" s="44"/>
      <c r="AT110" s="530"/>
      <c r="AU110" s="446"/>
      <c r="AV110" s="44"/>
      <c r="AW110" s="44"/>
      <c r="AX110" s="531"/>
    </row>
    <row r="111" spans="1:53" ht="20.5" thickBot="1" x14ac:dyDescent="0.45">
      <c r="A111" s="318" t="str">
        <f>IF(ISERROR( Dashboard!C223), "", Dashboard!B223)</f>
        <v/>
      </c>
      <c r="B111" s="1253" t="str">
        <f>IFERROR(INDEX('Summary of Results'!$B:$B, MATCH(A111, 'Summary of Results'!$A:$A, 0)), "")</f>
        <v/>
      </c>
      <c r="C111" s="358" t="str">
        <f>IF(OR(ISERROR($B111), $B111 = ""), "", IFERROR(INDEX('Summary of Results'!G:G, MATCH($A111, 'Summary of Results'!$A:$A, 0)), NA()))</f>
        <v/>
      </c>
      <c r="D111" s="359" t="str">
        <f>IF(OR(ISERROR($B111), $B111 = ""), "", IFERROR(INDEX('Summary of Results'!H:H, MATCH($A111, 'Summary of Results'!$A:$A, 0)), NA()))</f>
        <v/>
      </c>
      <c r="E111" s="359" t="str">
        <f>IF(OR(ISERROR($B111), $B111 = ""), "", IFERROR(INDEX('Summary of Results'!I:I, MATCH($A111, 'Summary of Results'!$A:$A, 0)), NA()))</f>
        <v/>
      </c>
      <c r="F111" s="359" t="str">
        <f>IF(OR(ISERROR($B111), $B111 = ""), "", IFERROR(INDEX('Summary of Results'!J:J, MATCH($A111, 'Summary of Results'!$A:$A, 0)), NA()))</f>
        <v/>
      </c>
      <c r="G111" s="359" t="str">
        <f>IF(OR(ISERROR($B111), $B111 = ""), "", IFERROR(INDEX('Summary of Results'!K:K, MATCH($A111, 'Summary of Results'!$A:$A, 0)), NA()))</f>
        <v/>
      </c>
      <c r="H111" s="359" t="str">
        <f>IF(OR(ISERROR($B111), $B111 = ""), "", IFERROR(INDEX('Summary of Results'!L:L, MATCH($A111, 'Summary of Results'!$A:$A, 0)), NA()))</f>
        <v/>
      </c>
      <c r="I111" s="360" t="str">
        <f>IF(OR(ISERROR($B111), $B111 = ""), "", IFERROR(INDEX('Summary of Results'!M:M, MATCH($A111, 'Summary of Results'!$A:$A, 0)), NA()))</f>
        <v/>
      </c>
      <c r="M111" s="330">
        <v>0.92500000000000004</v>
      </c>
      <c r="N111" s="5"/>
      <c r="O111" s="697">
        <v>3.7176342614041999</v>
      </c>
      <c r="P111" s="697">
        <v>3.7355642194705601</v>
      </c>
      <c r="Q111" s="697">
        <v>3.72345527500041</v>
      </c>
      <c r="R111" s="697">
        <v>3.6729917792658502</v>
      </c>
      <c r="S111" s="697">
        <v>3.65033890227576</v>
      </c>
      <c r="T111" s="697">
        <v>3.39721461095573</v>
      </c>
      <c r="U111" s="697">
        <v>3.9412408803984098</v>
      </c>
      <c r="V111" s="697">
        <v>1.3650164220183401</v>
      </c>
      <c r="W111" s="697">
        <v>6.7894368818130296E-2</v>
      </c>
      <c r="X111" s="5"/>
      <c r="Y111" s="5"/>
      <c r="Z111" s="5"/>
      <c r="AA111" s="5"/>
      <c r="AB111" s="5"/>
      <c r="AC111" s="5"/>
      <c r="AD111" s="5"/>
      <c r="AE111" s="5"/>
      <c r="AF111" s="5"/>
      <c r="AG111" s="331"/>
      <c r="AP111" s="353"/>
      <c r="AS111" s="44"/>
      <c r="AT111" s="530"/>
      <c r="AU111" s="446"/>
      <c r="AV111" s="45"/>
      <c r="AW111" s="44"/>
      <c r="AX111" s="531"/>
      <c r="AY111" s="44"/>
    </row>
    <row r="112" spans="1:53" ht="20" x14ac:dyDescent="0.4">
      <c r="A112" s="318" t="str">
        <f>IF(ISERROR( Dashboard!C224), "", Dashboard!B224)</f>
        <v/>
      </c>
      <c r="B112" s="1250" t="str">
        <f>IFERROR(INDEX('Summary of Results'!$B:$B, MATCH(A112, 'Summary of Results'!$A:$A, 0)), "")</f>
        <v/>
      </c>
      <c r="C112" s="358" t="str">
        <f>IF(OR(ISERROR($B112), $B112 = ""), "", IFERROR(INDEX('Summary of Results'!G:G, MATCH($A112, 'Summary of Results'!$A:$A, 0)), NA()))</f>
        <v/>
      </c>
      <c r="D112" s="359" t="str">
        <f>IF(OR(ISERROR($B112), $B112 = ""), "", IFERROR(INDEX('Summary of Results'!H:H, MATCH($A112, 'Summary of Results'!$A:$A, 0)), NA()))</f>
        <v/>
      </c>
      <c r="E112" s="359" t="str">
        <f>IF(OR(ISERROR($B112), $B112 = ""), "", IFERROR(INDEX('Summary of Results'!I:I, MATCH($A112, 'Summary of Results'!$A:$A, 0)), NA()))</f>
        <v/>
      </c>
      <c r="F112" s="359" t="str">
        <f>IF(OR(ISERROR($B112), $B112 = ""), "", IFERROR(INDEX('Summary of Results'!J:J, MATCH($A112, 'Summary of Results'!$A:$A, 0)), NA()))</f>
        <v/>
      </c>
      <c r="G112" s="359" t="str">
        <f>IF(OR(ISERROR($B112), $B112 = ""), "", IFERROR(INDEX('Summary of Results'!K:K, MATCH($A112, 'Summary of Results'!$A:$A, 0)), NA()))</f>
        <v/>
      </c>
      <c r="H112" s="359" t="str">
        <f>IF(OR(ISERROR($B112), $B112 = ""), "", IFERROR(INDEX('Summary of Results'!L:L, MATCH($A112, 'Summary of Results'!$A:$A, 0)), NA()))</f>
        <v/>
      </c>
      <c r="I112" s="360" t="str">
        <f>IF(OR(ISERROR($B112), $B112 = ""), "", IFERROR(INDEX('Summary of Results'!M:M, MATCH($A112, 'Summary of Results'!$A:$A, 0)), NA()))</f>
        <v/>
      </c>
      <c r="M112" s="330">
        <v>0.95</v>
      </c>
      <c r="N112" s="5"/>
      <c r="O112" s="697">
        <v>3.7046850749205702</v>
      </c>
      <c r="P112" s="697">
        <v>3.7208165201221099</v>
      </c>
      <c r="Q112" s="697">
        <v>3.7167554549472999</v>
      </c>
      <c r="R112" s="697">
        <v>3.6643194386983202</v>
      </c>
      <c r="S112" s="697">
        <v>3.64259784731254</v>
      </c>
      <c r="T112" s="697">
        <v>3.32860336251612</v>
      </c>
      <c r="U112" s="697">
        <v>3.9194847831628898</v>
      </c>
      <c r="V112" s="697">
        <v>1.30262051420838</v>
      </c>
      <c r="W112" s="697">
        <v>6.22966222123097E-2</v>
      </c>
      <c r="X112" s="5"/>
      <c r="Y112" s="5"/>
      <c r="Z112" s="5"/>
      <c r="AA112" s="5"/>
      <c r="AB112" s="5"/>
      <c r="AC112" s="5"/>
      <c r="AD112" s="5"/>
      <c r="AE112" s="5"/>
      <c r="AF112" s="5"/>
      <c r="AG112" s="331"/>
      <c r="AP112" s="353"/>
      <c r="AS112" s="44"/>
      <c r="AT112" s="530"/>
      <c r="AU112" s="446"/>
      <c r="AV112" s="45"/>
      <c r="AW112" s="44"/>
      <c r="AX112" s="531"/>
      <c r="AY112" s="44"/>
    </row>
    <row r="113" spans="1:51" ht="20" x14ac:dyDescent="0.4">
      <c r="A113" s="318" t="str">
        <f>IF(ISERROR( Dashboard!C225), "", Dashboard!B225)</f>
        <v/>
      </c>
      <c r="B113" s="357" t="str">
        <f>IFERROR(INDEX('Summary of Results'!$B:$B, MATCH(A113, 'Summary of Results'!$A:$A, 0)), "")</f>
        <v/>
      </c>
      <c r="C113" s="358" t="str">
        <f>IF(OR(ISERROR($B113), $B113 = ""), "", IFERROR(INDEX('Summary of Results'!G:G, MATCH($A113, 'Summary of Results'!$A:$A, 0)), NA()))</f>
        <v/>
      </c>
      <c r="D113" s="359" t="str">
        <f>IF(OR(ISERROR($B113), $B113 = ""), "", IFERROR(INDEX('Summary of Results'!H:H, MATCH($A113, 'Summary of Results'!$A:$A, 0)), NA()))</f>
        <v/>
      </c>
      <c r="E113" s="359" t="str">
        <f>IF(OR(ISERROR($B113), $B113 = ""), "", IFERROR(INDEX('Summary of Results'!I:I, MATCH($A113, 'Summary of Results'!$A:$A, 0)), NA()))</f>
        <v/>
      </c>
      <c r="F113" s="359" t="str">
        <f>IF(OR(ISERROR($B113), $B113 = ""), "", IFERROR(INDEX('Summary of Results'!J:J, MATCH($A113, 'Summary of Results'!$A:$A, 0)), NA()))</f>
        <v/>
      </c>
      <c r="G113" s="359" t="str">
        <f>IF(OR(ISERROR($B113), $B113 = ""), "", IFERROR(INDEX('Summary of Results'!K:K, MATCH($A113, 'Summary of Results'!$A:$A, 0)), NA()))</f>
        <v/>
      </c>
      <c r="H113" s="359" t="str">
        <f>IF(OR(ISERROR($B113), $B113 = ""), "", IFERROR(INDEX('Summary of Results'!L:L, MATCH($A113, 'Summary of Results'!$A:$A, 0)), NA()))</f>
        <v/>
      </c>
      <c r="I113" s="360" t="str">
        <f>IF(OR(ISERROR($B113), $B113 = ""), "", IFERROR(INDEX('Summary of Results'!M:M, MATCH($A113, 'Summary of Results'!$A:$A, 0)), NA()))</f>
        <v/>
      </c>
      <c r="M113" s="330">
        <v>0.97499999999999998</v>
      </c>
      <c r="N113" s="5"/>
      <c r="O113" s="697">
        <v>3.6931289831554199</v>
      </c>
      <c r="P113" s="697">
        <v>3.7212326868265801</v>
      </c>
      <c r="Q113" s="697">
        <v>3.7108934642783602</v>
      </c>
      <c r="R113" s="697">
        <v>3.6561497505155902</v>
      </c>
      <c r="S113" s="697">
        <v>3.6375822697596401</v>
      </c>
      <c r="T113" s="697">
        <v>3.1718426878756101</v>
      </c>
      <c r="U113" s="697">
        <v>3.8679930173082</v>
      </c>
      <c r="V113" s="697">
        <v>1.2361261514195501</v>
      </c>
      <c r="W113" s="697">
        <v>2.7548970022251498E-2</v>
      </c>
      <c r="X113" s="5"/>
      <c r="Y113" s="5"/>
      <c r="Z113" s="5"/>
      <c r="AA113" s="5"/>
      <c r="AB113" s="5"/>
      <c r="AC113" s="5"/>
      <c r="AD113" s="5"/>
      <c r="AE113" s="5"/>
      <c r="AF113" s="5"/>
      <c r="AG113" s="331"/>
      <c r="AP113" s="353"/>
      <c r="AS113" s="44"/>
      <c r="AT113" s="530"/>
      <c r="AU113" s="446"/>
      <c r="AV113" s="45"/>
      <c r="AW113" s="44"/>
      <c r="AX113" s="531"/>
      <c r="AY113" s="44"/>
    </row>
    <row r="114" spans="1:51" ht="20" x14ac:dyDescent="0.4">
      <c r="A114" s="318" t="str">
        <f>IF(ISERROR( Dashboard!C228), "", Dashboard!B228)</f>
        <v/>
      </c>
      <c r="B114" s="357" t="str">
        <f>IFERROR(INDEX('Summary of Results'!$B:$B, MATCH(A114, 'Summary of Results'!$A:$A, 0)), "")</f>
        <v/>
      </c>
      <c r="C114" s="358" t="str">
        <f>IF(OR(ISERROR($B114), $B114 = ""), "", IFERROR(INDEX('Summary of Results'!G:G, MATCH($A114, 'Summary of Results'!$A:$A, 0)), NA()))</f>
        <v/>
      </c>
      <c r="D114" s="359" t="str">
        <f>IF(OR(ISERROR($B114), $B114 = ""), "", IFERROR(INDEX('Summary of Results'!H:H, MATCH($A114, 'Summary of Results'!$A:$A, 0)), NA()))</f>
        <v/>
      </c>
      <c r="E114" s="359" t="str">
        <f>IF(OR(ISERROR($B114), $B114 = ""), "", IFERROR(INDEX('Summary of Results'!I:I, MATCH($A114, 'Summary of Results'!$A:$A, 0)), NA()))</f>
        <v/>
      </c>
      <c r="F114" s="359" t="str">
        <f>IF(OR(ISERROR($B114), $B114 = ""), "", IFERROR(INDEX('Summary of Results'!J:J, MATCH($A114, 'Summary of Results'!$A:$A, 0)), NA()))</f>
        <v/>
      </c>
      <c r="G114" s="359" t="str">
        <f>IF(OR(ISERROR($B114), $B114 = ""), "", IFERROR(INDEX('Summary of Results'!K:K, MATCH($A114, 'Summary of Results'!$A:$A, 0)), NA()))</f>
        <v/>
      </c>
      <c r="H114" s="359" t="str">
        <f>IF(OR(ISERROR($B114), $B114 = ""), "", IFERROR(INDEX('Summary of Results'!L:L, MATCH($A114, 'Summary of Results'!$A:$A, 0)), NA()))</f>
        <v/>
      </c>
      <c r="I114" s="360" t="str">
        <f>IF(OR(ISERROR($B114), $B114 = ""), "", IFERROR(INDEX('Summary of Results'!M:M, MATCH($A114, 'Summary of Results'!$A:$A, 0)), NA()))</f>
        <v/>
      </c>
      <c r="M114" s="330">
        <v>0.99</v>
      </c>
      <c r="N114" s="5"/>
      <c r="O114" s="697">
        <v>3.6845621613237598</v>
      </c>
      <c r="P114" s="697">
        <v>3.6970513486815402</v>
      </c>
      <c r="Q114" s="697">
        <v>3.7070146049911501</v>
      </c>
      <c r="R114" s="697">
        <v>3.6388698325129201</v>
      </c>
      <c r="S114" s="697">
        <v>3.62483915375886</v>
      </c>
      <c r="T114" s="697">
        <v>3.0310111997950702</v>
      </c>
      <c r="U114" s="697">
        <v>3.7542971819561002</v>
      </c>
      <c r="V114" s="697">
        <v>1.1923932314410399</v>
      </c>
      <c r="W114" s="697">
        <v>-4.0339312090070301E-2</v>
      </c>
      <c r="X114" s="5"/>
      <c r="Y114" s="5"/>
      <c r="Z114" s="5"/>
      <c r="AA114" s="5"/>
      <c r="AB114" s="5"/>
      <c r="AC114" s="5"/>
      <c r="AD114" s="5"/>
      <c r="AE114" s="5"/>
      <c r="AF114" s="5"/>
      <c r="AG114" s="331"/>
      <c r="AP114" s="353"/>
      <c r="AS114" s="44"/>
      <c r="AT114" s="530"/>
      <c r="AU114" s="446"/>
      <c r="AV114" s="45"/>
      <c r="AW114" s="44"/>
      <c r="AX114" s="531"/>
      <c r="AY114" s="44"/>
    </row>
    <row r="115" spans="1:51" ht="20.5" thickBot="1" x14ac:dyDescent="0.45">
      <c r="A115" s="318" t="str">
        <f>IF(ISERROR( Dashboard!C229), "", Dashboard!B229)</f>
        <v/>
      </c>
      <c r="B115" s="357" t="str">
        <f>IFERROR(INDEX('Summary of Results'!$B:$B, MATCH(A115, 'Summary of Results'!$A:$A, 0)), "")</f>
        <v/>
      </c>
      <c r="C115" s="358" t="str">
        <f>IF(OR(ISERROR($B115), $B115 = ""), "", IFERROR(INDEX('Summary of Results'!G:G, MATCH($A115, 'Summary of Results'!$A:$A, 0)), NA()))</f>
        <v/>
      </c>
      <c r="D115" s="359" t="str">
        <f>IF(OR(ISERROR($B115), $B115 = ""), "", IFERROR(INDEX('Summary of Results'!H:H, MATCH($A115, 'Summary of Results'!$A:$A, 0)), NA()))</f>
        <v/>
      </c>
      <c r="E115" s="359" t="str">
        <f>IF(OR(ISERROR($B115), $B115 = ""), "", IFERROR(INDEX('Summary of Results'!I:I, MATCH($A115, 'Summary of Results'!$A:$A, 0)), NA()))</f>
        <v/>
      </c>
      <c r="F115" s="359" t="str">
        <f>IF(OR(ISERROR($B115), $B115 = ""), "", IFERROR(INDEX('Summary of Results'!J:J, MATCH($A115, 'Summary of Results'!$A:$A, 0)), NA()))</f>
        <v/>
      </c>
      <c r="G115" s="359" t="str">
        <f>IF(OR(ISERROR($B115), $B115 = ""), "", IFERROR(INDEX('Summary of Results'!K:K, MATCH($A115, 'Summary of Results'!$A:$A, 0)), NA()))</f>
        <v/>
      </c>
      <c r="H115" s="359" t="str">
        <f>IF(OR(ISERROR($B115), $B115 = ""), "", IFERROR(INDEX('Summary of Results'!L:L, MATCH($A115, 'Summary of Results'!$A:$A, 0)), NA()))</f>
        <v/>
      </c>
      <c r="I115" s="360" t="str">
        <f>IF(OR(ISERROR($B115), $B115 = ""), "", IFERROR(INDEX('Summary of Results'!M:M, MATCH($A115, 'Summary of Results'!$A:$A, 0)), NA()))</f>
        <v/>
      </c>
      <c r="M115" s="330"/>
      <c r="N115" s="5"/>
      <c r="O115" s="5"/>
      <c r="P115" s="5"/>
      <c r="Q115" s="5"/>
      <c r="R115" s="5"/>
      <c r="S115" s="5"/>
      <c r="T115" s="5"/>
      <c r="U115" s="5"/>
      <c r="V115" s="5"/>
      <c r="W115" s="5"/>
      <c r="X115" s="5"/>
      <c r="Y115" s="5"/>
      <c r="Z115" s="5"/>
      <c r="AA115" s="5"/>
      <c r="AB115" s="5"/>
      <c r="AC115" s="5"/>
      <c r="AD115" s="5"/>
      <c r="AE115" s="5"/>
      <c r="AF115" s="5"/>
      <c r="AG115" s="331"/>
      <c r="AP115" s="78" t="s">
        <v>2218</v>
      </c>
      <c r="AU115" s="85" t="s">
        <v>2219</v>
      </c>
      <c r="AV115" s="85" t="s">
        <v>2056</v>
      </c>
      <c r="AW115" s="85" t="s">
        <v>2220</v>
      </c>
      <c r="AX115" s="531"/>
      <c r="AY115" s="44"/>
    </row>
    <row r="116" spans="1:51" ht="20.5" thickBot="1" x14ac:dyDescent="0.45">
      <c r="A116" s="318" t="str">
        <f>IF(ISERROR( Dashboard!C230), "", Dashboard!B230)</f>
        <v/>
      </c>
      <c r="B116" s="357" t="str">
        <f>IFERROR(INDEX('Summary of Results'!$B:$B, MATCH(A116, 'Summary of Results'!$A:$A, 0)), "")</f>
        <v/>
      </c>
      <c r="C116" s="358" t="str">
        <f>IF(OR(ISERROR($B116), $B116 = ""), "", IFERROR(INDEX('Summary of Results'!G:G, MATCH($A116, 'Summary of Results'!$A:$A, 0)), NA()))</f>
        <v/>
      </c>
      <c r="D116" s="359" t="str">
        <f>IF(OR(ISERROR($B116), $B116 = ""), "", IFERROR(INDEX('Summary of Results'!H:H, MATCH($A116, 'Summary of Results'!$A:$A, 0)), NA()))</f>
        <v/>
      </c>
      <c r="E116" s="359" t="str">
        <f>IF(OR(ISERROR($B116), $B116 = ""), "", IFERROR(INDEX('Summary of Results'!I:I, MATCH($A116, 'Summary of Results'!$A:$A, 0)), NA()))</f>
        <v/>
      </c>
      <c r="F116" s="359" t="str">
        <f>IF(OR(ISERROR($B116), $B116 = ""), "", IFERROR(INDEX('Summary of Results'!J:J, MATCH($A116, 'Summary of Results'!$A:$A, 0)), NA()))</f>
        <v/>
      </c>
      <c r="G116" s="359" t="str">
        <f>IF(OR(ISERROR($B116), $B116 = ""), "", IFERROR(INDEX('Summary of Results'!K:K, MATCH($A116, 'Summary of Results'!$A:$A, 0)), NA()))</f>
        <v/>
      </c>
      <c r="H116" s="359" t="str">
        <f>IF(OR(ISERROR($B116), $B116 = ""), "", IFERROR(INDEX('Summary of Results'!L:L, MATCH($A116, 'Summary of Results'!$A:$A, 0)), NA()))</f>
        <v/>
      </c>
      <c r="I116" s="360" t="str">
        <f>IF(OR(ISERROR($B116), $B116 = ""), "", IFERROR(INDEX('Summary of Results'!M:M, MATCH($A116, 'Summary of Results'!$A:$A, 0)), NA()))</f>
        <v/>
      </c>
      <c r="M116" s="575" t="s">
        <v>2120</v>
      </c>
      <c r="N116" s="690" t="s">
        <v>2128</v>
      </c>
      <c r="O116" s="690" t="s">
        <v>2221</v>
      </c>
      <c r="P116" s="576"/>
      <c r="Q116" s="576"/>
      <c r="R116" s="576"/>
      <c r="S116" s="576"/>
      <c r="T116" s="576"/>
      <c r="U116" s="576"/>
      <c r="V116" s="576"/>
      <c r="W116" s="576"/>
      <c r="X116" s="576"/>
      <c r="Y116" s="576"/>
      <c r="Z116" s="576"/>
      <c r="AA116" s="576"/>
      <c r="AB116" s="576"/>
      <c r="AC116" s="576"/>
      <c r="AD116" s="576"/>
      <c r="AE116" s="576"/>
      <c r="AF116" s="576"/>
      <c r="AG116" s="577"/>
      <c r="AP116" t="s">
        <v>2222</v>
      </c>
      <c r="AU116" s="43">
        <v>40</v>
      </c>
      <c r="AV116" s="43">
        <v>70</v>
      </c>
      <c r="AW116" s="43">
        <v>100</v>
      </c>
      <c r="AX116" s="531"/>
      <c r="AY116" s="44"/>
    </row>
    <row r="117" spans="1:51" ht="20" x14ac:dyDescent="0.4">
      <c r="A117" s="318" t="str">
        <f>IF(ISERROR( Dashboard!C231), "", Dashboard!B231)</f>
        <v/>
      </c>
      <c r="B117" s="357" t="str">
        <f>IFERROR(INDEX('Summary of Results'!$B:$B, MATCH(A117, 'Summary of Results'!$A:$A, 0)), "")</f>
        <v/>
      </c>
      <c r="C117" s="358" t="str">
        <f>IF(OR(ISERROR($B117), $B117 = ""), "", IFERROR(INDEX('Summary of Results'!G:G, MATCH($A117, 'Summary of Results'!$A:$A, 0)), NA()))</f>
        <v/>
      </c>
      <c r="D117" s="359" t="str">
        <f>IF(OR(ISERROR($B117), $B117 = ""), "", IFERROR(INDEX('Summary of Results'!H:H, MATCH($A117, 'Summary of Results'!$A:$A, 0)), NA()))</f>
        <v/>
      </c>
      <c r="E117" s="359" t="str">
        <f>IF(OR(ISERROR($B117), $B117 = ""), "", IFERROR(INDEX('Summary of Results'!I:I, MATCH($A117, 'Summary of Results'!$A:$A, 0)), NA()))</f>
        <v/>
      </c>
      <c r="F117" s="359" t="str">
        <f>IF(OR(ISERROR($B117), $B117 = ""), "", IFERROR(INDEX('Summary of Results'!J:J, MATCH($A117, 'Summary of Results'!$A:$A, 0)), NA()))</f>
        <v/>
      </c>
      <c r="G117" s="359" t="str">
        <f>IF(OR(ISERROR($B117), $B117 = ""), "", IFERROR(INDEX('Summary of Results'!K:K, MATCH($A117, 'Summary of Results'!$A:$A, 0)), NA()))</f>
        <v/>
      </c>
      <c r="H117" s="359" t="str">
        <f>IF(OR(ISERROR($B117), $B117 = ""), "", IFERROR(INDEX('Summary of Results'!L:L, MATCH($A117, 'Summary of Results'!$A:$A, 0)), NA()))</f>
        <v/>
      </c>
      <c r="I117" s="360" t="str">
        <f>IF(OR(ISERROR($B117), $B117 = ""), "", IFERROR(INDEX('Summary of Results'!M:M, MATCH($A117, 'Summary of Results'!$A:$A, 0)), NA()))</f>
        <v/>
      </c>
      <c r="M117" s="671" t="s">
        <v>2121</v>
      </c>
      <c r="N117" s="672">
        <v>6.94</v>
      </c>
      <c r="O117" s="670">
        <v>1</v>
      </c>
      <c r="P117" s="58">
        <v>1</v>
      </c>
      <c r="Q117" s="58">
        <v>1</v>
      </c>
      <c r="R117" s="58">
        <v>1</v>
      </c>
      <c r="S117" s="58">
        <v>1</v>
      </c>
      <c r="T117" s="58">
        <v>1</v>
      </c>
      <c r="U117" s="58">
        <v>1.1000000000000001</v>
      </c>
      <c r="V117" s="58">
        <v>4</v>
      </c>
      <c r="W117" s="58"/>
      <c r="X117" s="58"/>
      <c r="Y117" s="58"/>
      <c r="Z117" s="58"/>
      <c r="AA117" s="58"/>
      <c r="AB117" s="58"/>
      <c r="AC117" s="58"/>
      <c r="AD117" s="58"/>
      <c r="AE117" s="58"/>
      <c r="AF117" s="58"/>
      <c r="AG117" s="343"/>
      <c r="AP117" t="s">
        <v>2223</v>
      </c>
      <c r="AU117" s="43">
        <v>10</v>
      </c>
      <c r="AV117" s="43">
        <v>10</v>
      </c>
      <c r="AW117" s="43">
        <v>20</v>
      </c>
      <c r="AX117" s="531"/>
      <c r="AY117" s="44"/>
    </row>
    <row r="118" spans="1:51" ht="20" x14ac:dyDescent="0.4">
      <c r="A118" s="318" t="str">
        <f>IF(ISERROR( Dashboard!C232), "", Dashboard!B232)</f>
        <v/>
      </c>
      <c r="B118" s="357" t="str">
        <f>IFERROR(INDEX('Summary of Results'!$B:$B, MATCH(A118, 'Summary of Results'!$A:$A, 0)), "")</f>
        <v/>
      </c>
      <c r="C118" s="358" t="str">
        <f>IF(OR(ISERROR($B118), $B118 = ""), "", IFERROR(INDEX('Summary of Results'!G:G, MATCH($A118, 'Summary of Results'!$A:$A, 0)), NA()))</f>
        <v/>
      </c>
      <c r="D118" s="359" t="str">
        <f>IF(OR(ISERROR($B118), $B118 = ""), "", IFERROR(INDEX('Summary of Results'!H:H, MATCH($A118, 'Summary of Results'!$A:$A, 0)), NA()))</f>
        <v/>
      </c>
      <c r="E118" s="359" t="str">
        <f>IF(OR(ISERROR($B118), $B118 = ""), "", IFERROR(INDEX('Summary of Results'!I:I, MATCH($A118, 'Summary of Results'!$A:$A, 0)), NA()))</f>
        <v/>
      </c>
      <c r="F118" s="359" t="str">
        <f>IF(OR(ISERROR($B118), $B118 = ""), "", IFERROR(INDEX('Summary of Results'!J:J, MATCH($A118, 'Summary of Results'!$A:$A, 0)), NA()))</f>
        <v/>
      </c>
      <c r="G118" s="359" t="str">
        <f>IF(OR(ISERROR($B118), $B118 = ""), "", IFERROR(INDEX('Summary of Results'!K:K, MATCH($A118, 'Summary of Results'!$A:$A, 0)), NA()))</f>
        <v/>
      </c>
      <c r="H118" s="359" t="str">
        <f>IF(OR(ISERROR($B118), $B118 = ""), "", IFERROR(INDEX('Summary of Results'!L:L, MATCH($A118, 'Summary of Results'!$A:$A, 0)), NA()))</f>
        <v/>
      </c>
      <c r="I118" s="360" t="str">
        <f>IF(OR(ISERROR($B118), $B118 = ""), "", IFERROR(INDEX('Summary of Results'!M:M, MATCH($A118, 'Summary of Results'!$A:$A, 0)), NA()))</f>
        <v/>
      </c>
      <c r="M118" s="673" t="s">
        <v>1656</v>
      </c>
      <c r="N118" s="674">
        <v>58.71</v>
      </c>
      <c r="O118" s="669">
        <f>0.333*(2-O117)</f>
        <v>0.33300000000000002</v>
      </c>
      <c r="P118" s="5">
        <v>0.5</v>
      </c>
      <c r="Q118" s="5">
        <v>0.6</v>
      </c>
      <c r="R118" s="5">
        <f>0.8*(2-R117)</f>
        <v>0.8</v>
      </c>
      <c r="S118" s="5">
        <v>0.8</v>
      </c>
      <c r="T118" s="5"/>
      <c r="U118" s="5"/>
      <c r="V118" s="5"/>
      <c r="W118" s="5"/>
      <c r="X118" s="5"/>
      <c r="Y118" s="5"/>
      <c r="Z118" s="5"/>
      <c r="AA118" s="5"/>
      <c r="AB118" s="5"/>
      <c r="AC118" s="5"/>
      <c r="AD118" s="5"/>
      <c r="AE118" s="5"/>
      <c r="AF118" s="5"/>
      <c r="AG118" s="331"/>
      <c r="AP118" t="s">
        <v>2224</v>
      </c>
      <c r="AU118" s="43">
        <v>50</v>
      </c>
      <c r="AV118" s="43">
        <v>70</v>
      </c>
      <c r="AW118" s="43">
        <v>200</v>
      </c>
      <c r="AX118" s="531"/>
      <c r="AY118" s="44"/>
    </row>
    <row r="119" spans="1:51" ht="20" x14ac:dyDescent="0.4">
      <c r="A119" s="318" t="str">
        <f>IF(ISERROR( Dashboard!C233), "", Dashboard!B233)</f>
        <v/>
      </c>
      <c r="B119" s="357" t="str">
        <f>IFERROR(INDEX('Summary of Results'!$B:$B, MATCH(A119, 'Summary of Results'!$A:$A, 0)), "")</f>
        <v/>
      </c>
      <c r="C119" s="358" t="str">
        <f>IF(OR(ISERROR($B119), $B119 = ""), "", IFERROR(INDEX('Summary of Results'!G:G, MATCH($A119, 'Summary of Results'!$A:$A, 0)), NA()))</f>
        <v/>
      </c>
      <c r="D119" s="359" t="str">
        <f>IF(OR(ISERROR($B119), $B119 = ""), "", IFERROR(INDEX('Summary of Results'!H:H, MATCH($A119, 'Summary of Results'!$A:$A, 0)), NA()))</f>
        <v/>
      </c>
      <c r="E119" s="359" t="str">
        <f>IF(OR(ISERROR($B119), $B119 = ""), "", IFERROR(INDEX('Summary of Results'!I:I, MATCH($A119, 'Summary of Results'!$A:$A, 0)), NA()))</f>
        <v/>
      </c>
      <c r="F119" s="359" t="str">
        <f>IF(OR(ISERROR($B119), $B119 = ""), "", IFERROR(INDEX('Summary of Results'!J:J, MATCH($A119, 'Summary of Results'!$A:$A, 0)), NA()))</f>
        <v/>
      </c>
      <c r="G119" s="359" t="str">
        <f>IF(OR(ISERROR($B119), $B119 = ""), "", IFERROR(INDEX('Summary of Results'!K:K, MATCH($A119, 'Summary of Results'!$A:$A, 0)), NA()))</f>
        <v/>
      </c>
      <c r="H119" s="359" t="str">
        <f>IF(OR(ISERROR($B119), $B119 = ""), "", IFERROR(INDEX('Summary of Results'!L:L, MATCH($A119, 'Summary of Results'!$A:$A, 0)), NA()))</f>
        <v/>
      </c>
      <c r="I119" s="360" t="str">
        <f>IF(OR(ISERROR($B119), $B119 = ""), "", IFERROR(INDEX('Summary of Results'!M:M, MATCH($A119, 'Summary of Results'!$A:$A, 0)), NA()))</f>
        <v/>
      </c>
      <c r="M119" s="673" t="s">
        <v>1658</v>
      </c>
      <c r="N119" s="674">
        <v>54.94</v>
      </c>
      <c r="O119" s="669">
        <f>0.333*(2-O117)</f>
        <v>0.33300000000000002</v>
      </c>
      <c r="P119" s="5">
        <v>0.3</v>
      </c>
      <c r="Q119" s="5">
        <v>0.2</v>
      </c>
      <c r="R119" s="5">
        <f>0.1*(2-R117)</f>
        <v>0.1</v>
      </c>
      <c r="S119" s="5"/>
      <c r="T119" s="5"/>
      <c r="U119" s="5">
        <v>1.9</v>
      </c>
      <c r="V119" s="5"/>
      <c r="W119" s="5"/>
      <c r="X119" s="5"/>
      <c r="Y119" s="5"/>
      <c r="Z119" s="5"/>
      <c r="AA119" s="5"/>
      <c r="AB119" s="5"/>
      <c r="AC119" s="5"/>
      <c r="AD119" s="5"/>
      <c r="AE119" s="5"/>
      <c r="AF119" s="5"/>
      <c r="AG119" s="331"/>
      <c r="AP119" t="s">
        <v>2225</v>
      </c>
      <c r="AU119" s="43">
        <v>15</v>
      </c>
      <c r="AV119" s="43">
        <v>15</v>
      </c>
      <c r="AW119" s="43">
        <v>15</v>
      </c>
      <c r="AX119" s="531"/>
      <c r="AY119" s="44"/>
    </row>
    <row r="120" spans="1:51" ht="20" x14ac:dyDescent="0.4">
      <c r="A120" s="318" t="str">
        <f>IF(ISERROR( Dashboard!C234), "", Dashboard!B234)</f>
        <v/>
      </c>
      <c r="B120" s="357" t="str">
        <f>IFERROR(INDEX('Summary of Results'!$B:$B, MATCH(A120, 'Summary of Results'!$A:$A, 0)), "")</f>
        <v/>
      </c>
      <c r="C120" s="358" t="str">
        <f>IF(OR(ISERROR($B120), $B120 = ""), "", IFERROR(INDEX('Summary of Results'!G:G, MATCH($A120, 'Summary of Results'!$A:$A, 0)), NA()))</f>
        <v/>
      </c>
      <c r="D120" s="359" t="str">
        <f>IF(OR(ISERROR($B120), $B120 = ""), "", IFERROR(INDEX('Summary of Results'!H:H, MATCH($A120, 'Summary of Results'!$A:$A, 0)), NA()))</f>
        <v/>
      </c>
      <c r="E120" s="359" t="str">
        <f>IF(OR(ISERROR($B120), $B120 = ""), "", IFERROR(INDEX('Summary of Results'!I:I, MATCH($A120, 'Summary of Results'!$A:$A, 0)), NA()))</f>
        <v/>
      </c>
      <c r="F120" s="359" t="str">
        <f>IF(OR(ISERROR($B120), $B120 = ""), "", IFERROR(INDEX('Summary of Results'!J:J, MATCH($A120, 'Summary of Results'!$A:$A, 0)), NA()))</f>
        <v/>
      </c>
      <c r="G120" s="359" t="str">
        <f>IF(OR(ISERROR($B120), $B120 = ""), "", IFERROR(INDEX('Summary of Results'!K:K, MATCH($A120, 'Summary of Results'!$A:$A, 0)), NA()))</f>
        <v/>
      </c>
      <c r="H120" s="359" t="str">
        <f>IF(OR(ISERROR($B120), $B120 = ""), "", IFERROR(INDEX('Summary of Results'!L:L, MATCH($A120, 'Summary of Results'!$A:$A, 0)), NA()))</f>
        <v/>
      </c>
      <c r="I120" s="360" t="str">
        <f>IF(OR(ISERROR($B120), $B120 = ""), "", IFERROR(INDEX('Summary of Results'!M:M, MATCH($A120, 'Summary of Results'!$A:$A, 0)), NA()))</f>
        <v/>
      </c>
      <c r="M120" s="673" t="s">
        <v>1657</v>
      </c>
      <c r="N120" s="674">
        <v>58.93</v>
      </c>
      <c r="O120" s="669">
        <f>0.333*(2-O117)</f>
        <v>0.33300000000000002</v>
      </c>
      <c r="P120" s="5">
        <f>0.2*(2-P117)</f>
        <v>0.2</v>
      </c>
      <c r="Q120" s="5">
        <f>0.2*(2-Q117)</f>
        <v>0.2</v>
      </c>
      <c r="R120" s="5">
        <f>0.1*(2-R117)</f>
        <v>0.1</v>
      </c>
      <c r="S120" s="5">
        <v>0.15</v>
      </c>
      <c r="T120" s="5"/>
      <c r="U120" s="5"/>
      <c r="V120" s="5"/>
      <c r="W120" s="5"/>
      <c r="X120" s="5"/>
      <c r="Y120" s="5"/>
      <c r="Z120" s="5"/>
      <c r="AA120" s="5"/>
      <c r="AB120" s="5"/>
      <c r="AC120" s="5"/>
      <c r="AD120" s="5"/>
      <c r="AE120" s="5"/>
      <c r="AF120" s="5"/>
      <c r="AG120" s="331"/>
      <c r="AP120" t="s">
        <v>2226</v>
      </c>
      <c r="AW120" s="43">
        <v>100</v>
      </c>
      <c r="AX120" s="531"/>
      <c r="AY120" s="44"/>
    </row>
    <row r="121" spans="1:51" ht="20" x14ac:dyDescent="0.4">
      <c r="A121" s="1385" t="str">
        <f>IF(ISERROR( Dashboard!C235), "", Dashboard!B235)</f>
        <v/>
      </c>
      <c r="B121" s="357" t="str">
        <f>IFERROR(INDEX('Summary of Results'!$B:$B, MATCH(A121, 'Summary of Results'!$A:$A, 0)), "")</f>
        <v/>
      </c>
      <c r="C121" s="358" t="str">
        <f>IF(OR(ISERROR($B121), $B121 = ""), "", IFERROR(INDEX('Summary of Results'!G:G, MATCH($A121, 'Summary of Results'!$A:$A, 0)), NA()))</f>
        <v/>
      </c>
      <c r="D121" s="359" t="str">
        <f>IF(OR(ISERROR($B121), $B121 = ""), "", IFERROR(INDEX('Summary of Results'!H:H, MATCH($A121, 'Summary of Results'!$A:$A, 0)), NA()))</f>
        <v/>
      </c>
      <c r="E121" s="359" t="str">
        <f>IF(OR(ISERROR($B121), $B121 = ""), "", IFERROR(INDEX('Summary of Results'!I:I, MATCH($A121, 'Summary of Results'!$A:$A, 0)), NA()))</f>
        <v/>
      </c>
      <c r="F121" s="359" t="str">
        <f>IF(OR(ISERROR($B121), $B121 = ""), "", IFERROR(INDEX('Summary of Results'!J:J, MATCH($A121, 'Summary of Results'!$A:$A, 0)), NA()))</f>
        <v/>
      </c>
      <c r="G121" s="359" t="str">
        <f>IF(OR(ISERROR($B121), $B121 = ""), "", IFERROR(INDEX('Summary of Results'!K:K, MATCH($A121, 'Summary of Results'!$A:$A, 0)), NA()))</f>
        <v/>
      </c>
      <c r="H121" s="359" t="str">
        <f>IF(OR(ISERROR($B121), $B121 = ""), "", IFERROR(INDEX('Summary of Results'!L:L, MATCH($A121, 'Summary of Results'!$A:$A, 0)), NA()))</f>
        <v/>
      </c>
      <c r="I121" s="360" t="str">
        <f>IF(OR(ISERROR($B121), $B121 = ""), "", IFERROR(INDEX('Summary of Results'!M:M, MATCH($A121, 'Summary of Results'!$A:$A, 0)), NA()))</f>
        <v/>
      </c>
      <c r="M121" s="673" t="s">
        <v>1037</v>
      </c>
      <c r="N121" s="674">
        <v>26.98</v>
      </c>
      <c r="O121" s="669"/>
      <c r="P121" s="5"/>
      <c r="Q121" s="5"/>
      <c r="R121" s="5"/>
      <c r="S121" s="5">
        <v>0.05</v>
      </c>
      <c r="T121" s="5"/>
      <c r="U121" s="5"/>
      <c r="V121" s="5"/>
      <c r="W121" s="5"/>
      <c r="X121" s="5"/>
      <c r="Y121" s="5"/>
      <c r="Z121" s="5"/>
      <c r="AA121" s="5"/>
      <c r="AB121" s="5"/>
      <c r="AC121" s="5"/>
      <c r="AD121" s="5"/>
      <c r="AE121" s="5"/>
      <c r="AF121" s="5"/>
      <c r="AG121" s="331"/>
      <c r="AP121" s="6" t="s">
        <v>2227</v>
      </c>
      <c r="AU121" s="85"/>
      <c r="AV121" s="85"/>
      <c r="AW121" s="85" t="s">
        <v>2057</v>
      </c>
      <c r="AX121" s="531"/>
      <c r="AY121" s="44"/>
    </row>
    <row r="122" spans="1:51" ht="20" x14ac:dyDescent="0.4">
      <c r="A122" s="1385">
        <f>IF(ISERROR( Dashboard!C236), "", Dashboard!B236)</f>
        <v>0</v>
      </c>
      <c r="B122" s="357" t="str">
        <f>IFERROR(INDEX('Summary of Results'!$B:$B, MATCH(A122, 'Summary of Results'!$A:$A, 0)), "")</f>
        <v/>
      </c>
      <c r="C122" s="358" t="str">
        <f>IF(OR(ISERROR($B122), $B122 = ""), "", IFERROR(INDEX('Summary of Results'!G:G, MATCH($A122, 'Summary of Results'!$A:$A, 0)), NA()))</f>
        <v/>
      </c>
      <c r="D122" s="359" t="str">
        <f>IF(OR(ISERROR($B122), $B122 = ""), "", IFERROR(INDEX('Summary of Results'!H:H, MATCH($A122, 'Summary of Results'!$A:$A, 0)), NA()))</f>
        <v/>
      </c>
      <c r="E122" s="359" t="str">
        <f>IF(OR(ISERROR($B122), $B122 = ""), "", IFERROR(INDEX('Summary of Results'!I:I, MATCH($A122, 'Summary of Results'!$A:$A, 0)), NA()))</f>
        <v/>
      </c>
      <c r="F122" s="359" t="str">
        <f>IF(OR(ISERROR($B122), $B122 = ""), "", IFERROR(INDEX('Summary of Results'!J:J, MATCH($A122, 'Summary of Results'!$A:$A, 0)), NA()))</f>
        <v/>
      </c>
      <c r="G122" s="359" t="str">
        <f>IF(OR(ISERROR($B122), $B122 = ""), "", IFERROR(INDEX('Summary of Results'!K:K, MATCH($A122, 'Summary of Results'!$A:$A, 0)), NA()))</f>
        <v/>
      </c>
      <c r="H122" s="359" t="str">
        <f>IF(OR(ISERROR($B122), $B122 = ""), "", IFERROR(INDEX('Summary of Results'!L:L, MATCH($A122, 'Summary of Results'!$A:$A, 0)), NA()))</f>
        <v/>
      </c>
      <c r="I122" s="360" t="str">
        <f>IF(OR(ISERROR($B122), $B122 = ""), "", IFERROR(INDEX('Summary of Results'!M:M, MATCH($A122, 'Summary of Results'!$A:$A, 0)), NA()))</f>
        <v/>
      </c>
      <c r="M122" s="673" t="s">
        <v>2122</v>
      </c>
      <c r="N122" s="674">
        <v>55.85</v>
      </c>
      <c r="O122" s="669"/>
      <c r="P122" s="5"/>
      <c r="Q122" s="5"/>
      <c r="R122" s="5"/>
      <c r="S122" s="5"/>
      <c r="T122" s="5">
        <v>1</v>
      </c>
      <c r="U122" s="5"/>
      <c r="V122" s="5"/>
      <c r="W122" s="5"/>
      <c r="X122" s="5"/>
      <c r="Y122" s="5"/>
      <c r="Z122" s="5"/>
      <c r="AA122" s="5"/>
      <c r="AB122" s="5"/>
      <c r="AC122" s="5"/>
      <c r="AD122" s="5"/>
      <c r="AE122" s="5"/>
      <c r="AF122" s="5"/>
      <c r="AG122" s="331"/>
      <c r="AU122" s="85" t="s">
        <v>2219</v>
      </c>
      <c r="AV122" s="85" t="s">
        <v>2056</v>
      </c>
      <c r="AW122" s="85" t="s">
        <v>2228</v>
      </c>
      <c r="AX122" s="531"/>
      <c r="AY122" s="44"/>
    </row>
    <row r="123" spans="1:51" ht="20" x14ac:dyDescent="0.4">
      <c r="A123" s="1385">
        <f>IF(ISERROR( Dashboard!C237), "", Dashboard!B237)</f>
        <v>0</v>
      </c>
      <c r="B123" s="357" t="str">
        <f>IFERROR(INDEX('Summary of Results'!$B:$B, MATCH(A123, 'Summary of Results'!$A:$A, 0)), "")</f>
        <v/>
      </c>
      <c r="C123" s="358" t="str">
        <f>IF(OR(ISERROR($B123), $B123 = ""), "", IFERROR(INDEX('Summary of Results'!G:G, MATCH($A123, 'Summary of Results'!$A:$A, 0)), NA()))</f>
        <v/>
      </c>
      <c r="D123" s="359" t="str">
        <f>IF(OR(ISERROR($B123), $B123 = ""), "", IFERROR(INDEX('Summary of Results'!H:H, MATCH($A123, 'Summary of Results'!$A:$A, 0)), NA()))</f>
        <v/>
      </c>
      <c r="E123" s="359" t="str">
        <f>IF(OR(ISERROR($B123), $B123 = ""), "", IFERROR(INDEX('Summary of Results'!I:I, MATCH($A123, 'Summary of Results'!$A:$A, 0)), NA()))</f>
        <v/>
      </c>
      <c r="F123" s="359" t="str">
        <f>IF(OR(ISERROR($B123), $B123 = ""), "", IFERROR(INDEX('Summary of Results'!J:J, MATCH($A123, 'Summary of Results'!$A:$A, 0)), NA()))</f>
        <v/>
      </c>
      <c r="G123" s="359" t="str">
        <f>IF(OR(ISERROR($B123), $B123 = ""), "", IFERROR(INDEX('Summary of Results'!K:K, MATCH($A123, 'Summary of Results'!$A:$A, 0)), NA()))</f>
        <v/>
      </c>
      <c r="H123" s="359" t="str">
        <f>IF(OR(ISERROR($B123), $B123 = ""), "", IFERROR(INDEX('Summary of Results'!L:L, MATCH($A123, 'Summary of Results'!$A:$A, 0)), NA()))</f>
        <v/>
      </c>
      <c r="I123" s="360" t="str">
        <f>IF(OR(ISERROR($B123), $B123 = ""), "", IFERROR(INDEX('Summary of Results'!M:M, MATCH($A123, 'Summary of Results'!$A:$A, 0)), NA()))</f>
        <v/>
      </c>
      <c r="M123" s="673" t="s">
        <v>1659</v>
      </c>
      <c r="N123" s="674">
        <v>30.97</v>
      </c>
      <c r="O123" s="669"/>
      <c r="P123" s="5"/>
      <c r="Q123" s="5"/>
      <c r="R123" s="5"/>
      <c r="S123" s="5"/>
      <c r="T123" s="5">
        <v>1</v>
      </c>
      <c r="U123" s="5"/>
      <c r="V123" s="5"/>
      <c r="W123" s="5"/>
      <c r="X123" s="5"/>
      <c r="Y123" s="5"/>
      <c r="Z123" s="5"/>
      <c r="AA123" s="5"/>
      <c r="AB123" s="5"/>
      <c r="AC123" s="5"/>
      <c r="AD123" s="5"/>
      <c r="AE123" s="5"/>
      <c r="AF123" s="5"/>
      <c r="AG123" s="331"/>
      <c r="AP123" s="353" t="s">
        <v>2229</v>
      </c>
      <c r="AU123" s="43">
        <v>30</v>
      </c>
      <c r="AV123" s="43">
        <v>80</v>
      </c>
      <c r="AW123" s="43">
        <v>120</v>
      </c>
      <c r="AX123" s="531"/>
      <c r="AY123" s="44"/>
    </row>
    <row r="124" spans="1:51" ht="16" thickBot="1" x14ac:dyDescent="0.4">
      <c r="B124" s="357" t="str">
        <f>IFERROR(INDEX('Summary of Results'!$B:$B, MATCH(A124, 'Summary of Results'!$A:$A, 0)), "")</f>
        <v/>
      </c>
      <c r="C124" s="1256" t="str">
        <f>IF(OR(ISERROR($B124), $B124 = ""), "", IFERROR(INDEX('Summary of Results'!G:G, MATCH($A124, 'Summary of Results'!$A:$A, 0)), NA()))</f>
        <v/>
      </c>
      <c r="D124" s="1257" t="str">
        <f>IF(OR(ISERROR($B124), $B124 = ""), "", IFERROR(INDEX('Summary of Results'!H:H, MATCH($A124, 'Summary of Results'!$A:$A, 0)), NA()))</f>
        <v/>
      </c>
      <c r="E124" s="1257" t="str">
        <f>IF(OR(ISERROR($B124), $B124 = ""), "", IFERROR(INDEX('Summary of Results'!I:I, MATCH($A124, 'Summary of Results'!$A:$A, 0)), NA()))</f>
        <v/>
      </c>
      <c r="F124" s="1257" t="str">
        <f>IF(OR(ISERROR($B124), $B124 = ""), "", IFERROR(INDEX('Summary of Results'!J:J, MATCH($A124, 'Summary of Results'!$A:$A, 0)), NA()))</f>
        <v/>
      </c>
      <c r="G124" s="1257" t="str">
        <f>IF(OR(ISERROR($B124), $B124 = ""), "", IFERROR(INDEX('Summary of Results'!K:K, MATCH($A124, 'Summary of Results'!$A:$A, 0)), NA()))</f>
        <v/>
      </c>
      <c r="H124" s="1257" t="str">
        <f>IF(OR(ISERROR($B124), $B124 = ""), "", IFERROR(INDEX('Summary of Results'!L:L, MATCH($A124, 'Summary of Results'!$A:$A, 0)), NA()))</f>
        <v/>
      </c>
      <c r="I124" s="1258" t="str">
        <f>IF(OR(ISERROR($B124), $B124 = ""), "", IFERROR(INDEX('Summary of Results'!M:M, MATCH($A124, 'Summary of Results'!$A:$A, 0)), NA()))</f>
        <v/>
      </c>
      <c r="M124" s="673" t="s">
        <v>2123</v>
      </c>
      <c r="N124" s="674">
        <v>47.9</v>
      </c>
      <c r="O124" s="669"/>
      <c r="P124" s="5"/>
      <c r="Q124" s="5"/>
      <c r="R124" s="5"/>
      <c r="S124" s="5"/>
      <c r="T124" s="5"/>
      <c r="U124" s="5"/>
      <c r="V124" s="5">
        <v>5</v>
      </c>
      <c r="W124" s="5"/>
      <c r="X124" s="5"/>
      <c r="Y124" s="5"/>
      <c r="Z124" s="5"/>
      <c r="AA124" s="5"/>
      <c r="AB124" s="5"/>
      <c r="AC124" s="5"/>
      <c r="AD124" s="5"/>
      <c r="AE124" s="5"/>
      <c r="AF124" s="5"/>
      <c r="AG124" s="331"/>
      <c r="AP124" s="1051" t="s">
        <v>2230</v>
      </c>
      <c r="AU124" s="43">
        <v>40</v>
      </c>
      <c r="AV124" s="43">
        <v>40</v>
      </c>
      <c r="AW124" s="43">
        <v>40</v>
      </c>
      <c r="AX124" s="531"/>
      <c r="AY124" s="44"/>
    </row>
    <row r="125" spans="1:51" x14ac:dyDescent="0.35">
      <c r="M125" s="673" t="s">
        <v>2124</v>
      </c>
      <c r="N125" s="674">
        <v>16</v>
      </c>
      <c r="O125" s="669">
        <v>2</v>
      </c>
      <c r="P125" s="5">
        <v>2</v>
      </c>
      <c r="Q125" s="669">
        <v>2</v>
      </c>
      <c r="R125" s="669">
        <v>2</v>
      </c>
      <c r="S125" s="669">
        <v>2</v>
      </c>
      <c r="T125" s="669">
        <v>4</v>
      </c>
      <c r="U125" s="669">
        <v>4</v>
      </c>
      <c r="V125" s="669">
        <v>12</v>
      </c>
      <c r="W125" s="5"/>
      <c r="X125" s="5"/>
      <c r="Y125" s="5"/>
      <c r="Z125" s="5"/>
      <c r="AA125" s="5"/>
      <c r="AB125" s="5"/>
      <c r="AC125" s="5"/>
      <c r="AD125" s="5"/>
      <c r="AE125" s="5"/>
      <c r="AF125" s="5"/>
      <c r="AG125" s="331"/>
      <c r="AP125" s="353" t="s">
        <v>2231</v>
      </c>
      <c r="AU125" s="43">
        <v>20</v>
      </c>
      <c r="AV125" s="43">
        <v>20</v>
      </c>
      <c r="AW125" s="43">
        <v>20</v>
      </c>
      <c r="AX125" s="531"/>
      <c r="AY125" s="44"/>
    </row>
    <row r="126" spans="1:51" x14ac:dyDescent="0.35">
      <c r="M126" s="673" t="s">
        <v>2111</v>
      </c>
      <c r="N126" s="675">
        <v>32</v>
      </c>
      <c r="O126" s="5"/>
      <c r="P126" s="5"/>
      <c r="Q126" s="5"/>
      <c r="R126" s="5"/>
      <c r="S126" s="5"/>
      <c r="T126" s="5"/>
      <c r="U126" s="5"/>
      <c r="V126" s="5"/>
      <c r="W126" s="5"/>
      <c r="X126" s="5"/>
      <c r="Y126" s="5"/>
      <c r="Z126" s="5"/>
      <c r="AA126" s="5"/>
      <c r="AB126" s="5"/>
      <c r="AC126" s="5"/>
      <c r="AD126" s="5"/>
      <c r="AE126" s="5"/>
      <c r="AF126" s="5"/>
      <c r="AG126" s="331"/>
      <c r="AP126" t="s">
        <v>2072</v>
      </c>
      <c r="AU126" s="52"/>
      <c r="AV126" s="52"/>
      <c r="AW126" s="43">
        <v>100</v>
      </c>
      <c r="AX126" s="531"/>
      <c r="AY126" s="44"/>
    </row>
    <row r="127" spans="1:51" x14ac:dyDescent="0.35">
      <c r="M127" s="673" t="s">
        <v>277</v>
      </c>
      <c r="N127" s="674">
        <v>12</v>
      </c>
      <c r="O127" s="5"/>
      <c r="P127" s="5"/>
      <c r="Q127" s="5"/>
      <c r="R127" s="5"/>
      <c r="S127" s="5"/>
      <c r="T127" s="5"/>
      <c r="U127" s="5"/>
      <c r="V127" s="5"/>
      <c r="W127" s="5">
        <v>6</v>
      </c>
      <c r="X127" s="5"/>
      <c r="Y127" s="5"/>
      <c r="Z127" s="5"/>
      <c r="AA127" s="5"/>
      <c r="AB127" s="5"/>
      <c r="AC127" s="5"/>
      <c r="AD127" s="5"/>
      <c r="AE127" s="5"/>
      <c r="AF127" s="5"/>
      <c r="AG127" s="331"/>
      <c r="AP127" s="99" t="s">
        <v>2232</v>
      </c>
      <c r="AR127" s="98"/>
      <c r="AS127" s="98"/>
      <c r="AX127" s="531"/>
      <c r="AY127" s="44"/>
    </row>
    <row r="128" spans="1:51" x14ac:dyDescent="0.35">
      <c r="M128" s="673" t="s">
        <v>2233</v>
      </c>
      <c r="N128" s="675">
        <v>28</v>
      </c>
      <c r="O128" s="5"/>
      <c r="P128" s="5"/>
      <c r="Q128" s="5"/>
      <c r="R128" s="5"/>
      <c r="S128" s="5"/>
      <c r="T128" s="5"/>
      <c r="U128" s="5"/>
      <c r="V128" s="5"/>
      <c r="W128" s="5"/>
      <c r="X128" s="5"/>
      <c r="Y128" s="5"/>
      <c r="Z128" s="5"/>
      <c r="AA128" s="5"/>
      <c r="AB128" s="5"/>
      <c r="AC128" s="5"/>
      <c r="AD128" s="5"/>
      <c r="AE128" s="5"/>
      <c r="AF128" s="5"/>
      <c r="AG128" s="331"/>
      <c r="AX128" s="531"/>
      <c r="AY128" s="44"/>
    </row>
    <row r="129" spans="1:51" x14ac:dyDescent="0.35">
      <c r="M129" s="673" t="s">
        <v>2234</v>
      </c>
      <c r="N129" s="675">
        <v>50.942</v>
      </c>
      <c r="O129" s="5"/>
      <c r="P129" s="5"/>
      <c r="Q129" s="5"/>
      <c r="R129" s="5"/>
      <c r="S129" s="5"/>
      <c r="T129" s="5"/>
      <c r="U129" s="5"/>
      <c r="V129" s="5"/>
      <c r="W129" s="5"/>
      <c r="X129" s="5"/>
      <c r="Y129" s="5"/>
      <c r="Z129" s="5"/>
      <c r="AA129" s="5"/>
      <c r="AB129" s="5"/>
      <c r="AC129" s="5"/>
      <c r="AD129" s="5"/>
      <c r="AE129" s="5"/>
      <c r="AF129" s="5"/>
      <c r="AG129" s="331"/>
      <c r="AQ129" s="353"/>
      <c r="AS129" s="44"/>
      <c r="AT129" s="530"/>
      <c r="AU129" s="446"/>
      <c r="AV129" s="45"/>
      <c r="AW129" s="44"/>
      <c r="AX129" s="531"/>
      <c r="AY129" s="44"/>
    </row>
    <row r="130" spans="1:51" x14ac:dyDescent="0.35">
      <c r="M130" s="676"/>
      <c r="N130" s="675"/>
      <c r="O130" s="5"/>
      <c r="P130" s="5"/>
      <c r="Q130" s="5"/>
      <c r="R130" s="5"/>
      <c r="S130" s="5"/>
      <c r="T130" s="5"/>
      <c r="U130" s="5"/>
      <c r="V130" s="5"/>
      <c r="W130" s="5"/>
      <c r="X130" s="5"/>
      <c r="Y130" s="5"/>
      <c r="Z130" s="5"/>
      <c r="AA130" s="5"/>
      <c r="AB130" s="5"/>
      <c r="AC130" s="5"/>
      <c r="AD130" s="5"/>
      <c r="AE130" s="5"/>
      <c r="AF130" s="5"/>
      <c r="AG130" s="331"/>
      <c r="AQ130" s="353"/>
      <c r="AS130" s="44"/>
      <c r="AT130" s="530"/>
      <c r="AU130" s="446"/>
      <c r="AV130" s="45"/>
      <c r="AW130" s="44"/>
      <c r="AX130" s="531"/>
      <c r="AY130" s="44"/>
    </row>
    <row r="131" spans="1:51" ht="16" thickBot="1" x14ac:dyDescent="0.4">
      <c r="M131" s="676"/>
      <c r="N131" s="675"/>
      <c r="O131" s="5"/>
      <c r="P131" s="5"/>
      <c r="Q131" s="5"/>
      <c r="R131" s="5"/>
      <c r="S131" s="5"/>
      <c r="T131" s="5"/>
      <c r="U131" s="5"/>
      <c r="V131" s="5"/>
      <c r="W131" s="5"/>
      <c r="X131" s="5"/>
      <c r="Y131" s="5"/>
      <c r="Z131" s="5"/>
      <c r="AA131" s="5"/>
      <c r="AB131" s="5"/>
      <c r="AC131" s="5"/>
      <c r="AD131" s="5"/>
      <c r="AE131" s="5"/>
      <c r="AF131" s="5"/>
      <c r="AG131" s="331"/>
      <c r="AP131" s="1552" t="s">
        <v>2235</v>
      </c>
      <c r="AQ131" s="1552"/>
      <c r="AR131" s="1552"/>
      <c r="AS131" s="1552"/>
      <c r="AT131" s="1552"/>
      <c r="AU131" s="1552"/>
      <c r="AV131" s="45"/>
      <c r="AW131" s="44"/>
      <c r="AX131" s="531"/>
      <c r="AY131" s="44"/>
    </row>
    <row r="132" spans="1:51" ht="16" thickBot="1" x14ac:dyDescent="0.4">
      <c r="A132" s="1548" t="s">
        <v>2236</v>
      </c>
      <c r="B132" s="1549"/>
      <c r="M132" s="676"/>
      <c r="N132" s="675"/>
      <c r="O132" s="5"/>
      <c r="P132" s="5"/>
      <c r="Q132" s="5"/>
      <c r="R132" s="5"/>
      <c r="S132" s="5"/>
      <c r="T132" s="5"/>
      <c r="U132" s="5"/>
      <c r="V132" s="5"/>
      <c r="W132" s="5"/>
      <c r="X132" s="5"/>
      <c r="Y132" s="5"/>
      <c r="Z132" s="5"/>
      <c r="AA132" s="5"/>
      <c r="AB132" s="5"/>
      <c r="AC132" s="5"/>
      <c r="AD132" s="5"/>
      <c r="AE132" s="5"/>
      <c r="AF132" s="5"/>
      <c r="AG132" s="331"/>
      <c r="AP132" s="61" t="s">
        <v>2237</v>
      </c>
      <c r="AQ132" s="353" t="s">
        <v>2238</v>
      </c>
      <c r="AR132" s="353" t="s">
        <v>2239</v>
      </c>
      <c r="AS132" s="353" t="s">
        <v>2240</v>
      </c>
      <c r="AT132" s="353" t="s">
        <v>2241</v>
      </c>
      <c r="AU132" s="353" t="s">
        <v>2242</v>
      </c>
      <c r="AV132" s="45"/>
      <c r="AW132" s="44"/>
      <c r="AX132" s="531"/>
      <c r="AY132" s="44"/>
    </row>
    <row r="133" spans="1:51" x14ac:dyDescent="0.35">
      <c r="A133" s="883" t="s">
        <v>643</v>
      </c>
      <c r="B133" s="1063" t="s">
        <v>2243</v>
      </c>
      <c r="M133" s="676"/>
      <c r="N133" s="675"/>
      <c r="O133" s="5"/>
      <c r="P133" s="5"/>
      <c r="Q133" s="5"/>
      <c r="R133" s="5"/>
      <c r="S133" s="5"/>
      <c r="T133" s="5"/>
      <c r="U133" s="5"/>
      <c r="V133" s="5"/>
      <c r="W133" s="5"/>
      <c r="X133" s="5"/>
      <c r="Y133" s="5"/>
      <c r="Z133" s="5"/>
      <c r="AA133" s="5"/>
      <c r="AB133" s="5"/>
      <c r="AC133" s="5"/>
      <c r="AD133" s="5"/>
      <c r="AE133" s="5"/>
      <c r="AF133" s="5"/>
      <c r="AG133" s="331"/>
      <c r="AP133" s="61" t="s">
        <v>788</v>
      </c>
      <c r="AQ133" s="353">
        <v>0</v>
      </c>
      <c r="AR133" s="353">
        <v>0</v>
      </c>
      <c r="AS133" s="353">
        <v>0</v>
      </c>
      <c r="AT133" s="353">
        <v>0</v>
      </c>
      <c r="AU133" s="353">
        <f>(AR133*AT133 + AS133*AT133 - AT133^2)</f>
        <v>0</v>
      </c>
      <c r="AV133" s="45"/>
      <c r="AW133" s="44"/>
      <c r="AX133" s="531"/>
      <c r="AY133" s="44"/>
    </row>
    <row r="134" spans="1:51" x14ac:dyDescent="0.35">
      <c r="A134" s="884">
        <f>'Battery Design'!F494</f>
        <v>1</v>
      </c>
      <c r="B134" s="251" t="str">
        <f>'Battery Design'!B494</f>
        <v>Error: Number or cells not divisible by number of cells in parallel</v>
      </c>
      <c r="M134" s="676"/>
      <c r="N134" s="675"/>
      <c r="O134" s="5"/>
      <c r="P134" s="5"/>
      <c r="Q134" s="5"/>
      <c r="R134" s="5"/>
      <c r="S134" s="5"/>
      <c r="T134" s="5"/>
      <c r="U134" s="5"/>
      <c r="V134" s="5"/>
      <c r="W134" s="5"/>
      <c r="X134" s="5"/>
      <c r="Y134" s="5"/>
      <c r="Z134" s="5"/>
      <c r="AA134" s="5"/>
      <c r="AB134" s="5"/>
      <c r="AC134" s="5"/>
      <c r="AD134" s="5"/>
      <c r="AE134" s="5"/>
      <c r="AF134" s="5"/>
      <c r="AG134" s="331"/>
      <c r="AP134" s="61" t="s">
        <v>2244</v>
      </c>
      <c r="AQ134" s="353">
        <v>20</v>
      </c>
      <c r="AR134" s="353">
        <v>30</v>
      </c>
      <c r="AS134" s="353">
        <v>30</v>
      </c>
      <c r="AT134" s="353">
        <v>3</v>
      </c>
      <c r="AU134" s="353">
        <f t="shared" ref="AU134:AU137" si="7">(AR134*AT134 + AS134*AT134 - AT134^2)</f>
        <v>171</v>
      </c>
      <c r="AV134" s="45"/>
      <c r="AW134" s="44"/>
      <c r="AX134" s="531"/>
      <c r="AY134" s="44"/>
    </row>
    <row r="135" spans="1:51" ht="16" thickBot="1" x14ac:dyDescent="0.4">
      <c r="A135" s="884">
        <f>'Battery Design'!F495</f>
        <v>2</v>
      </c>
      <c r="B135" s="251" t="str">
        <f>'Battery Design'!B495</f>
        <v>Error: Number of modules not divisible by number of modules in parallel</v>
      </c>
      <c r="M135" s="677"/>
      <c r="N135" s="678"/>
      <c r="O135" s="46"/>
      <c r="P135" s="46"/>
      <c r="Q135" s="46"/>
      <c r="R135" s="46"/>
      <c r="S135" s="46"/>
      <c r="T135" s="46"/>
      <c r="U135" s="46"/>
      <c r="V135" s="46"/>
      <c r="W135" s="46"/>
      <c r="X135" s="46"/>
      <c r="Y135" s="46"/>
      <c r="Z135" s="46"/>
      <c r="AA135" s="46"/>
      <c r="AB135" s="46"/>
      <c r="AC135" s="46"/>
      <c r="AD135" s="46"/>
      <c r="AE135" s="46"/>
      <c r="AF135" s="46"/>
      <c r="AG135" s="346"/>
      <c r="AP135" s="61" t="s">
        <v>2245</v>
      </c>
      <c r="AQ135" s="353">
        <v>40</v>
      </c>
      <c r="AR135" s="353">
        <v>40</v>
      </c>
      <c r="AS135" s="353">
        <v>40</v>
      </c>
      <c r="AT135" s="353">
        <v>4</v>
      </c>
      <c r="AU135" s="353">
        <f t="shared" si="7"/>
        <v>304</v>
      </c>
      <c r="AV135" s="45"/>
      <c r="AW135" s="44"/>
      <c r="AX135" s="531"/>
      <c r="AY135" s="44"/>
    </row>
    <row r="136" spans="1:51" x14ac:dyDescent="0.35">
      <c r="A136" s="884">
        <f>'Battery Design'!F496</f>
        <v>3</v>
      </c>
      <c r="B136" s="251" t="str">
        <f>'Battery Design'!B496</f>
        <v>Error: Pulse goes below lower operating SOC window</v>
      </c>
      <c r="AP136" s="61" t="s">
        <v>2245</v>
      </c>
      <c r="AQ136" s="353">
        <v>1000</v>
      </c>
      <c r="AR136" s="353">
        <v>40</v>
      </c>
      <c r="AS136" s="353">
        <v>40</v>
      </c>
      <c r="AT136" s="353">
        <v>4</v>
      </c>
      <c r="AU136" s="353">
        <f t="shared" si="7"/>
        <v>304</v>
      </c>
      <c r="AV136" s="45"/>
      <c r="AW136" s="44"/>
      <c r="AX136" s="531"/>
      <c r="AY136" s="44"/>
    </row>
    <row r="137" spans="1:51" x14ac:dyDescent="0.35">
      <c r="A137" s="884">
        <f>'Battery Design'!F497</f>
        <v>4</v>
      </c>
      <c r="B137" s="251" t="str">
        <f>'Battery Design'!B497</f>
        <v>Error: Electrode thickness smaller than minimum allowable thickness</v>
      </c>
      <c r="AP137" s="61" t="s">
        <v>2245</v>
      </c>
      <c r="AQ137" s="353">
        <v>20000</v>
      </c>
      <c r="AR137" s="353">
        <v>40</v>
      </c>
      <c r="AS137" s="353">
        <v>40</v>
      </c>
      <c r="AT137" s="353">
        <v>4</v>
      </c>
      <c r="AU137" s="353">
        <f t="shared" si="7"/>
        <v>304</v>
      </c>
      <c r="AV137" s="45"/>
      <c r="AW137" s="44"/>
      <c r="AX137" s="531"/>
      <c r="AY137" s="44"/>
    </row>
    <row r="138" spans="1:51" x14ac:dyDescent="0.35">
      <c r="A138" s="884"/>
      <c r="B138" s="251"/>
      <c r="AQ138" s="353"/>
      <c r="AS138" s="44"/>
      <c r="AT138" s="530"/>
      <c r="AU138" s="446"/>
      <c r="AV138" s="45"/>
      <c r="AW138" s="44"/>
      <c r="AX138" s="531"/>
      <c r="AY138" s="44"/>
    </row>
    <row r="139" spans="1:51" x14ac:dyDescent="0.35">
      <c r="A139" s="884"/>
      <c r="B139" s="1062" t="str">
        <f>'Battery Design'!B499</f>
        <v>Warnings</v>
      </c>
      <c r="AQ139" s="353"/>
      <c r="AS139" s="44"/>
      <c r="AT139" s="530"/>
      <c r="AU139" s="446"/>
      <c r="AV139" s="45"/>
      <c r="AW139" s="44"/>
      <c r="AX139" s="531"/>
      <c r="AY139" s="44"/>
    </row>
    <row r="140" spans="1:51" x14ac:dyDescent="0.35">
      <c r="A140" s="884">
        <f>'Battery Design'!F500</f>
        <v>5</v>
      </c>
      <c r="B140" s="251" t="str">
        <f>'Battery Design'!B500</f>
        <v>Warning: Number of modules rows not 1, 2 or 4 (number and size of busbars may become excessive)</v>
      </c>
    </row>
    <row r="141" spans="1:51" x14ac:dyDescent="0.35">
      <c r="A141" s="884">
        <f>'Battery Design'!F501</f>
        <v>6</v>
      </c>
      <c r="B141" s="251" t="str">
        <f>'Battery Design'!B501</f>
        <v>Warning: Number of modules in parallel should be 1 or 2 (number and mass of interconnects may be underestimated)</v>
      </c>
    </row>
    <row r="142" spans="1:51" x14ac:dyDescent="0.35">
      <c r="A142" s="884">
        <f>'Battery Design'!F502</f>
        <v>7</v>
      </c>
      <c r="B142" s="251" t="str">
        <f>'Battery Design'!B502</f>
        <v>Warning: Pulse ends in reserve safety margin (voltage drops too low)</v>
      </c>
    </row>
    <row r="143" spans="1:51" x14ac:dyDescent="0.35">
      <c r="A143" s="884">
        <f>'Battery Design'!F503</f>
        <v>8</v>
      </c>
      <c r="B143" s="251" t="str">
        <f>'Battery Design'!B503</f>
        <v>Warning: Power couple selected but energy couple may be more suitable for selected vehicle</v>
      </c>
    </row>
    <row r="144" spans="1:51" x14ac:dyDescent="0.35">
      <c r="A144" s="884">
        <f>'Battery Design'!F504</f>
        <v>9</v>
      </c>
      <c r="B144" s="251" t="str">
        <f>'Battery Design'!B504</f>
        <v>Warning: Energy couple selected but power couple may be more suitable for selected vehicle</v>
      </c>
    </row>
    <row r="145" spans="1:6" x14ac:dyDescent="0.35">
      <c r="A145" s="884">
        <f>'Battery Design'!F505</f>
        <v>10</v>
      </c>
      <c r="B145" s="251" t="str">
        <f>'Battery Design'!B505</f>
        <v>Warning: Pack size exceeds 5 ft in multiple dimensions (may exceed dimensions of vehicle)</v>
      </c>
    </row>
    <row r="146" spans="1:6" x14ac:dyDescent="0.35">
      <c r="A146" s="884">
        <f>'Battery Design'!F506</f>
        <v>11</v>
      </c>
      <c r="B146" s="251" t="str">
        <f>'Battery Design'!B506</f>
        <v>Warning: Pack voltage exceeds 1000 V (BMS cost and size will be underestimated)</v>
      </c>
    </row>
    <row r="147" spans="1:6" ht="16" thickBot="1" x14ac:dyDescent="0.4">
      <c r="A147" s="1371">
        <f>'Battery Design'!F507</f>
        <v>12</v>
      </c>
      <c r="B147" s="255" t="str">
        <f>'Battery Design'!B507</f>
        <v>Warning: Desired charge time requires a charging power which exceeds input charger power</v>
      </c>
    </row>
    <row r="148" spans="1:6" x14ac:dyDescent="0.35">
      <c r="A148" s="1370"/>
      <c r="B148" s="278"/>
    </row>
    <row r="153" spans="1:6" ht="13" x14ac:dyDescent="0.3">
      <c r="A153" s="5"/>
      <c r="B153" s="1057" t="s">
        <v>2246</v>
      </c>
      <c r="C153" s="247"/>
      <c r="D153" s="247"/>
    </row>
    <row r="154" spans="1:6" ht="12.5" x14ac:dyDescent="0.25">
      <c r="A154" s="5"/>
      <c r="B154" s="247" t="s">
        <v>2247</v>
      </c>
      <c r="C154" s="269" cm="1">
        <f t="array" ref="C154">INDEX(C156:C158,$B$155)</f>
        <v>0</v>
      </c>
      <c r="D154" s="269" cm="1">
        <f t="array" ref="D154">INDEX(D156:D158,$B$155)</f>
        <v>0</v>
      </c>
    </row>
    <row r="155" spans="1:6" ht="13" x14ac:dyDescent="0.3">
      <c r="A155" s="9"/>
      <c r="B155" s="881">
        <f>MATCH(Dashboard!D116,B156:B158, 0)</f>
        <v>1</v>
      </c>
      <c r="C155" s="1383" t="s">
        <v>2248</v>
      </c>
      <c r="D155" s="1383" t="s">
        <v>2249</v>
      </c>
    </row>
    <row r="156" spans="1:6" ht="13" x14ac:dyDescent="0.3">
      <c r="A156" s="5"/>
      <c r="B156" s="1057" t="s">
        <v>96</v>
      </c>
      <c r="C156" s="269">
        <v>0</v>
      </c>
      <c r="D156" s="269">
        <v>0</v>
      </c>
      <c r="E156" s="1087"/>
      <c r="F156" s="1087"/>
    </row>
    <row r="157" spans="1:6" ht="13" x14ac:dyDescent="0.3">
      <c r="A157" s="5"/>
      <c r="B157" s="1064" t="s">
        <v>2266</v>
      </c>
      <c r="C157" s="269">
        <v>1</v>
      </c>
      <c r="D157" s="269">
        <v>0</v>
      </c>
    </row>
    <row r="158" spans="1:6" ht="13" x14ac:dyDescent="0.3">
      <c r="A158" s="5"/>
      <c r="B158" s="1064" t="s">
        <v>2267</v>
      </c>
      <c r="C158" s="269">
        <v>0</v>
      </c>
      <c r="D158" s="269">
        <v>1</v>
      </c>
    </row>
    <row r="159" spans="1:6" ht="12.5" x14ac:dyDescent="0.25">
      <c r="A159" s="5"/>
      <c r="B159" s="353"/>
      <c r="C159" s="53"/>
      <c r="D159" s="53"/>
    </row>
    <row r="160" spans="1:6" ht="12.5" x14ac:dyDescent="0.25">
      <c r="A160" s="5"/>
      <c r="B160" s="353"/>
      <c r="C160" s="53"/>
      <c r="D160" s="53"/>
    </row>
    <row r="161" spans="1:4" ht="13" x14ac:dyDescent="0.3">
      <c r="A161" s="5"/>
      <c r="B161" s="1057" t="s">
        <v>2250</v>
      </c>
      <c r="C161" s="247"/>
      <c r="D161" s="247"/>
    </row>
    <row r="162" spans="1:4" ht="12.5" x14ac:dyDescent="0.25">
      <c r="A162" s="5"/>
      <c r="B162" s="247" t="s">
        <v>2247</v>
      </c>
      <c r="C162" s="269" cm="1">
        <f t="array" ref="C162">INDEX(C164:C165,$B$163)</f>
        <v>1</v>
      </c>
      <c r="D162" s="269" cm="1">
        <f t="array" ref="D162">INDEX(D164:D165,$B$163)</f>
        <v>1</v>
      </c>
    </row>
    <row r="163" spans="1:4" ht="13" x14ac:dyDescent="0.3">
      <c r="A163" s="5"/>
      <c r="B163" s="881">
        <f>MATCH(Dashboard!D118,B164:B165, 0)</f>
        <v>1</v>
      </c>
      <c r="C163" s="1383" t="s">
        <v>2251</v>
      </c>
      <c r="D163" s="1383" t="s">
        <v>2252</v>
      </c>
    </row>
    <row r="164" spans="1:4" ht="13" x14ac:dyDescent="0.3">
      <c r="A164" s="5"/>
      <c r="B164" s="1057" t="s">
        <v>98</v>
      </c>
      <c r="C164" s="269">
        <v>1</v>
      </c>
      <c r="D164" s="269">
        <v>1</v>
      </c>
    </row>
    <row r="165" spans="1:4" ht="13" x14ac:dyDescent="0.3">
      <c r="B165" s="1057" t="s">
        <v>2253</v>
      </c>
      <c r="C165" s="269">
        <v>0</v>
      </c>
      <c r="D165" s="269">
        <v>0</v>
      </c>
    </row>
    <row r="168" spans="1:4" x14ac:dyDescent="0.35">
      <c r="C168" s="6"/>
    </row>
    <row r="169" spans="1:4" ht="14.5" x14ac:dyDescent="0.35">
      <c r="C169" s="1056"/>
    </row>
    <row r="170" spans="1:4" ht="12.5" x14ac:dyDescent="0.25">
      <c r="C170"/>
    </row>
    <row r="171" spans="1:4" x14ac:dyDescent="0.35">
      <c r="C171" s="6"/>
    </row>
    <row r="172" spans="1:4" ht="14.5" x14ac:dyDescent="0.35">
      <c r="C172" s="1056"/>
    </row>
  </sheetData>
  <mergeCells count="14">
    <mergeCell ref="A132:B132"/>
    <mergeCell ref="O73:AG73"/>
    <mergeCell ref="AX91:AY91"/>
    <mergeCell ref="AV81:AW81"/>
    <mergeCell ref="AV91:AW91"/>
    <mergeCell ref="AP131:AU131"/>
    <mergeCell ref="F1:O3"/>
    <mergeCell ref="B74:I74"/>
    <mergeCell ref="F16:I16"/>
    <mergeCell ref="K16:N16"/>
    <mergeCell ref="M17:M18"/>
    <mergeCell ref="N17:N18"/>
    <mergeCell ref="L17:L18"/>
    <mergeCell ref="K17:K18"/>
  </mergeCells>
  <phoneticPr fontId="103"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869950</xdr:colOff>
                    <xdr:row>10</xdr:row>
                    <xdr:rowOff>0</xdr:rowOff>
                  </from>
                  <to>
                    <xdr:col>7</xdr:col>
                    <xdr:colOff>717550</xdr:colOff>
                    <xdr:row>12</xdr:row>
                    <xdr:rowOff>69850</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7" ma:contentTypeDescription="Create a new document." ma:contentTypeScope="" ma:versionID="3acc61e2166c1781dbb53cbc392e121f">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fbed65858e125209c64fb63783bf0037"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91CDE-1930-4782-8276-13FCA262A0E5}">
  <ds:schemaRefs>
    <ds:schemaRef ds:uri="http://schemas.microsoft.com/sharepoint/v3/contenttype/forms"/>
  </ds:schemaRefs>
</ds:datastoreItem>
</file>

<file path=customXml/itemProps2.xml><?xml version="1.0" encoding="utf-8"?>
<ds:datastoreItem xmlns:ds="http://schemas.openxmlformats.org/officeDocument/2006/customXml" ds:itemID="{0E570CFA-D40A-439F-B822-49A85E44E49B}">
  <ds:schemaRefs>
    <ds:schemaRef ds:uri="90bc3d20-02de-4847-bc0a-851570f653a2"/>
    <ds:schemaRef ds:uri="http://purl.org/dc/terms/"/>
    <ds:schemaRef ds:uri="http://schemas.microsoft.com/office/infopath/2007/PartnerControls"/>
    <ds:schemaRef ds:uri="http://schemas.microsoft.com/office/2006/metadata/properties"/>
    <ds:schemaRef ds:uri="http://purl.org/dc/elements/1.1/"/>
    <ds:schemaRef ds:uri="http://schemas.microsoft.com/office/2006/documentManagement/types"/>
    <ds:schemaRef ds:uri="82567fb2-6a47-406d-b770-f8cd21ca577c"/>
    <ds:schemaRef ds:uri="http://www.w3.org/XML/1998/namespace"/>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CDDDB40F-D4BA-443B-BE4C-F1E091B991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About BatPaC</vt:lpstr>
      <vt:lpstr>Dashboard</vt:lpstr>
      <vt:lpstr>Summary of Results</vt:lpstr>
      <vt:lpstr>Battery Design</vt:lpstr>
      <vt:lpstr>Chem</vt:lpstr>
      <vt:lpstr>BMS</vt:lpstr>
      <vt:lpstr>Cost Input</vt:lpstr>
      <vt:lpstr>Manufacturing Costs</vt:lpstr>
      <vt:lpstr>Cost Breakdown</vt:lpstr>
      <vt:lpstr>Detailed Cost Breakdown</vt:lpstr>
      <vt:lpstr>Recycle</vt:lpstr>
      <vt:lpstr>Thermal</vt:lpstr>
      <vt:lpstr>USABC Data</vt:lpstr>
      <vt:lpstr>Tool-Generate Chem Couple</vt:lpstr>
      <vt:lpstr>Vehicle Considerations</vt:lpstr>
      <vt:lpstr>Default Vehicle Configurations</vt:lpstr>
      <vt:lpstr>Lists</vt:lpstr>
      <vt:lpstr>_ASI_10s</vt:lpstr>
      <vt:lpstr>_ASI_2s</vt:lpstr>
      <vt:lpstr>_chem_couples</vt:lpstr>
      <vt:lpstr>_chem_formulas</vt:lpstr>
      <vt:lpstr>_Conductivity_Al</vt:lpstr>
      <vt:lpstr>_Conductivity_Cu</vt:lpstr>
      <vt:lpstr>_DesiredOut</vt:lpstr>
      <vt:lpstr>_materials</vt:lpstr>
      <vt:lpstr>_OCV_array</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'Detailed Cost Breakdown'!Print_Area</vt:lpstr>
      <vt:lpstr>'Manufacturing Costs'!Print_Area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Knehr, Kevin W</cp:lastModifiedBy>
  <cp:revision/>
  <dcterms:created xsi:type="dcterms:W3CDTF">2007-05-30T17:44:54Z</dcterms:created>
  <dcterms:modified xsi:type="dcterms:W3CDTF">2022-07-22T20:39:20Z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